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Factor analysis Psychologica Belgica\"/>
    </mc:Choice>
  </mc:AlternateContent>
  <bookViews>
    <workbookView xWindow="0" yWindow="0" windowWidth="13452" windowHeight="8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N162" i="1" l="1"/>
  <c r="CK162" i="1"/>
  <c r="CJ162" i="1"/>
  <c r="CI162" i="1"/>
  <c r="CH162" i="1"/>
  <c r="CG162" i="1"/>
  <c r="CF162" i="1"/>
  <c r="CE162" i="1"/>
  <c r="CD162" i="1"/>
  <c r="BY162" i="1"/>
  <c r="BX162" i="1"/>
  <c r="BW162" i="1"/>
  <c r="BV162" i="1"/>
  <c r="BU162" i="1"/>
  <c r="BT162" i="1"/>
  <c r="BS162" i="1"/>
  <c r="BR162" i="1"/>
  <c r="BM162" i="1"/>
  <c r="BL162" i="1"/>
  <c r="BK162" i="1"/>
  <c r="BJ162" i="1"/>
  <c r="BD162" i="1"/>
  <c r="BC162" i="1"/>
  <c r="BB162" i="1"/>
  <c r="BA162" i="1"/>
  <c r="AM162" i="1"/>
  <c r="AL162" i="1"/>
  <c r="AK162" i="1"/>
  <c r="AJ162" i="1"/>
  <c r="AD162" i="1"/>
  <c r="AC162" i="1"/>
  <c r="AB162" i="1"/>
  <c r="AA162" i="1"/>
  <c r="M162" i="1"/>
  <c r="L162" i="1"/>
  <c r="CN161" i="1"/>
  <c r="CK161" i="1"/>
  <c r="CJ161" i="1"/>
  <c r="CI161" i="1"/>
  <c r="CH161" i="1"/>
  <c r="CG161" i="1"/>
  <c r="CF161" i="1"/>
  <c r="CE161" i="1"/>
  <c r="CD161" i="1"/>
  <c r="BY161" i="1"/>
  <c r="BX161" i="1"/>
  <c r="BW161" i="1"/>
  <c r="BV161" i="1"/>
  <c r="BU161" i="1"/>
  <c r="BT161" i="1"/>
  <c r="BS161" i="1"/>
  <c r="BR161" i="1"/>
  <c r="BM161" i="1"/>
  <c r="BL161" i="1"/>
  <c r="BK161" i="1"/>
  <c r="BJ161" i="1"/>
  <c r="BD161" i="1"/>
  <c r="BC161" i="1"/>
  <c r="BB161" i="1"/>
  <c r="BA161" i="1"/>
  <c r="AM161" i="1"/>
  <c r="AL161" i="1"/>
  <c r="AK161" i="1"/>
  <c r="AJ161" i="1"/>
  <c r="AD161" i="1"/>
  <c r="AC161" i="1"/>
  <c r="AB161" i="1"/>
  <c r="AA161" i="1"/>
  <c r="M161" i="1"/>
  <c r="L161" i="1"/>
  <c r="CN160" i="1"/>
  <c r="CK160" i="1"/>
  <c r="CJ160" i="1"/>
  <c r="CI160" i="1"/>
  <c r="CH160" i="1"/>
  <c r="CG160" i="1"/>
  <c r="CF160" i="1"/>
  <c r="CE160" i="1"/>
  <c r="CD160" i="1"/>
  <c r="BY160" i="1"/>
  <c r="BX160" i="1"/>
  <c r="BW160" i="1"/>
  <c r="BV160" i="1"/>
  <c r="BU160" i="1"/>
  <c r="BT160" i="1"/>
  <c r="BS160" i="1"/>
  <c r="BR160" i="1"/>
  <c r="BM160" i="1"/>
  <c r="BL160" i="1"/>
  <c r="BK160" i="1"/>
  <c r="BJ160" i="1"/>
  <c r="BD160" i="1"/>
  <c r="BC160" i="1"/>
  <c r="BB160" i="1"/>
  <c r="BA160" i="1"/>
  <c r="AM160" i="1"/>
  <c r="AL160" i="1"/>
  <c r="AK160" i="1"/>
  <c r="AJ160" i="1"/>
  <c r="AD160" i="1"/>
  <c r="AC160" i="1"/>
  <c r="AB160" i="1"/>
  <c r="AA160" i="1"/>
  <c r="M160" i="1"/>
  <c r="L160" i="1"/>
  <c r="CN159" i="1"/>
  <c r="CK159" i="1"/>
  <c r="CJ159" i="1"/>
  <c r="CI159" i="1"/>
  <c r="CH159" i="1"/>
  <c r="CG159" i="1"/>
  <c r="CF159" i="1"/>
  <c r="CE159" i="1"/>
  <c r="CD159" i="1"/>
  <c r="BY159" i="1"/>
  <c r="BX159" i="1"/>
  <c r="BW159" i="1"/>
  <c r="BV159" i="1"/>
  <c r="BU159" i="1"/>
  <c r="BT159" i="1"/>
  <c r="BS159" i="1"/>
  <c r="BR159" i="1"/>
  <c r="BM159" i="1"/>
  <c r="BL159" i="1"/>
  <c r="BK159" i="1"/>
  <c r="BJ159" i="1"/>
  <c r="BD159" i="1"/>
  <c r="BC159" i="1"/>
  <c r="BB159" i="1"/>
  <c r="BA159" i="1"/>
  <c r="AM159" i="1"/>
  <c r="AL159" i="1"/>
  <c r="AK159" i="1"/>
  <c r="AJ159" i="1"/>
  <c r="AD159" i="1"/>
  <c r="AC159" i="1"/>
  <c r="AB159" i="1"/>
  <c r="AA159" i="1"/>
  <c r="M159" i="1"/>
  <c r="L159" i="1"/>
  <c r="CN158" i="1"/>
  <c r="CK158" i="1"/>
  <c r="CJ158" i="1"/>
  <c r="CI158" i="1"/>
  <c r="CH158" i="1"/>
  <c r="CG158" i="1"/>
  <c r="CF158" i="1"/>
  <c r="CE158" i="1"/>
  <c r="CD158" i="1"/>
  <c r="BY158" i="1"/>
  <c r="BX158" i="1"/>
  <c r="BW158" i="1"/>
  <c r="BV158" i="1"/>
  <c r="BU158" i="1"/>
  <c r="BT158" i="1"/>
  <c r="BS158" i="1"/>
  <c r="BR158" i="1"/>
  <c r="BM158" i="1"/>
  <c r="BL158" i="1"/>
  <c r="BK158" i="1"/>
  <c r="BJ158" i="1"/>
  <c r="BD158" i="1"/>
  <c r="BC158" i="1"/>
  <c r="BB158" i="1"/>
  <c r="BA158" i="1"/>
  <c r="AM158" i="1"/>
  <c r="AL158" i="1"/>
  <c r="AK158" i="1"/>
  <c r="AJ158" i="1"/>
  <c r="AD158" i="1"/>
  <c r="AC158" i="1"/>
  <c r="AB158" i="1"/>
  <c r="AA158" i="1"/>
  <c r="M158" i="1"/>
  <c r="L158" i="1"/>
  <c r="CN157" i="1"/>
  <c r="CK157" i="1"/>
  <c r="CJ157" i="1"/>
  <c r="CI157" i="1"/>
  <c r="CH157" i="1"/>
  <c r="CG157" i="1"/>
  <c r="CF157" i="1"/>
  <c r="CE157" i="1"/>
  <c r="CD157" i="1"/>
  <c r="BY157" i="1"/>
  <c r="BX157" i="1"/>
  <c r="BW157" i="1"/>
  <c r="BV157" i="1"/>
  <c r="BU157" i="1"/>
  <c r="BT157" i="1"/>
  <c r="BS157" i="1"/>
  <c r="BR157" i="1"/>
  <c r="BM157" i="1"/>
  <c r="BL157" i="1"/>
  <c r="BK157" i="1"/>
  <c r="BJ157" i="1"/>
  <c r="BD157" i="1"/>
  <c r="BC157" i="1"/>
  <c r="BB157" i="1"/>
  <c r="BA157" i="1"/>
  <c r="AM157" i="1"/>
  <c r="AL157" i="1"/>
  <c r="AK157" i="1"/>
  <c r="AJ157" i="1"/>
  <c r="AD157" i="1"/>
  <c r="AC157" i="1"/>
  <c r="AB157" i="1"/>
  <c r="AA157" i="1"/>
  <c r="M157" i="1"/>
  <c r="L157" i="1"/>
  <c r="CN156" i="1"/>
  <c r="CK156" i="1"/>
  <c r="CJ156" i="1"/>
  <c r="CI156" i="1"/>
  <c r="CH156" i="1"/>
  <c r="CG156" i="1"/>
  <c r="CF156" i="1"/>
  <c r="CE156" i="1"/>
  <c r="CD156" i="1"/>
  <c r="BY156" i="1"/>
  <c r="BX156" i="1"/>
  <c r="BW156" i="1"/>
  <c r="BV156" i="1"/>
  <c r="BU156" i="1"/>
  <c r="BT156" i="1"/>
  <c r="BS156" i="1"/>
  <c r="BR156" i="1"/>
  <c r="BM156" i="1"/>
  <c r="BL156" i="1"/>
  <c r="BK156" i="1"/>
  <c r="BJ156" i="1"/>
  <c r="BD156" i="1"/>
  <c r="BC156" i="1"/>
  <c r="BB156" i="1"/>
  <c r="BA156" i="1"/>
  <c r="AM156" i="1"/>
  <c r="AL156" i="1"/>
  <c r="AK156" i="1"/>
  <c r="AJ156" i="1"/>
  <c r="AD156" i="1"/>
  <c r="AC156" i="1"/>
  <c r="AB156" i="1"/>
  <c r="AA156" i="1"/>
  <c r="M156" i="1"/>
  <c r="L156" i="1"/>
  <c r="CN155" i="1"/>
  <c r="CK155" i="1"/>
  <c r="CJ155" i="1"/>
  <c r="CI155" i="1"/>
  <c r="CH155" i="1"/>
  <c r="CG155" i="1"/>
  <c r="CF155" i="1"/>
  <c r="CE155" i="1"/>
  <c r="CD155" i="1"/>
  <c r="BY155" i="1"/>
  <c r="BX155" i="1"/>
  <c r="BW155" i="1"/>
  <c r="BV155" i="1"/>
  <c r="BU155" i="1"/>
  <c r="BT155" i="1"/>
  <c r="BS155" i="1"/>
  <c r="BR155" i="1"/>
  <c r="BM155" i="1"/>
  <c r="BL155" i="1"/>
  <c r="BK155" i="1"/>
  <c r="BJ155" i="1"/>
  <c r="BD155" i="1"/>
  <c r="BC155" i="1"/>
  <c r="BB155" i="1"/>
  <c r="BA155" i="1"/>
  <c r="AM155" i="1"/>
  <c r="AL155" i="1"/>
  <c r="AK155" i="1"/>
  <c r="AJ155" i="1"/>
  <c r="AD155" i="1"/>
  <c r="AC155" i="1"/>
  <c r="AB155" i="1"/>
  <c r="AA155" i="1"/>
  <c r="M155" i="1"/>
  <c r="L155" i="1"/>
  <c r="CN154" i="1"/>
  <c r="CK154" i="1"/>
  <c r="CJ154" i="1"/>
  <c r="CI154" i="1"/>
  <c r="CH154" i="1"/>
  <c r="CG154" i="1"/>
  <c r="CF154" i="1"/>
  <c r="CE154" i="1"/>
  <c r="CD154" i="1"/>
  <c r="BY154" i="1"/>
  <c r="BX154" i="1"/>
  <c r="BW154" i="1"/>
  <c r="BV154" i="1"/>
  <c r="BU154" i="1"/>
  <c r="BT154" i="1"/>
  <c r="BS154" i="1"/>
  <c r="BR154" i="1"/>
  <c r="BM154" i="1"/>
  <c r="BL154" i="1"/>
  <c r="BK154" i="1"/>
  <c r="BJ154" i="1"/>
  <c r="BD154" i="1"/>
  <c r="BC154" i="1"/>
  <c r="BB154" i="1"/>
  <c r="BA154" i="1"/>
  <c r="AM154" i="1"/>
  <c r="AL154" i="1"/>
  <c r="AK154" i="1"/>
  <c r="AJ154" i="1"/>
  <c r="AD154" i="1"/>
  <c r="AC154" i="1"/>
  <c r="AB154" i="1"/>
  <c r="AA154" i="1"/>
  <c r="M154" i="1"/>
  <c r="L154" i="1"/>
  <c r="CN153" i="1"/>
  <c r="CK153" i="1"/>
  <c r="CJ153" i="1"/>
  <c r="CI153" i="1"/>
  <c r="CH153" i="1"/>
  <c r="CG153" i="1"/>
  <c r="CF153" i="1"/>
  <c r="CE153" i="1"/>
  <c r="CD153" i="1"/>
  <c r="BY153" i="1"/>
  <c r="BX153" i="1"/>
  <c r="BW153" i="1"/>
  <c r="BV153" i="1"/>
  <c r="BU153" i="1"/>
  <c r="BT153" i="1"/>
  <c r="BS153" i="1"/>
  <c r="BR153" i="1"/>
  <c r="BM153" i="1"/>
  <c r="BL153" i="1"/>
  <c r="BK153" i="1"/>
  <c r="BJ153" i="1"/>
  <c r="BD153" i="1"/>
  <c r="BC153" i="1"/>
  <c r="BB153" i="1"/>
  <c r="BA153" i="1"/>
  <c r="AM153" i="1"/>
  <c r="AL153" i="1"/>
  <c r="AK153" i="1"/>
  <c r="AJ153" i="1"/>
  <c r="AD153" i="1"/>
  <c r="AC153" i="1"/>
  <c r="AB153" i="1"/>
  <c r="AA153" i="1"/>
  <c r="M153" i="1"/>
  <c r="L153" i="1"/>
  <c r="CN152" i="1"/>
  <c r="CK152" i="1"/>
  <c r="CJ152" i="1"/>
  <c r="CI152" i="1"/>
  <c r="CH152" i="1"/>
  <c r="CG152" i="1"/>
  <c r="CF152" i="1"/>
  <c r="CE152" i="1"/>
  <c r="CD152" i="1"/>
  <c r="BY152" i="1"/>
  <c r="BX152" i="1"/>
  <c r="BW152" i="1"/>
  <c r="BV152" i="1"/>
  <c r="BU152" i="1"/>
  <c r="BT152" i="1"/>
  <c r="BS152" i="1"/>
  <c r="BR152" i="1"/>
  <c r="BM152" i="1"/>
  <c r="BL152" i="1"/>
  <c r="BK152" i="1"/>
  <c r="BJ152" i="1"/>
  <c r="BD152" i="1"/>
  <c r="BC152" i="1"/>
  <c r="BB152" i="1"/>
  <c r="BA152" i="1"/>
  <c r="AM152" i="1"/>
  <c r="AL152" i="1"/>
  <c r="AK152" i="1"/>
  <c r="AJ152" i="1"/>
  <c r="AD152" i="1"/>
  <c r="AC152" i="1"/>
  <c r="AB152" i="1"/>
  <c r="AA152" i="1"/>
  <c r="M152" i="1"/>
  <c r="L152" i="1"/>
  <c r="CN151" i="1"/>
  <c r="CK151" i="1"/>
  <c r="CJ151" i="1"/>
  <c r="CI151" i="1"/>
  <c r="CH151" i="1"/>
  <c r="CG151" i="1"/>
  <c r="CF151" i="1"/>
  <c r="CE151" i="1"/>
  <c r="CD151" i="1"/>
  <c r="BY151" i="1"/>
  <c r="BX151" i="1"/>
  <c r="BW151" i="1"/>
  <c r="BV151" i="1"/>
  <c r="BU151" i="1"/>
  <c r="BT151" i="1"/>
  <c r="BS151" i="1"/>
  <c r="BR151" i="1"/>
  <c r="BM151" i="1"/>
  <c r="BL151" i="1"/>
  <c r="BK151" i="1"/>
  <c r="BJ151" i="1"/>
  <c r="BD151" i="1"/>
  <c r="BC151" i="1"/>
  <c r="BB151" i="1"/>
  <c r="BA151" i="1"/>
  <c r="AM151" i="1"/>
  <c r="AL151" i="1"/>
  <c r="AK151" i="1"/>
  <c r="AJ151" i="1"/>
  <c r="AD151" i="1"/>
  <c r="AC151" i="1"/>
  <c r="AB151" i="1"/>
  <c r="AA151" i="1"/>
  <c r="M151" i="1"/>
  <c r="L151" i="1"/>
  <c r="CN150" i="1"/>
  <c r="CK150" i="1"/>
  <c r="CJ150" i="1"/>
  <c r="CI150" i="1"/>
  <c r="CH150" i="1"/>
  <c r="CG150" i="1"/>
  <c r="CF150" i="1"/>
  <c r="CE150" i="1"/>
  <c r="CD150" i="1"/>
  <c r="BY150" i="1"/>
  <c r="BX150" i="1"/>
  <c r="BW150" i="1"/>
  <c r="BV150" i="1"/>
  <c r="BU150" i="1"/>
  <c r="BT150" i="1"/>
  <c r="BS150" i="1"/>
  <c r="BR150" i="1"/>
  <c r="BM150" i="1"/>
  <c r="BL150" i="1"/>
  <c r="BK150" i="1"/>
  <c r="BJ150" i="1"/>
  <c r="BD150" i="1"/>
  <c r="BC150" i="1"/>
  <c r="BB150" i="1"/>
  <c r="BA150" i="1"/>
  <c r="AM150" i="1"/>
  <c r="AL150" i="1"/>
  <c r="AK150" i="1"/>
  <c r="AJ150" i="1"/>
  <c r="AD150" i="1"/>
  <c r="AC150" i="1"/>
  <c r="AB150" i="1"/>
  <c r="AA150" i="1"/>
  <c r="M150" i="1"/>
  <c r="L150" i="1"/>
  <c r="CN149" i="1"/>
  <c r="CK149" i="1"/>
  <c r="CJ149" i="1"/>
  <c r="CI149" i="1"/>
  <c r="CH149" i="1"/>
  <c r="CG149" i="1"/>
  <c r="CF149" i="1"/>
  <c r="CE149" i="1"/>
  <c r="CD149" i="1"/>
  <c r="BY149" i="1"/>
  <c r="BX149" i="1"/>
  <c r="BW149" i="1"/>
  <c r="BV149" i="1"/>
  <c r="BU149" i="1"/>
  <c r="BT149" i="1"/>
  <c r="BS149" i="1"/>
  <c r="BR149" i="1"/>
  <c r="BM149" i="1"/>
  <c r="BL149" i="1"/>
  <c r="BK149" i="1"/>
  <c r="BJ149" i="1"/>
  <c r="BD149" i="1"/>
  <c r="BC149" i="1"/>
  <c r="BB149" i="1"/>
  <c r="BA149" i="1"/>
  <c r="AM149" i="1"/>
  <c r="AL149" i="1"/>
  <c r="AK149" i="1"/>
  <c r="AJ149" i="1"/>
  <c r="AD149" i="1"/>
  <c r="AC149" i="1"/>
  <c r="AB149" i="1"/>
  <c r="AA149" i="1"/>
  <c r="M149" i="1"/>
  <c r="L149" i="1"/>
  <c r="CN148" i="1"/>
  <c r="CK148" i="1"/>
  <c r="CJ148" i="1"/>
  <c r="CI148" i="1"/>
  <c r="CH148" i="1"/>
  <c r="CG148" i="1"/>
  <c r="CF148" i="1"/>
  <c r="CE148" i="1"/>
  <c r="CD148" i="1"/>
  <c r="BY148" i="1"/>
  <c r="BX148" i="1"/>
  <c r="BW148" i="1"/>
  <c r="BV148" i="1"/>
  <c r="BU148" i="1"/>
  <c r="BT148" i="1"/>
  <c r="BS148" i="1"/>
  <c r="BR148" i="1"/>
  <c r="BM148" i="1"/>
  <c r="BL148" i="1"/>
  <c r="BK148" i="1"/>
  <c r="BJ148" i="1"/>
  <c r="BD148" i="1"/>
  <c r="BC148" i="1"/>
  <c r="BB148" i="1"/>
  <c r="BA148" i="1"/>
  <c r="AM148" i="1"/>
  <c r="AL148" i="1"/>
  <c r="AK148" i="1"/>
  <c r="AJ148" i="1"/>
  <c r="AD148" i="1"/>
  <c r="AC148" i="1"/>
  <c r="AB148" i="1"/>
  <c r="AA148" i="1"/>
  <c r="M148" i="1"/>
  <c r="L148" i="1"/>
  <c r="CN147" i="1"/>
  <c r="CK147" i="1"/>
  <c r="CJ147" i="1"/>
  <c r="CI147" i="1"/>
  <c r="CH147" i="1"/>
  <c r="CG147" i="1"/>
  <c r="CF147" i="1"/>
  <c r="CE147" i="1"/>
  <c r="CD147" i="1"/>
  <c r="BY147" i="1"/>
  <c r="BX147" i="1"/>
  <c r="BW147" i="1"/>
  <c r="BV147" i="1"/>
  <c r="BU147" i="1"/>
  <c r="BT147" i="1"/>
  <c r="BS147" i="1"/>
  <c r="BR147" i="1"/>
  <c r="BM147" i="1"/>
  <c r="BL147" i="1"/>
  <c r="BK147" i="1"/>
  <c r="BJ147" i="1"/>
  <c r="BD147" i="1"/>
  <c r="BC147" i="1"/>
  <c r="BB147" i="1"/>
  <c r="BA147" i="1"/>
  <c r="AM147" i="1"/>
  <c r="AL147" i="1"/>
  <c r="AK147" i="1"/>
  <c r="AJ147" i="1"/>
  <c r="AD147" i="1"/>
  <c r="AC147" i="1"/>
  <c r="AB147" i="1"/>
  <c r="AA147" i="1"/>
  <c r="M147" i="1"/>
  <c r="L147" i="1"/>
  <c r="CN146" i="1"/>
  <c r="CK146" i="1"/>
  <c r="CJ146" i="1"/>
  <c r="CI146" i="1"/>
  <c r="CH146" i="1"/>
  <c r="CG146" i="1"/>
  <c r="CF146" i="1"/>
  <c r="CE146" i="1"/>
  <c r="CD146" i="1"/>
  <c r="BY146" i="1"/>
  <c r="BX146" i="1"/>
  <c r="BW146" i="1"/>
  <c r="BV146" i="1"/>
  <c r="BU146" i="1"/>
  <c r="BT146" i="1"/>
  <c r="BS146" i="1"/>
  <c r="BR146" i="1"/>
  <c r="BM146" i="1"/>
  <c r="BL146" i="1"/>
  <c r="BK146" i="1"/>
  <c r="BJ146" i="1"/>
  <c r="BD146" i="1"/>
  <c r="BC146" i="1"/>
  <c r="BB146" i="1"/>
  <c r="BA146" i="1"/>
  <c r="AM146" i="1"/>
  <c r="AL146" i="1"/>
  <c r="AK146" i="1"/>
  <c r="AJ146" i="1"/>
  <c r="AD146" i="1"/>
  <c r="AC146" i="1"/>
  <c r="AB146" i="1"/>
  <c r="AA146" i="1"/>
  <c r="M146" i="1"/>
  <c r="L146" i="1"/>
  <c r="CN145" i="1"/>
  <c r="CK145" i="1"/>
  <c r="CJ145" i="1"/>
  <c r="CI145" i="1"/>
  <c r="CH145" i="1"/>
  <c r="CG145" i="1"/>
  <c r="CF145" i="1"/>
  <c r="CE145" i="1"/>
  <c r="CD145" i="1"/>
  <c r="BY145" i="1"/>
  <c r="BX145" i="1"/>
  <c r="BW145" i="1"/>
  <c r="BV145" i="1"/>
  <c r="BU145" i="1"/>
  <c r="BT145" i="1"/>
  <c r="BS145" i="1"/>
  <c r="BR145" i="1"/>
  <c r="BM145" i="1"/>
  <c r="BL145" i="1"/>
  <c r="BK145" i="1"/>
  <c r="BJ145" i="1"/>
  <c r="BD145" i="1"/>
  <c r="BC145" i="1"/>
  <c r="BB145" i="1"/>
  <c r="BA145" i="1"/>
  <c r="AM145" i="1"/>
  <c r="AL145" i="1"/>
  <c r="AK145" i="1"/>
  <c r="AJ145" i="1"/>
  <c r="AD145" i="1"/>
  <c r="AC145" i="1"/>
  <c r="AB145" i="1"/>
  <c r="AA145" i="1"/>
  <c r="M145" i="1"/>
  <c r="L145" i="1"/>
  <c r="CN144" i="1"/>
  <c r="CK144" i="1"/>
  <c r="CJ144" i="1"/>
  <c r="CI144" i="1"/>
  <c r="CH144" i="1"/>
  <c r="CG144" i="1"/>
  <c r="CF144" i="1"/>
  <c r="CE144" i="1"/>
  <c r="CD144" i="1"/>
  <c r="BY144" i="1"/>
  <c r="BX144" i="1"/>
  <c r="BW144" i="1"/>
  <c r="BV144" i="1"/>
  <c r="BU144" i="1"/>
  <c r="BT144" i="1"/>
  <c r="BS144" i="1"/>
  <c r="BR144" i="1"/>
  <c r="BM144" i="1"/>
  <c r="BL144" i="1"/>
  <c r="BK144" i="1"/>
  <c r="BJ144" i="1"/>
  <c r="BD144" i="1"/>
  <c r="BC144" i="1"/>
  <c r="BB144" i="1"/>
  <c r="BA144" i="1"/>
  <c r="AM144" i="1"/>
  <c r="AL144" i="1"/>
  <c r="AK144" i="1"/>
  <c r="AJ144" i="1"/>
  <c r="AD144" i="1"/>
  <c r="AC144" i="1"/>
  <c r="AB144" i="1"/>
  <c r="AA144" i="1"/>
  <c r="M144" i="1"/>
  <c r="L144" i="1"/>
  <c r="CN143" i="1"/>
  <c r="CK143" i="1"/>
  <c r="CJ143" i="1"/>
  <c r="CI143" i="1"/>
  <c r="CH143" i="1"/>
  <c r="CG143" i="1"/>
  <c r="CF143" i="1"/>
  <c r="CE143" i="1"/>
  <c r="CD143" i="1"/>
  <c r="BY143" i="1"/>
  <c r="BX143" i="1"/>
  <c r="BW143" i="1"/>
  <c r="BV143" i="1"/>
  <c r="BU143" i="1"/>
  <c r="BT143" i="1"/>
  <c r="BS143" i="1"/>
  <c r="BR143" i="1"/>
  <c r="BM143" i="1"/>
  <c r="BL143" i="1"/>
  <c r="BK143" i="1"/>
  <c r="BJ143" i="1"/>
  <c r="BD143" i="1"/>
  <c r="BC143" i="1"/>
  <c r="BB143" i="1"/>
  <c r="BA143" i="1"/>
  <c r="AM143" i="1"/>
  <c r="AL143" i="1"/>
  <c r="AK143" i="1"/>
  <c r="AJ143" i="1"/>
  <c r="AD143" i="1"/>
  <c r="AC143" i="1"/>
  <c r="AB143" i="1"/>
  <c r="AA143" i="1"/>
  <c r="M143" i="1"/>
  <c r="L143" i="1"/>
  <c r="CN142" i="1"/>
  <c r="CK142" i="1"/>
  <c r="CJ142" i="1"/>
  <c r="CI142" i="1"/>
  <c r="CH142" i="1"/>
  <c r="CG142" i="1"/>
  <c r="CF142" i="1"/>
  <c r="CE142" i="1"/>
  <c r="CD142" i="1"/>
  <c r="BY142" i="1"/>
  <c r="BX142" i="1"/>
  <c r="BW142" i="1"/>
  <c r="BV142" i="1"/>
  <c r="BU142" i="1"/>
  <c r="BT142" i="1"/>
  <c r="BS142" i="1"/>
  <c r="BR142" i="1"/>
  <c r="BM142" i="1"/>
  <c r="BL142" i="1"/>
  <c r="BK142" i="1"/>
  <c r="BJ142" i="1"/>
  <c r="BD142" i="1"/>
  <c r="BC142" i="1"/>
  <c r="BB142" i="1"/>
  <c r="BA142" i="1"/>
  <c r="AM142" i="1"/>
  <c r="AL142" i="1"/>
  <c r="AK142" i="1"/>
  <c r="AJ142" i="1"/>
  <c r="AD142" i="1"/>
  <c r="AC142" i="1"/>
  <c r="AB142" i="1"/>
  <c r="AA142" i="1"/>
  <c r="M142" i="1"/>
  <c r="L142" i="1"/>
  <c r="CN141" i="1"/>
  <c r="CK141" i="1"/>
  <c r="CJ141" i="1"/>
  <c r="CI141" i="1"/>
  <c r="CH141" i="1"/>
  <c r="CG141" i="1"/>
  <c r="CF141" i="1"/>
  <c r="CE141" i="1"/>
  <c r="CD141" i="1"/>
  <c r="BY141" i="1"/>
  <c r="BX141" i="1"/>
  <c r="BW141" i="1"/>
  <c r="BV141" i="1"/>
  <c r="BU141" i="1"/>
  <c r="BT141" i="1"/>
  <c r="BS141" i="1"/>
  <c r="BR141" i="1"/>
  <c r="BM141" i="1"/>
  <c r="BL141" i="1"/>
  <c r="BK141" i="1"/>
  <c r="BJ141" i="1"/>
  <c r="BD141" i="1"/>
  <c r="BC141" i="1"/>
  <c r="BB141" i="1"/>
  <c r="BA141" i="1"/>
  <c r="AM141" i="1"/>
  <c r="AL141" i="1"/>
  <c r="AK141" i="1"/>
  <c r="AJ141" i="1"/>
  <c r="AD141" i="1"/>
  <c r="AC141" i="1"/>
  <c r="AB141" i="1"/>
  <c r="AA141" i="1"/>
  <c r="M141" i="1"/>
  <c r="L141" i="1"/>
  <c r="CN140" i="1"/>
  <c r="CK140" i="1"/>
  <c r="CJ140" i="1"/>
  <c r="CI140" i="1"/>
  <c r="CH140" i="1"/>
  <c r="CG140" i="1"/>
  <c r="CF140" i="1"/>
  <c r="CE140" i="1"/>
  <c r="CD140" i="1"/>
  <c r="BY140" i="1"/>
  <c r="BX140" i="1"/>
  <c r="BW140" i="1"/>
  <c r="BV140" i="1"/>
  <c r="BU140" i="1"/>
  <c r="BT140" i="1"/>
  <c r="BS140" i="1"/>
  <c r="BR140" i="1"/>
  <c r="BM140" i="1"/>
  <c r="BL140" i="1"/>
  <c r="BK140" i="1"/>
  <c r="BJ140" i="1"/>
  <c r="BD140" i="1"/>
  <c r="BC140" i="1"/>
  <c r="BB140" i="1"/>
  <c r="BA140" i="1"/>
  <c r="AM140" i="1"/>
  <c r="AL140" i="1"/>
  <c r="AK140" i="1"/>
  <c r="AJ140" i="1"/>
  <c r="AD140" i="1"/>
  <c r="AC140" i="1"/>
  <c r="AB140" i="1"/>
  <c r="AA140" i="1"/>
  <c r="M140" i="1"/>
  <c r="L140" i="1"/>
  <c r="CN139" i="1"/>
  <c r="CK139" i="1"/>
  <c r="CJ139" i="1"/>
  <c r="CI139" i="1"/>
  <c r="CH139" i="1"/>
  <c r="CG139" i="1"/>
  <c r="CF139" i="1"/>
  <c r="CE139" i="1"/>
  <c r="CD139" i="1"/>
  <c r="BY139" i="1"/>
  <c r="BX139" i="1"/>
  <c r="BW139" i="1"/>
  <c r="BV139" i="1"/>
  <c r="BU139" i="1"/>
  <c r="BT139" i="1"/>
  <c r="BS139" i="1"/>
  <c r="BR139" i="1"/>
  <c r="BM139" i="1"/>
  <c r="BL139" i="1"/>
  <c r="BK139" i="1"/>
  <c r="BJ139" i="1"/>
  <c r="BD139" i="1"/>
  <c r="BC139" i="1"/>
  <c r="BB139" i="1"/>
  <c r="BA139" i="1"/>
  <c r="AM139" i="1"/>
  <c r="AL139" i="1"/>
  <c r="AK139" i="1"/>
  <c r="AJ139" i="1"/>
  <c r="AD139" i="1"/>
  <c r="AC139" i="1"/>
  <c r="AB139" i="1"/>
  <c r="AA139" i="1"/>
  <c r="M139" i="1"/>
  <c r="L139" i="1"/>
  <c r="CN138" i="1"/>
  <c r="CK138" i="1"/>
  <c r="CJ138" i="1"/>
  <c r="CI138" i="1"/>
  <c r="CH138" i="1"/>
  <c r="CG138" i="1"/>
  <c r="CF138" i="1"/>
  <c r="CE138" i="1"/>
  <c r="CD138" i="1"/>
  <c r="BY138" i="1"/>
  <c r="BX138" i="1"/>
  <c r="BW138" i="1"/>
  <c r="BV138" i="1"/>
  <c r="BU138" i="1"/>
  <c r="BT138" i="1"/>
  <c r="BS138" i="1"/>
  <c r="BR138" i="1"/>
  <c r="BM138" i="1"/>
  <c r="BL138" i="1"/>
  <c r="BK138" i="1"/>
  <c r="BJ138" i="1"/>
  <c r="BD138" i="1"/>
  <c r="BC138" i="1"/>
  <c r="BB138" i="1"/>
  <c r="BA138" i="1"/>
  <c r="AM138" i="1"/>
  <c r="AL138" i="1"/>
  <c r="AK138" i="1"/>
  <c r="AJ138" i="1"/>
  <c r="AD138" i="1"/>
  <c r="AC138" i="1"/>
  <c r="AB138" i="1"/>
  <c r="AA138" i="1"/>
  <c r="M138" i="1"/>
  <c r="L138" i="1"/>
  <c r="CN137" i="1"/>
  <c r="CK137" i="1"/>
  <c r="CJ137" i="1"/>
  <c r="CI137" i="1"/>
  <c r="CH137" i="1"/>
  <c r="CG137" i="1"/>
  <c r="CF137" i="1"/>
  <c r="CE137" i="1"/>
  <c r="CD137" i="1"/>
  <c r="BY137" i="1"/>
  <c r="BX137" i="1"/>
  <c r="BW137" i="1"/>
  <c r="BV137" i="1"/>
  <c r="BU137" i="1"/>
  <c r="BT137" i="1"/>
  <c r="BS137" i="1"/>
  <c r="BR137" i="1"/>
  <c r="BM137" i="1"/>
  <c r="BL137" i="1"/>
  <c r="BK137" i="1"/>
  <c r="BJ137" i="1"/>
  <c r="BD137" i="1"/>
  <c r="BC137" i="1"/>
  <c r="BB137" i="1"/>
  <c r="BA137" i="1"/>
  <c r="AM137" i="1"/>
  <c r="AL137" i="1"/>
  <c r="AK137" i="1"/>
  <c r="AJ137" i="1"/>
  <c r="AD137" i="1"/>
  <c r="AC137" i="1"/>
  <c r="AB137" i="1"/>
  <c r="AA137" i="1"/>
  <c r="M137" i="1"/>
  <c r="L137" i="1"/>
  <c r="CN136" i="1"/>
  <c r="CK136" i="1"/>
  <c r="CJ136" i="1"/>
  <c r="CI136" i="1"/>
  <c r="CH136" i="1"/>
  <c r="CG136" i="1"/>
  <c r="CF136" i="1"/>
  <c r="CE136" i="1"/>
  <c r="CD136" i="1"/>
  <c r="BY136" i="1"/>
  <c r="BX136" i="1"/>
  <c r="BW136" i="1"/>
  <c r="BV136" i="1"/>
  <c r="BU136" i="1"/>
  <c r="BT136" i="1"/>
  <c r="BS136" i="1"/>
  <c r="BR136" i="1"/>
  <c r="BM136" i="1"/>
  <c r="BL136" i="1"/>
  <c r="BK136" i="1"/>
  <c r="BJ136" i="1"/>
  <c r="BD136" i="1"/>
  <c r="BC136" i="1"/>
  <c r="BB136" i="1"/>
  <c r="BA136" i="1"/>
  <c r="AM136" i="1"/>
  <c r="AL136" i="1"/>
  <c r="AK136" i="1"/>
  <c r="AJ136" i="1"/>
  <c r="AD136" i="1"/>
  <c r="AC136" i="1"/>
  <c r="AB136" i="1"/>
  <c r="AA136" i="1"/>
  <c r="M136" i="1"/>
  <c r="L136" i="1"/>
  <c r="CN135" i="1"/>
  <c r="CK135" i="1"/>
  <c r="CJ135" i="1"/>
  <c r="CI135" i="1"/>
  <c r="CH135" i="1"/>
  <c r="CG135" i="1"/>
  <c r="CF135" i="1"/>
  <c r="CE135" i="1"/>
  <c r="CD135" i="1"/>
  <c r="BY135" i="1"/>
  <c r="BX135" i="1"/>
  <c r="BW135" i="1"/>
  <c r="BV135" i="1"/>
  <c r="BU135" i="1"/>
  <c r="BT135" i="1"/>
  <c r="BS135" i="1"/>
  <c r="BR135" i="1"/>
  <c r="BM135" i="1"/>
  <c r="BL135" i="1"/>
  <c r="BK135" i="1"/>
  <c r="BJ135" i="1"/>
  <c r="BD135" i="1"/>
  <c r="BC135" i="1"/>
  <c r="BB135" i="1"/>
  <c r="BA135" i="1"/>
  <c r="AM135" i="1"/>
  <c r="AL135" i="1"/>
  <c r="AK135" i="1"/>
  <c r="AJ135" i="1"/>
  <c r="AD135" i="1"/>
  <c r="AC135" i="1"/>
  <c r="AB135" i="1"/>
  <c r="AA135" i="1"/>
  <c r="M135" i="1"/>
  <c r="L135" i="1"/>
  <c r="CN134" i="1"/>
  <c r="CK134" i="1"/>
  <c r="CJ134" i="1"/>
  <c r="CI134" i="1"/>
  <c r="CH134" i="1"/>
  <c r="CG134" i="1"/>
  <c r="CF134" i="1"/>
  <c r="CE134" i="1"/>
  <c r="CD134" i="1"/>
  <c r="BY134" i="1"/>
  <c r="BX134" i="1"/>
  <c r="BW134" i="1"/>
  <c r="BV134" i="1"/>
  <c r="BU134" i="1"/>
  <c r="BT134" i="1"/>
  <c r="BS134" i="1"/>
  <c r="BR134" i="1"/>
  <c r="BM134" i="1"/>
  <c r="BL134" i="1"/>
  <c r="BK134" i="1"/>
  <c r="BJ134" i="1"/>
  <c r="BD134" i="1"/>
  <c r="BC134" i="1"/>
  <c r="BB134" i="1"/>
  <c r="BA134" i="1"/>
  <c r="AM134" i="1"/>
  <c r="AL134" i="1"/>
  <c r="AK134" i="1"/>
  <c r="AJ134" i="1"/>
  <c r="AD134" i="1"/>
  <c r="AC134" i="1"/>
  <c r="AB134" i="1"/>
  <c r="AA134" i="1"/>
  <c r="M134" i="1"/>
  <c r="L134" i="1"/>
  <c r="CN133" i="1"/>
  <c r="CK133" i="1"/>
  <c r="CJ133" i="1"/>
  <c r="CI133" i="1"/>
  <c r="CH133" i="1"/>
  <c r="CG133" i="1"/>
  <c r="CF133" i="1"/>
  <c r="CE133" i="1"/>
  <c r="CD133" i="1"/>
  <c r="BY133" i="1"/>
  <c r="BX133" i="1"/>
  <c r="BW133" i="1"/>
  <c r="BV133" i="1"/>
  <c r="BU133" i="1"/>
  <c r="BT133" i="1"/>
  <c r="BS133" i="1"/>
  <c r="BR133" i="1"/>
  <c r="BM133" i="1"/>
  <c r="BL133" i="1"/>
  <c r="BK133" i="1"/>
  <c r="BJ133" i="1"/>
  <c r="BD133" i="1"/>
  <c r="BC133" i="1"/>
  <c r="BB133" i="1"/>
  <c r="BA133" i="1"/>
  <c r="AM133" i="1"/>
  <c r="AL133" i="1"/>
  <c r="AK133" i="1"/>
  <c r="AJ133" i="1"/>
  <c r="AD133" i="1"/>
  <c r="AC133" i="1"/>
  <c r="AB133" i="1"/>
  <c r="AA133" i="1"/>
  <c r="M133" i="1"/>
  <c r="L133" i="1"/>
  <c r="CN132" i="1"/>
  <c r="CK132" i="1"/>
  <c r="CJ132" i="1"/>
  <c r="CI132" i="1"/>
  <c r="CH132" i="1"/>
  <c r="CG132" i="1"/>
  <c r="CF132" i="1"/>
  <c r="CE132" i="1"/>
  <c r="CD132" i="1"/>
  <c r="BY132" i="1"/>
  <c r="BX132" i="1"/>
  <c r="BW132" i="1"/>
  <c r="BV132" i="1"/>
  <c r="BU132" i="1"/>
  <c r="BT132" i="1"/>
  <c r="BS132" i="1"/>
  <c r="BR132" i="1"/>
  <c r="BM132" i="1"/>
  <c r="BL132" i="1"/>
  <c r="BK132" i="1"/>
  <c r="BJ132" i="1"/>
  <c r="BD132" i="1"/>
  <c r="BC132" i="1"/>
  <c r="BB132" i="1"/>
  <c r="BA132" i="1"/>
  <c r="AM132" i="1"/>
  <c r="AL132" i="1"/>
  <c r="AK132" i="1"/>
  <c r="AJ132" i="1"/>
  <c r="AD132" i="1"/>
  <c r="AC132" i="1"/>
  <c r="AB132" i="1"/>
  <c r="AA132" i="1"/>
  <c r="M132" i="1"/>
  <c r="L132" i="1"/>
  <c r="CN131" i="1"/>
  <c r="CK131" i="1"/>
  <c r="CJ131" i="1"/>
  <c r="CI131" i="1"/>
  <c r="CH131" i="1"/>
  <c r="CG131" i="1"/>
  <c r="CF131" i="1"/>
  <c r="CE131" i="1"/>
  <c r="CD131" i="1"/>
  <c r="BY131" i="1"/>
  <c r="BX131" i="1"/>
  <c r="BW131" i="1"/>
  <c r="BV131" i="1"/>
  <c r="BU131" i="1"/>
  <c r="BT131" i="1"/>
  <c r="BS131" i="1"/>
  <c r="BR131" i="1"/>
  <c r="BM131" i="1"/>
  <c r="BL131" i="1"/>
  <c r="BK131" i="1"/>
  <c r="BJ131" i="1"/>
  <c r="BD131" i="1"/>
  <c r="BC131" i="1"/>
  <c r="BB131" i="1"/>
  <c r="BA131" i="1"/>
  <c r="AM131" i="1"/>
  <c r="AL131" i="1"/>
  <c r="AK131" i="1"/>
  <c r="AJ131" i="1"/>
  <c r="AD131" i="1"/>
  <c r="AC131" i="1"/>
  <c r="AB131" i="1"/>
  <c r="AA131" i="1"/>
  <c r="M131" i="1"/>
  <c r="L131" i="1"/>
  <c r="CN130" i="1"/>
  <c r="CK130" i="1"/>
  <c r="CJ130" i="1"/>
  <c r="CI130" i="1"/>
  <c r="CH130" i="1"/>
  <c r="CG130" i="1"/>
  <c r="CF130" i="1"/>
  <c r="CE130" i="1"/>
  <c r="CD130" i="1"/>
  <c r="BY130" i="1"/>
  <c r="BX130" i="1"/>
  <c r="BW130" i="1"/>
  <c r="BV130" i="1"/>
  <c r="BU130" i="1"/>
  <c r="BT130" i="1"/>
  <c r="BS130" i="1"/>
  <c r="BR130" i="1"/>
  <c r="BM130" i="1"/>
  <c r="BL130" i="1"/>
  <c r="BK130" i="1"/>
  <c r="BJ130" i="1"/>
  <c r="BD130" i="1"/>
  <c r="BC130" i="1"/>
  <c r="BB130" i="1"/>
  <c r="BA130" i="1"/>
  <c r="AM130" i="1"/>
  <c r="AL130" i="1"/>
  <c r="AK130" i="1"/>
  <c r="AJ130" i="1"/>
  <c r="AD130" i="1"/>
  <c r="AC130" i="1"/>
  <c r="AB130" i="1"/>
  <c r="AA130" i="1"/>
  <c r="M130" i="1"/>
  <c r="L130" i="1"/>
  <c r="CN129" i="1"/>
  <c r="CK129" i="1"/>
  <c r="CJ129" i="1"/>
  <c r="CI129" i="1"/>
  <c r="CH129" i="1"/>
  <c r="CG129" i="1"/>
  <c r="CF129" i="1"/>
  <c r="CE129" i="1"/>
  <c r="CD129" i="1"/>
  <c r="BY129" i="1"/>
  <c r="BX129" i="1"/>
  <c r="BW129" i="1"/>
  <c r="BV129" i="1"/>
  <c r="BU129" i="1"/>
  <c r="BT129" i="1"/>
  <c r="BS129" i="1"/>
  <c r="BR129" i="1"/>
  <c r="BM129" i="1"/>
  <c r="BL129" i="1"/>
  <c r="BK129" i="1"/>
  <c r="BJ129" i="1"/>
  <c r="BD129" i="1"/>
  <c r="BC129" i="1"/>
  <c r="BB129" i="1"/>
  <c r="BA129" i="1"/>
  <c r="AM129" i="1"/>
  <c r="AL129" i="1"/>
  <c r="AK129" i="1"/>
  <c r="AJ129" i="1"/>
  <c r="AD129" i="1"/>
  <c r="AC129" i="1"/>
  <c r="AB129" i="1"/>
  <c r="AA129" i="1"/>
  <c r="M129" i="1"/>
  <c r="L129" i="1"/>
  <c r="CN128" i="1"/>
  <c r="CK128" i="1"/>
  <c r="CJ128" i="1"/>
  <c r="CI128" i="1"/>
  <c r="CH128" i="1"/>
  <c r="CG128" i="1"/>
  <c r="CF128" i="1"/>
  <c r="CE128" i="1"/>
  <c r="CD128" i="1"/>
  <c r="BY128" i="1"/>
  <c r="BX128" i="1"/>
  <c r="BW128" i="1"/>
  <c r="BV128" i="1"/>
  <c r="BU128" i="1"/>
  <c r="BT128" i="1"/>
  <c r="BS128" i="1"/>
  <c r="BR128" i="1"/>
  <c r="BM128" i="1"/>
  <c r="BL128" i="1"/>
  <c r="BK128" i="1"/>
  <c r="BJ128" i="1"/>
  <c r="BD128" i="1"/>
  <c r="BC128" i="1"/>
  <c r="BB128" i="1"/>
  <c r="BA128" i="1"/>
  <c r="AM128" i="1"/>
  <c r="AL128" i="1"/>
  <c r="AK128" i="1"/>
  <c r="AJ128" i="1"/>
  <c r="AD128" i="1"/>
  <c r="AC128" i="1"/>
  <c r="AB128" i="1"/>
  <c r="AA128" i="1"/>
  <c r="M128" i="1"/>
  <c r="L128" i="1"/>
  <c r="CN127" i="1"/>
  <c r="CK127" i="1"/>
  <c r="CJ127" i="1"/>
  <c r="CI127" i="1"/>
  <c r="CH127" i="1"/>
  <c r="CG127" i="1"/>
  <c r="CF127" i="1"/>
  <c r="CE127" i="1"/>
  <c r="CD127" i="1"/>
  <c r="BY127" i="1"/>
  <c r="BX127" i="1"/>
  <c r="BW127" i="1"/>
  <c r="BV127" i="1"/>
  <c r="BU127" i="1"/>
  <c r="BT127" i="1"/>
  <c r="BS127" i="1"/>
  <c r="BR127" i="1"/>
  <c r="BM127" i="1"/>
  <c r="BL127" i="1"/>
  <c r="BK127" i="1"/>
  <c r="BJ127" i="1"/>
  <c r="BD127" i="1"/>
  <c r="BC127" i="1"/>
  <c r="BB127" i="1"/>
  <c r="BA127" i="1"/>
  <c r="AM127" i="1"/>
  <c r="AL127" i="1"/>
  <c r="AK127" i="1"/>
  <c r="AJ127" i="1"/>
  <c r="AD127" i="1"/>
  <c r="AC127" i="1"/>
  <c r="AB127" i="1"/>
  <c r="AA127" i="1"/>
  <c r="M127" i="1"/>
  <c r="L127" i="1"/>
  <c r="CN126" i="1"/>
  <c r="CK126" i="1"/>
  <c r="CJ126" i="1"/>
  <c r="CI126" i="1"/>
  <c r="CH126" i="1"/>
  <c r="CG126" i="1"/>
  <c r="CF126" i="1"/>
  <c r="CE126" i="1"/>
  <c r="CD126" i="1"/>
  <c r="BY126" i="1"/>
  <c r="BX126" i="1"/>
  <c r="BW126" i="1"/>
  <c r="BV126" i="1"/>
  <c r="BU126" i="1"/>
  <c r="BT126" i="1"/>
  <c r="BS126" i="1"/>
  <c r="BR126" i="1"/>
  <c r="BM126" i="1"/>
  <c r="BL126" i="1"/>
  <c r="BK126" i="1"/>
  <c r="BJ126" i="1"/>
  <c r="BD126" i="1"/>
  <c r="BC126" i="1"/>
  <c r="BB126" i="1"/>
  <c r="BA126" i="1"/>
  <c r="AM126" i="1"/>
  <c r="AL126" i="1"/>
  <c r="AK126" i="1"/>
  <c r="AJ126" i="1"/>
  <c r="AD126" i="1"/>
  <c r="AC126" i="1"/>
  <c r="AB126" i="1"/>
  <c r="AA126" i="1"/>
  <c r="M126" i="1"/>
  <c r="L126" i="1"/>
  <c r="CN125" i="1"/>
  <c r="CK125" i="1"/>
  <c r="CJ125" i="1"/>
  <c r="CI125" i="1"/>
  <c r="CH125" i="1"/>
  <c r="CG125" i="1"/>
  <c r="CF125" i="1"/>
  <c r="CE125" i="1"/>
  <c r="CD125" i="1"/>
  <c r="BY125" i="1"/>
  <c r="BX125" i="1"/>
  <c r="BW125" i="1"/>
  <c r="BV125" i="1"/>
  <c r="BU125" i="1"/>
  <c r="BT125" i="1"/>
  <c r="BS125" i="1"/>
  <c r="BR125" i="1"/>
  <c r="BM125" i="1"/>
  <c r="BL125" i="1"/>
  <c r="BK125" i="1"/>
  <c r="BJ125" i="1"/>
  <c r="BD125" i="1"/>
  <c r="BC125" i="1"/>
  <c r="BB125" i="1"/>
  <c r="BA125" i="1"/>
  <c r="AM125" i="1"/>
  <c r="AL125" i="1"/>
  <c r="AK125" i="1"/>
  <c r="AJ125" i="1"/>
  <c r="AD125" i="1"/>
  <c r="AC125" i="1"/>
  <c r="AB125" i="1"/>
  <c r="AA125" i="1"/>
  <c r="M125" i="1"/>
  <c r="L125" i="1"/>
  <c r="CN124" i="1"/>
  <c r="CK124" i="1"/>
  <c r="CJ124" i="1"/>
  <c r="CI124" i="1"/>
  <c r="CH124" i="1"/>
  <c r="CG124" i="1"/>
  <c r="CF124" i="1"/>
  <c r="CE124" i="1"/>
  <c r="CD124" i="1"/>
  <c r="BY124" i="1"/>
  <c r="BX124" i="1"/>
  <c r="BW124" i="1"/>
  <c r="BV124" i="1"/>
  <c r="BU124" i="1"/>
  <c r="BT124" i="1"/>
  <c r="BS124" i="1"/>
  <c r="BR124" i="1"/>
  <c r="BM124" i="1"/>
  <c r="BL124" i="1"/>
  <c r="BK124" i="1"/>
  <c r="BJ124" i="1"/>
  <c r="BD124" i="1"/>
  <c r="BC124" i="1"/>
  <c r="BB124" i="1"/>
  <c r="BA124" i="1"/>
  <c r="AM124" i="1"/>
  <c r="AL124" i="1"/>
  <c r="AK124" i="1"/>
  <c r="AJ124" i="1"/>
  <c r="AD124" i="1"/>
  <c r="AC124" i="1"/>
  <c r="AB124" i="1"/>
  <c r="AA124" i="1"/>
  <c r="M124" i="1"/>
  <c r="L124" i="1"/>
  <c r="CN123" i="1"/>
  <c r="CK123" i="1"/>
  <c r="CJ123" i="1"/>
  <c r="CI123" i="1"/>
  <c r="CH123" i="1"/>
  <c r="CG123" i="1"/>
  <c r="CF123" i="1"/>
  <c r="CE123" i="1"/>
  <c r="CD123" i="1"/>
  <c r="BY123" i="1"/>
  <c r="BX123" i="1"/>
  <c r="BW123" i="1"/>
  <c r="BV123" i="1"/>
  <c r="BU123" i="1"/>
  <c r="BT123" i="1"/>
  <c r="BS123" i="1"/>
  <c r="BR123" i="1"/>
  <c r="BM123" i="1"/>
  <c r="BL123" i="1"/>
  <c r="BK123" i="1"/>
  <c r="BJ123" i="1"/>
  <c r="BD123" i="1"/>
  <c r="BC123" i="1"/>
  <c r="BB123" i="1"/>
  <c r="BA123" i="1"/>
  <c r="AM123" i="1"/>
  <c r="AL123" i="1"/>
  <c r="AK123" i="1"/>
  <c r="AJ123" i="1"/>
  <c r="AD123" i="1"/>
  <c r="AC123" i="1"/>
  <c r="AB123" i="1"/>
  <c r="AA123" i="1"/>
  <c r="M123" i="1"/>
  <c r="L123" i="1"/>
  <c r="CN122" i="1"/>
  <c r="CK122" i="1"/>
  <c r="CJ122" i="1"/>
  <c r="CI122" i="1"/>
  <c r="CH122" i="1"/>
  <c r="CG122" i="1"/>
  <c r="CF122" i="1"/>
  <c r="CE122" i="1"/>
  <c r="CD122" i="1"/>
  <c r="BY122" i="1"/>
  <c r="BX122" i="1"/>
  <c r="BW122" i="1"/>
  <c r="BV122" i="1"/>
  <c r="BU122" i="1"/>
  <c r="BT122" i="1"/>
  <c r="BS122" i="1"/>
  <c r="BR122" i="1"/>
  <c r="BM122" i="1"/>
  <c r="BL122" i="1"/>
  <c r="BK122" i="1"/>
  <c r="BJ122" i="1"/>
  <c r="BD122" i="1"/>
  <c r="BC122" i="1"/>
  <c r="BB122" i="1"/>
  <c r="BA122" i="1"/>
  <c r="AM122" i="1"/>
  <c r="AL122" i="1"/>
  <c r="AK122" i="1"/>
  <c r="AJ122" i="1"/>
  <c r="AD122" i="1"/>
  <c r="AC122" i="1"/>
  <c r="AB122" i="1"/>
  <c r="AA122" i="1"/>
  <c r="M122" i="1"/>
  <c r="L122" i="1"/>
  <c r="CN121" i="1"/>
  <c r="CK121" i="1"/>
  <c r="CJ121" i="1"/>
  <c r="CI121" i="1"/>
  <c r="CH121" i="1"/>
  <c r="CG121" i="1"/>
  <c r="CF121" i="1"/>
  <c r="CE121" i="1"/>
  <c r="CD121" i="1"/>
  <c r="BY121" i="1"/>
  <c r="BX121" i="1"/>
  <c r="BW121" i="1"/>
  <c r="BV121" i="1"/>
  <c r="BU121" i="1"/>
  <c r="BT121" i="1"/>
  <c r="BS121" i="1"/>
  <c r="BR121" i="1"/>
  <c r="BM121" i="1"/>
  <c r="BL121" i="1"/>
  <c r="BK121" i="1"/>
  <c r="BJ121" i="1"/>
  <c r="BD121" i="1"/>
  <c r="BC121" i="1"/>
  <c r="BB121" i="1"/>
  <c r="BA121" i="1"/>
  <c r="AM121" i="1"/>
  <c r="AL121" i="1"/>
  <c r="AK121" i="1"/>
  <c r="AJ121" i="1"/>
  <c r="AD121" i="1"/>
  <c r="AC121" i="1"/>
  <c r="AB121" i="1"/>
  <c r="AA121" i="1"/>
  <c r="M121" i="1"/>
  <c r="L121" i="1"/>
  <c r="CN120" i="1"/>
  <c r="CK120" i="1"/>
  <c r="CJ120" i="1"/>
  <c r="CI120" i="1"/>
  <c r="CH120" i="1"/>
  <c r="CG120" i="1"/>
  <c r="CF120" i="1"/>
  <c r="CE120" i="1"/>
  <c r="CD120" i="1"/>
  <c r="BY120" i="1"/>
  <c r="BX120" i="1"/>
  <c r="BW120" i="1"/>
  <c r="BV120" i="1"/>
  <c r="BU120" i="1"/>
  <c r="BT120" i="1"/>
  <c r="BS120" i="1"/>
  <c r="BR120" i="1"/>
  <c r="BM120" i="1"/>
  <c r="BL120" i="1"/>
  <c r="BK120" i="1"/>
  <c r="BJ120" i="1"/>
  <c r="BD120" i="1"/>
  <c r="BC120" i="1"/>
  <c r="BB120" i="1"/>
  <c r="BA120" i="1"/>
  <c r="AM120" i="1"/>
  <c r="AL120" i="1"/>
  <c r="AK120" i="1"/>
  <c r="AJ120" i="1"/>
  <c r="AD120" i="1"/>
  <c r="AC120" i="1"/>
  <c r="AB120" i="1"/>
  <c r="AA120" i="1"/>
  <c r="M120" i="1"/>
  <c r="L120" i="1"/>
  <c r="CN119" i="1"/>
  <c r="CK119" i="1"/>
  <c r="CJ119" i="1"/>
  <c r="CI119" i="1"/>
  <c r="CH119" i="1"/>
  <c r="CG119" i="1"/>
  <c r="CF119" i="1"/>
  <c r="CE119" i="1"/>
  <c r="CD119" i="1"/>
  <c r="BY119" i="1"/>
  <c r="BX119" i="1"/>
  <c r="BW119" i="1"/>
  <c r="BV119" i="1"/>
  <c r="BU119" i="1"/>
  <c r="BT119" i="1"/>
  <c r="BS119" i="1"/>
  <c r="BR119" i="1"/>
  <c r="BM119" i="1"/>
  <c r="BL119" i="1"/>
  <c r="BK119" i="1"/>
  <c r="BJ119" i="1"/>
  <c r="BD119" i="1"/>
  <c r="BC119" i="1"/>
  <c r="BB119" i="1"/>
  <c r="BA119" i="1"/>
  <c r="AM119" i="1"/>
  <c r="AL119" i="1"/>
  <c r="AK119" i="1"/>
  <c r="AJ119" i="1"/>
  <c r="AD119" i="1"/>
  <c r="AC119" i="1"/>
  <c r="AB119" i="1"/>
  <c r="AA119" i="1"/>
  <c r="M119" i="1"/>
  <c r="L119" i="1"/>
  <c r="CN118" i="1"/>
  <c r="CK118" i="1"/>
  <c r="CJ118" i="1"/>
  <c r="CI118" i="1"/>
  <c r="CH118" i="1"/>
  <c r="CG118" i="1"/>
  <c r="CF118" i="1"/>
  <c r="CE118" i="1"/>
  <c r="CD118" i="1"/>
  <c r="BY118" i="1"/>
  <c r="BX118" i="1"/>
  <c r="BW118" i="1"/>
  <c r="BV118" i="1"/>
  <c r="BU118" i="1"/>
  <c r="BT118" i="1"/>
  <c r="BS118" i="1"/>
  <c r="BR118" i="1"/>
  <c r="BM118" i="1"/>
  <c r="BL118" i="1"/>
  <c r="BK118" i="1"/>
  <c r="BJ118" i="1"/>
  <c r="BD118" i="1"/>
  <c r="BC118" i="1"/>
  <c r="BB118" i="1"/>
  <c r="BA118" i="1"/>
  <c r="AM118" i="1"/>
  <c r="AL118" i="1"/>
  <c r="AK118" i="1"/>
  <c r="AJ118" i="1"/>
  <c r="AD118" i="1"/>
  <c r="AC118" i="1"/>
  <c r="AB118" i="1"/>
  <c r="AA118" i="1"/>
  <c r="M118" i="1"/>
  <c r="L118" i="1"/>
  <c r="CN117" i="1"/>
  <c r="CK117" i="1"/>
  <c r="CJ117" i="1"/>
  <c r="CI117" i="1"/>
  <c r="CH117" i="1"/>
  <c r="CG117" i="1"/>
  <c r="CF117" i="1"/>
  <c r="CE117" i="1"/>
  <c r="CD117" i="1"/>
  <c r="BY117" i="1"/>
  <c r="BX117" i="1"/>
  <c r="BW117" i="1"/>
  <c r="BV117" i="1"/>
  <c r="BU117" i="1"/>
  <c r="BT117" i="1"/>
  <c r="BS117" i="1"/>
  <c r="BR117" i="1"/>
  <c r="BM117" i="1"/>
  <c r="BL117" i="1"/>
  <c r="BK117" i="1"/>
  <c r="BJ117" i="1"/>
  <c r="BD117" i="1"/>
  <c r="BC117" i="1"/>
  <c r="BB117" i="1"/>
  <c r="BA117" i="1"/>
  <c r="AM117" i="1"/>
  <c r="AL117" i="1"/>
  <c r="AK117" i="1"/>
  <c r="AJ117" i="1"/>
  <c r="AD117" i="1"/>
  <c r="AC117" i="1"/>
  <c r="AB117" i="1"/>
  <c r="AA117" i="1"/>
  <c r="M117" i="1"/>
  <c r="L117" i="1"/>
  <c r="CN116" i="1"/>
  <c r="CK116" i="1"/>
  <c r="CJ116" i="1"/>
  <c r="CI116" i="1"/>
  <c r="CH116" i="1"/>
  <c r="CG116" i="1"/>
  <c r="CF116" i="1"/>
  <c r="CE116" i="1"/>
  <c r="CD116" i="1"/>
  <c r="BY116" i="1"/>
  <c r="BX116" i="1"/>
  <c r="BW116" i="1"/>
  <c r="BV116" i="1"/>
  <c r="BU116" i="1"/>
  <c r="BT116" i="1"/>
  <c r="BS116" i="1"/>
  <c r="BR116" i="1"/>
  <c r="BM116" i="1"/>
  <c r="BL116" i="1"/>
  <c r="BK116" i="1"/>
  <c r="BJ116" i="1"/>
  <c r="BD116" i="1"/>
  <c r="BC116" i="1"/>
  <c r="BB116" i="1"/>
  <c r="BA116" i="1"/>
  <c r="AM116" i="1"/>
  <c r="AL116" i="1"/>
  <c r="AK116" i="1"/>
  <c r="AJ116" i="1"/>
  <c r="AD116" i="1"/>
  <c r="AC116" i="1"/>
  <c r="AB116" i="1"/>
  <c r="AA116" i="1"/>
  <c r="M116" i="1"/>
  <c r="L116" i="1"/>
  <c r="CN115" i="1"/>
  <c r="CK115" i="1"/>
  <c r="CJ115" i="1"/>
  <c r="CI115" i="1"/>
  <c r="CH115" i="1"/>
  <c r="CG115" i="1"/>
  <c r="CF115" i="1"/>
  <c r="CE115" i="1"/>
  <c r="CD115" i="1"/>
  <c r="BY115" i="1"/>
  <c r="BX115" i="1"/>
  <c r="BW115" i="1"/>
  <c r="BV115" i="1"/>
  <c r="BU115" i="1"/>
  <c r="BT115" i="1"/>
  <c r="BS115" i="1"/>
  <c r="BR115" i="1"/>
  <c r="BM115" i="1"/>
  <c r="BL115" i="1"/>
  <c r="BK115" i="1"/>
  <c r="BJ115" i="1"/>
  <c r="BD115" i="1"/>
  <c r="BC115" i="1"/>
  <c r="BB115" i="1"/>
  <c r="BA115" i="1"/>
  <c r="AM115" i="1"/>
  <c r="AL115" i="1"/>
  <c r="AK115" i="1"/>
  <c r="AJ115" i="1"/>
  <c r="AD115" i="1"/>
  <c r="AC115" i="1"/>
  <c r="AB115" i="1"/>
  <c r="AA115" i="1"/>
  <c r="M115" i="1"/>
  <c r="L115" i="1"/>
  <c r="CN114" i="1"/>
  <c r="CK114" i="1"/>
  <c r="CJ114" i="1"/>
  <c r="CI114" i="1"/>
  <c r="CH114" i="1"/>
  <c r="CG114" i="1"/>
  <c r="CF114" i="1"/>
  <c r="CE114" i="1"/>
  <c r="CD114" i="1"/>
  <c r="BY114" i="1"/>
  <c r="BX114" i="1"/>
  <c r="BW114" i="1"/>
  <c r="BV114" i="1"/>
  <c r="BU114" i="1"/>
  <c r="BT114" i="1"/>
  <c r="BS114" i="1"/>
  <c r="BR114" i="1"/>
  <c r="BM114" i="1"/>
  <c r="BL114" i="1"/>
  <c r="BK114" i="1"/>
  <c r="BJ114" i="1"/>
  <c r="BD114" i="1"/>
  <c r="BC114" i="1"/>
  <c r="BB114" i="1"/>
  <c r="BA114" i="1"/>
  <c r="AM114" i="1"/>
  <c r="AL114" i="1"/>
  <c r="AK114" i="1"/>
  <c r="AJ114" i="1"/>
  <c r="AD114" i="1"/>
  <c r="AC114" i="1"/>
  <c r="AB114" i="1"/>
  <c r="AA114" i="1"/>
  <c r="M114" i="1"/>
  <c r="L114" i="1"/>
  <c r="CN113" i="1"/>
  <c r="CK113" i="1"/>
  <c r="CJ113" i="1"/>
  <c r="CI113" i="1"/>
  <c r="CH113" i="1"/>
  <c r="CG113" i="1"/>
  <c r="CF113" i="1"/>
  <c r="CE113" i="1"/>
  <c r="CD113" i="1"/>
  <c r="BY113" i="1"/>
  <c r="BX113" i="1"/>
  <c r="BW113" i="1"/>
  <c r="BV113" i="1"/>
  <c r="BU113" i="1"/>
  <c r="BT113" i="1"/>
  <c r="BS113" i="1"/>
  <c r="BR113" i="1"/>
  <c r="BM113" i="1"/>
  <c r="BL113" i="1"/>
  <c r="BK113" i="1"/>
  <c r="BJ113" i="1"/>
  <c r="BD113" i="1"/>
  <c r="BC113" i="1"/>
  <c r="BB113" i="1"/>
  <c r="BA113" i="1"/>
  <c r="AM113" i="1"/>
  <c r="AL113" i="1"/>
  <c r="AK113" i="1"/>
  <c r="AJ113" i="1"/>
  <c r="AD113" i="1"/>
  <c r="AC113" i="1"/>
  <c r="AB113" i="1"/>
  <c r="AA113" i="1"/>
  <c r="M113" i="1"/>
  <c r="L113" i="1"/>
  <c r="CN112" i="1"/>
  <c r="CK112" i="1"/>
  <c r="CJ112" i="1"/>
  <c r="CI112" i="1"/>
  <c r="CH112" i="1"/>
  <c r="CG112" i="1"/>
  <c r="CF112" i="1"/>
  <c r="CE112" i="1"/>
  <c r="CD112" i="1"/>
  <c r="BY112" i="1"/>
  <c r="BX112" i="1"/>
  <c r="BW112" i="1"/>
  <c r="BV112" i="1"/>
  <c r="BU112" i="1"/>
  <c r="BT112" i="1"/>
  <c r="BS112" i="1"/>
  <c r="BR112" i="1"/>
  <c r="BM112" i="1"/>
  <c r="BL112" i="1"/>
  <c r="BK112" i="1"/>
  <c r="BJ112" i="1"/>
  <c r="BD112" i="1"/>
  <c r="BC112" i="1"/>
  <c r="BB112" i="1"/>
  <c r="BA112" i="1"/>
  <c r="AM112" i="1"/>
  <c r="AL112" i="1"/>
  <c r="AK112" i="1"/>
  <c r="AJ112" i="1"/>
  <c r="AD112" i="1"/>
  <c r="AC112" i="1"/>
  <c r="AB112" i="1"/>
  <c r="AA112" i="1"/>
  <c r="M112" i="1"/>
  <c r="L112" i="1"/>
  <c r="CN111" i="1"/>
  <c r="CK111" i="1"/>
  <c r="CJ111" i="1"/>
  <c r="CI111" i="1"/>
  <c r="CH111" i="1"/>
  <c r="CG111" i="1"/>
  <c r="CF111" i="1"/>
  <c r="CE111" i="1"/>
  <c r="CD111" i="1"/>
  <c r="BY111" i="1"/>
  <c r="BX111" i="1"/>
  <c r="BW111" i="1"/>
  <c r="BV111" i="1"/>
  <c r="BU111" i="1"/>
  <c r="BT111" i="1"/>
  <c r="BS111" i="1"/>
  <c r="BR111" i="1"/>
  <c r="BM111" i="1"/>
  <c r="BL111" i="1"/>
  <c r="BK111" i="1"/>
  <c r="BJ111" i="1"/>
  <c r="BD111" i="1"/>
  <c r="BC111" i="1"/>
  <c r="BB111" i="1"/>
  <c r="BA111" i="1"/>
  <c r="AM111" i="1"/>
  <c r="AL111" i="1"/>
  <c r="AK111" i="1"/>
  <c r="AJ111" i="1"/>
  <c r="AD111" i="1"/>
  <c r="AC111" i="1"/>
  <c r="AB111" i="1"/>
  <c r="AA111" i="1"/>
  <c r="M111" i="1"/>
  <c r="L111" i="1"/>
  <c r="CN110" i="1"/>
  <c r="CK110" i="1"/>
  <c r="CJ110" i="1"/>
  <c r="CI110" i="1"/>
  <c r="CH110" i="1"/>
  <c r="CG110" i="1"/>
  <c r="CF110" i="1"/>
  <c r="CE110" i="1"/>
  <c r="CD110" i="1"/>
  <c r="BY110" i="1"/>
  <c r="BX110" i="1"/>
  <c r="BW110" i="1"/>
  <c r="BV110" i="1"/>
  <c r="BU110" i="1"/>
  <c r="BT110" i="1"/>
  <c r="BS110" i="1"/>
  <c r="BR110" i="1"/>
  <c r="BM110" i="1"/>
  <c r="BL110" i="1"/>
  <c r="BK110" i="1"/>
  <c r="BJ110" i="1"/>
  <c r="BD110" i="1"/>
  <c r="BC110" i="1"/>
  <c r="BB110" i="1"/>
  <c r="BA110" i="1"/>
  <c r="AM110" i="1"/>
  <c r="AL110" i="1"/>
  <c r="AK110" i="1"/>
  <c r="AJ110" i="1"/>
  <c r="AD110" i="1"/>
  <c r="AC110" i="1"/>
  <c r="AB110" i="1"/>
  <c r="AA110" i="1"/>
  <c r="M110" i="1"/>
  <c r="L110" i="1"/>
  <c r="CN109" i="1"/>
  <c r="CK109" i="1"/>
  <c r="CJ109" i="1"/>
  <c r="CI109" i="1"/>
  <c r="CH109" i="1"/>
  <c r="CG109" i="1"/>
  <c r="CF109" i="1"/>
  <c r="CE109" i="1"/>
  <c r="CD109" i="1"/>
  <c r="BY109" i="1"/>
  <c r="BX109" i="1"/>
  <c r="BW109" i="1"/>
  <c r="BV109" i="1"/>
  <c r="BU109" i="1"/>
  <c r="BT109" i="1"/>
  <c r="BS109" i="1"/>
  <c r="BR109" i="1"/>
  <c r="BM109" i="1"/>
  <c r="BL109" i="1"/>
  <c r="BK109" i="1"/>
  <c r="BJ109" i="1"/>
  <c r="BD109" i="1"/>
  <c r="BC109" i="1"/>
  <c r="BB109" i="1"/>
  <c r="BA109" i="1"/>
  <c r="AM109" i="1"/>
  <c r="AL109" i="1"/>
  <c r="AK109" i="1"/>
  <c r="AJ109" i="1"/>
  <c r="AD109" i="1"/>
  <c r="AC109" i="1"/>
  <c r="AB109" i="1"/>
  <c r="AA109" i="1"/>
  <c r="M109" i="1"/>
  <c r="L109" i="1"/>
  <c r="CN108" i="1"/>
  <c r="CK108" i="1"/>
  <c r="CJ108" i="1"/>
  <c r="CI108" i="1"/>
  <c r="CH108" i="1"/>
  <c r="CG108" i="1"/>
  <c r="CF108" i="1"/>
  <c r="CE108" i="1"/>
  <c r="CD108" i="1"/>
  <c r="BY108" i="1"/>
  <c r="BX108" i="1"/>
  <c r="BW108" i="1"/>
  <c r="BV108" i="1"/>
  <c r="BU108" i="1"/>
  <c r="BT108" i="1"/>
  <c r="BS108" i="1"/>
  <c r="BR108" i="1"/>
  <c r="BM108" i="1"/>
  <c r="BL108" i="1"/>
  <c r="BK108" i="1"/>
  <c r="BJ108" i="1"/>
  <c r="BD108" i="1"/>
  <c r="BC108" i="1"/>
  <c r="BB108" i="1"/>
  <c r="BA108" i="1"/>
  <c r="AM108" i="1"/>
  <c r="AL108" i="1"/>
  <c r="AK108" i="1"/>
  <c r="AJ108" i="1"/>
  <c r="AD108" i="1"/>
  <c r="AC108" i="1"/>
  <c r="AB108" i="1"/>
  <c r="AA108" i="1"/>
  <c r="M108" i="1"/>
  <c r="L108" i="1"/>
  <c r="CN107" i="1"/>
  <c r="CK107" i="1"/>
  <c r="CJ107" i="1"/>
  <c r="CI107" i="1"/>
  <c r="CH107" i="1"/>
  <c r="CG107" i="1"/>
  <c r="CF107" i="1"/>
  <c r="CE107" i="1"/>
  <c r="CD107" i="1"/>
  <c r="BY107" i="1"/>
  <c r="BX107" i="1"/>
  <c r="BW107" i="1"/>
  <c r="BV107" i="1"/>
  <c r="BU107" i="1"/>
  <c r="BT107" i="1"/>
  <c r="BS107" i="1"/>
  <c r="BR107" i="1"/>
  <c r="BM107" i="1"/>
  <c r="BL107" i="1"/>
  <c r="BK107" i="1"/>
  <c r="BJ107" i="1"/>
  <c r="BD107" i="1"/>
  <c r="BC107" i="1"/>
  <c r="BB107" i="1"/>
  <c r="BA107" i="1"/>
  <c r="AM107" i="1"/>
  <c r="AL107" i="1"/>
  <c r="AK107" i="1"/>
  <c r="AJ107" i="1"/>
  <c r="AD107" i="1"/>
  <c r="AC107" i="1"/>
  <c r="AB107" i="1"/>
  <c r="AA107" i="1"/>
  <c r="M107" i="1"/>
  <c r="L107" i="1"/>
  <c r="CN106" i="1"/>
  <c r="CK106" i="1"/>
  <c r="CJ106" i="1"/>
  <c r="CI106" i="1"/>
  <c r="CH106" i="1"/>
  <c r="CG106" i="1"/>
  <c r="CF106" i="1"/>
  <c r="CE106" i="1"/>
  <c r="CD106" i="1"/>
  <c r="BY106" i="1"/>
  <c r="BX106" i="1"/>
  <c r="BW106" i="1"/>
  <c r="BV106" i="1"/>
  <c r="BU106" i="1"/>
  <c r="BT106" i="1"/>
  <c r="BS106" i="1"/>
  <c r="BR106" i="1"/>
  <c r="BM106" i="1"/>
  <c r="BL106" i="1"/>
  <c r="BK106" i="1"/>
  <c r="BJ106" i="1"/>
  <c r="BD106" i="1"/>
  <c r="BC106" i="1"/>
  <c r="BB106" i="1"/>
  <c r="BA106" i="1"/>
  <c r="AM106" i="1"/>
  <c r="AL106" i="1"/>
  <c r="AK106" i="1"/>
  <c r="AJ106" i="1"/>
  <c r="AD106" i="1"/>
  <c r="AC106" i="1"/>
  <c r="AB106" i="1"/>
  <c r="AA106" i="1"/>
  <c r="M106" i="1"/>
  <c r="L106" i="1"/>
  <c r="CN105" i="1"/>
  <c r="CK105" i="1"/>
  <c r="CJ105" i="1"/>
  <c r="CI105" i="1"/>
  <c r="CH105" i="1"/>
  <c r="CG105" i="1"/>
  <c r="CF105" i="1"/>
  <c r="CE105" i="1"/>
  <c r="CD105" i="1"/>
  <c r="BY105" i="1"/>
  <c r="BX105" i="1"/>
  <c r="BW105" i="1"/>
  <c r="BV105" i="1"/>
  <c r="BU105" i="1"/>
  <c r="BT105" i="1"/>
  <c r="BS105" i="1"/>
  <c r="BR105" i="1"/>
  <c r="BM105" i="1"/>
  <c r="BL105" i="1"/>
  <c r="BK105" i="1"/>
  <c r="BJ105" i="1"/>
  <c r="BD105" i="1"/>
  <c r="BC105" i="1"/>
  <c r="BB105" i="1"/>
  <c r="BA105" i="1"/>
  <c r="AM105" i="1"/>
  <c r="AL105" i="1"/>
  <c r="AK105" i="1"/>
  <c r="AJ105" i="1"/>
  <c r="AD105" i="1"/>
  <c r="AC105" i="1"/>
  <c r="AB105" i="1"/>
  <c r="AA105" i="1"/>
  <c r="M105" i="1"/>
  <c r="L105" i="1"/>
  <c r="CN104" i="1"/>
  <c r="CK104" i="1"/>
  <c r="CJ104" i="1"/>
  <c r="CI104" i="1"/>
  <c r="CH104" i="1"/>
  <c r="CG104" i="1"/>
  <c r="CF104" i="1"/>
  <c r="CE104" i="1"/>
  <c r="CD104" i="1"/>
  <c r="BY104" i="1"/>
  <c r="BX104" i="1"/>
  <c r="BW104" i="1"/>
  <c r="BV104" i="1"/>
  <c r="BU104" i="1"/>
  <c r="BT104" i="1"/>
  <c r="BS104" i="1"/>
  <c r="BR104" i="1"/>
  <c r="BM104" i="1"/>
  <c r="BL104" i="1"/>
  <c r="BK104" i="1"/>
  <c r="BJ104" i="1"/>
  <c r="BD104" i="1"/>
  <c r="BC104" i="1"/>
  <c r="BB104" i="1"/>
  <c r="BA104" i="1"/>
  <c r="AM104" i="1"/>
  <c r="AL104" i="1"/>
  <c r="AK104" i="1"/>
  <c r="AJ104" i="1"/>
  <c r="AD104" i="1"/>
  <c r="AC104" i="1"/>
  <c r="AB104" i="1"/>
  <c r="AA104" i="1"/>
  <c r="M104" i="1"/>
  <c r="L104" i="1"/>
  <c r="CN103" i="1"/>
  <c r="CK103" i="1"/>
  <c r="CJ103" i="1"/>
  <c r="CI103" i="1"/>
  <c r="CH103" i="1"/>
  <c r="CG103" i="1"/>
  <c r="CF103" i="1"/>
  <c r="CE103" i="1"/>
  <c r="CD103" i="1"/>
  <c r="BY103" i="1"/>
  <c r="BX103" i="1"/>
  <c r="BW103" i="1"/>
  <c r="BV103" i="1"/>
  <c r="BU103" i="1"/>
  <c r="BT103" i="1"/>
  <c r="BS103" i="1"/>
  <c r="BR103" i="1"/>
  <c r="BM103" i="1"/>
  <c r="BL103" i="1"/>
  <c r="BK103" i="1"/>
  <c r="BJ103" i="1"/>
  <c r="BD103" i="1"/>
  <c r="BC103" i="1"/>
  <c r="BB103" i="1"/>
  <c r="BA103" i="1"/>
  <c r="AM103" i="1"/>
  <c r="AL103" i="1"/>
  <c r="AK103" i="1"/>
  <c r="AJ103" i="1"/>
  <c r="AD103" i="1"/>
  <c r="AC103" i="1"/>
  <c r="AB103" i="1"/>
  <c r="AA103" i="1"/>
  <c r="M103" i="1"/>
  <c r="L103" i="1"/>
  <c r="CN102" i="1"/>
  <c r="CK102" i="1"/>
  <c r="CJ102" i="1"/>
  <c r="CI102" i="1"/>
  <c r="CH102" i="1"/>
  <c r="CG102" i="1"/>
  <c r="CF102" i="1"/>
  <c r="CE102" i="1"/>
  <c r="CD102" i="1"/>
  <c r="BY102" i="1"/>
  <c r="BX102" i="1"/>
  <c r="BW102" i="1"/>
  <c r="BV102" i="1"/>
  <c r="BU102" i="1"/>
  <c r="BT102" i="1"/>
  <c r="BS102" i="1"/>
  <c r="BR102" i="1"/>
  <c r="BM102" i="1"/>
  <c r="BL102" i="1"/>
  <c r="BK102" i="1"/>
  <c r="BJ102" i="1"/>
  <c r="BD102" i="1"/>
  <c r="BC102" i="1"/>
  <c r="BB102" i="1"/>
  <c r="BA102" i="1"/>
  <c r="AM102" i="1"/>
  <c r="AL102" i="1"/>
  <c r="AK102" i="1"/>
  <c r="AJ102" i="1"/>
  <c r="AD102" i="1"/>
  <c r="AC102" i="1"/>
  <c r="AB102" i="1"/>
  <c r="AA102" i="1"/>
  <c r="M102" i="1"/>
  <c r="L102" i="1"/>
  <c r="CN101" i="1"/>
  <c r="CK101" i="1"/>
  <c r="CJ101" i="1"/>
  <c r="CI101" i="1"/>
  <c r="CH101" i="1"/>
  <c r="CG101" i="1"/>
  <c r="CF101" i="1"/>
  <c r="CE101" i="1"/>
  <c r="CD101" i="1"/>
  <c r="BY101" i="1"/>
  <c r="BX101" i="1"/>
  <c r="BW101" i="1"/>
  <c r="BV101" i="1"/>
  <c r="BU101" i="1"/>
  <c r="BT101" i="1"/>
  <c r="BS101" i="1"/>
  <c r="BR101" i="1"/>
  <c r="BM101" i="1"/>
  <c r="BL101" i="1"/>
  <c r="BK101" i="1"/>
  <c r="BJ101" i="1"/>
  <c r="BD101" i="1"/>
  <c r="BC101" i="1"/>
  <c r="BB101" i="1"/>
  <c r="BA101" i="1"/>
  <c r="AM101" i="1"/>
  <c r="AL101" i="1"/>
  <c r="AK101" i="1"/>
  <c r="AJ101" i="1"/>
  <c r="AD101" i="1"/>
  <c r="AC101" i="1"/>
  <c r="AB101" i="1"/>
  <c r="AA101" i="1"/>
  <c r="M101" i="1"/>
  <c r="L101" i="1"/>
  <c r="CN100" i="1"/>
  <c r="CK100" i="1"/>
  <c r="CJ100" i="1"/>
  <c r="CI100" i="1"/>
  <c r="CH100" i="1"/>
  <c r="CG100" i="1"/>
  <c r="CF100" i="1"/>
  <c r="CE100" i="1"/>
  <c r="CD100" i="1"/>
  <c r="BY100" i="1"/>
  <c r="BX100" i="1"/>
  <c r="BW100" i="1"/>
  <c r="BV100" i="1"/>
  <c r="BU100" i="1"/>
  <c r="BT100" i="1"/>
  <c r="BS100" i="1"/>
  <c r="BR100" i="1"/>
  <c r="BM100" i="1"/>
  <c r="BL100" i="1"/>
  <c r="BK100" i="1"/>
  <c r="BJ100" i="1"/>
  <c r="BD100" i="1"/>
  <c r="BC100" i="1"/>
  <c r="BB100" i="1"/>
  <c r="BA100" i="1"/>
  <c r="AM100" i="1"/>
  <c r="AL100" i="1"/>
  <c r="AK100" i="1"/>
  <c r="AJ100" i="1"/>
  <c r="AD100" i="1"/>
  <c r="AC100" i="1"/>
  <c r="AB100" i="1"/>
  <c r="AA100" i="1"/>
  <c r="M100" i="1"/>
  <c r="L100" i="1"/>
  <c r="CN99" i="1"/>
  <c r="CK99" i="1"/>
  <c r="CJ99" i="1"/>
  <c r="CI99" i="1"/>
  <c r="CH99" i="1"/>
  <c r="CG99" i="1"/>
  <c r="CF99" i="1"/>
  <c r="CE99" i="1"/>
  <c r="CD99" i="1"/>
  <c r="BY99" i="1"/>
  <c r="BX99" i="1"/>
  <c r="BW99" i="1"/>
  <c r="BV99" i="1"/>
  <c r="BU99" i="1"/>
  <c r="BT99" i="1"/>
  <c r="BS99" i="1"/>
  <c r="BR99" i="1"/>
  <c r="BM99" i="1"/>
  <c r="BL99" i="1"/>
  <c r="BK99" i="1"/>
  <c r="BJ99" i="1"/>
  <c r="BD99" i="1"/>
  <c r="BC99" i="1"/>
  <c r="BB99" i="1"/>
  <c r="BA99" i="1"/>
  <c r="AM99" i="1"/>
  <c r="AL99" i="1"/>
  <c r="AK99" i="1"/>
  <c r="AJ99" i="1"/>
  <c r="AD99" i="1"/>
  <c r="AC99" i="1"/>
  <c r="AB99" i="1"/>
  <c r="AA99" i="1"/>
  <c r="M99" i="1"/>
  <c r="L99" i="1"/>
  <c r="CN98" i="1"/>
  <c r="CK98" i="1"/>
  <c r="CJ98" i="1"/>
  <c r="CI98" i="1"/>
  <c r="CH98" i="1"/>
  <c r="CG98" i="1"/>
  <c r="CF98" i="1"/>
  <c r="CE98" i="1"/>
  <c r="CD98" i="1"/>
  <c r="BY98" i="1"/>
  <c r="BX98" i="1"/>
  <c r="BW98" i="1"/>
  <c r="BV98" i="1"/>
  <c r="BU98" i="1"/>
  <c r="BT98" i="1"/>
  <c r="BS98" i="1"/>
  <c r="BR98" i="1"/>
  <c r="BM98" i="1"/>
  <c r="BL98" i="1"/>
  <c r="BK98" i="1"/>
  <c r="BJ98" i="1"/>
  <c r="BD98" i="1"/>
  <c r="BC98" i="1"/>
  <c r="BB98" i="1"/>
  <c r="BA98" i="1"/>
  <c r="AM98" i="1"/>
  <c r="AL98" i="1"/>
  <c r="AK98" i="1"/>
  <c r="AJ98" i="1"/>
  <c r="AD98" i="1"/>
  <c r="AC98" i="1"/>
  <c r="AB98" i="1"/>
  <c r="AA98" i="1"/>
  <c r="M98" i="1"/>
  <c r="L98" i="1"/>
  <c r="CN97" i="1"/>
  <c r="CK97" i="1"/>
  <c r="CJ97" i="1"/>
  <c r="CI97" i="1"/>
  <c r="CH97" i="1"/>
  <c r="CG97" i="1"/>
  <c r="CF97" i="1"/>
  <c r="CE97" i="1"/>
  <c r="CD97" i="1"/>
  <c r="BY97" i="1"/>
  <c r="BX97" i="1"/>
  <c r="BW97" i="1"/>
  <c r="BV97" i="1"/>
  <c r="BU97" i="1"/>
  <c r="BT97" i="1"/>
  <c r="BS97" i="1"/>
  <c r="BR97" i="1"/>
  <c r="BM97" i="1"/>
  <c r="BL97" i="1"/>
  <c r="BK97" i="1"/>
  <c r="BJ97" i="1"/>
  <c r="BD97" i="1"/>
  <c r="BC97" i="1"/>
  <c r="BB97" i="1"/>
  <c r="BA97" i="1"/>
  <c r="AM97" i="1"/>
  <c r="AL97" i="1"/>
  <c r="AK97" i="1"/>
  <c r="AJ97" i="1"/>
  <c r="AD97" i="1"/>
  <c r="AC97" i="1"/>
  <c r="AB97" i="1"/>
  <c r="AA97" i="1"/>
  <c r="M97" i="1"/>
  <c r="L97" i="1"/>
  <c r="CN96" i="1"/>
  <c r="CK96" i="1"/>
  <c r="CJ96" i="1"/>
  <c r="CI96" i="1"/>
  <c r="CH96" i="1"/>
  <c r="CG96" i="1"/>
  <c r="CF96" i="1"/>
  <c r="CE96" i="1"/>
  <c r="CD96" i="1"/>
  <c r="BY96" i="1"/>
  <c r="BX96" i="1"/>
  <c r="BW96" i="1"/>
  <c r="BV96" i="1"/>
  <c r="BU96" i="1"/>
  <c r="BT96" i="1"/>
  <c r="BS96" i="1"/>
  <c r="BR96" i="1"/>
  <c r="BM96" i="1"/>
  <c r="BL96" i="1"/>
  <c r="BK96" i="1"/>
  <c r="BJ96" i="1"/>
  <c r="BD96" i="1"/>
  <c r="BC96" i="1"/>
  <c r="BB96" i="1"/>
  <c r="BA96" i="1"/>
  <c r="AM96" i="1"/>
  <c r="AL96" i="1"/>
  <c r="AK96" i="1"/>
  <c r="AJ96" i="1"/>
  <c r="AD96" i="1"/>
  <c r="AC96" i="1"/>
  <c r="AB96" i="1"/>
  <c r="AA96" i="1"/>
  <c r="M96" i="1"/>
  <c r="L96" i="1"/>
  <c r="CN95" i="1"/>
  <c r="CK95" i="1"/>
  <c r="CJ95" i="1"/>
  <c r="CI95" i="1"/>
  <c r="CH95" i="1"/>
  <c r="CG95" i="1"/>
  <c r="CF95" i="1"/>
  <c r="CE95" i="1"/>
  <c r="CD95" i="1"/>
  <c r="BY95" i="1"/>
  <c r="BX95" i="1"/>
  <c r="BW95" i="1"/>
  <c r="BV95" i="1"/>
  <c r="BU95" i="1"/>
  <c r="BT95" i="1"/>
  <c r="BS95" i="1"/>
  <c r="BR95" i="1"/>
  <c r="BM95" i="1"/>
  <c r="BL95" i="1"/>
  <c r="BK95" i="1"/>
  <c r="BJ95" i="1"/>
  <c r="BD95" i="1"/>
  <c r="BC95" i="1"/>
  <c r="BB95" i="1"/>
  <c r="BA95" i="1"/>
  <c r="AM95" i="1"/>
  <c r="AL95" i="1"/>
  <c r="AK95" i="1"/>
  <c r="AJ95" i="1"/>
  <c r="AD95" i="1"/>
  <c r="AC95" i="1"/>
  <c r="AB95" i="1"/>
  <c r="AA95" i="1"/>
  <c r="M95" i="1"/>
  <c r="L95" i="1"/>
  <c r="CN94" i="1"/>
  <c r="CK94" i="1"/>
  <c r="CJ94" i="1"/>
  <c r="CI94" i="1"/>
  <c r="CH94" i="1"/>
  <c r="CG94" i="1"/>
  <c r="CF94" i="1"/>
  <c r="CE94" i="1"/>
  <c r="CD94" i="1"/>
  <c r="BY94" i="1"/>
  <c r="BX94" i="1"/>
  <c r="BW94" i="1"/>
  <c r="BV94" i="1"/>
  <c r="BU94" i="1"/>
  <c r="BT94" i="1"/>
  <c r="BS94" i="1"/>
  <c r="BR94" i="1"/>
  <c r="BM94" i="1"/>
  <c r="BL94" i="1"/>
  <c r="BK94" i="1"/>
  <c r="BJ94" i="1"/>
  <c r="BD94" i="1"/>
  <c r="BC94" i="1"/>
  <c r="BB94" i="1"/>
  <c r="BA94" i="1"/>
  <c r="AM94" i="1"/>
  <c r="AL94" i="1"/>
  <c r="AK94" i="1"/>
  <c r="AJ94" i="1"/>
  <c r="AD94" i="1"/>
  <c r="AC94" i="1"/>
  <c r="AB94" i="1"/>
  <c r="AA94" i="1"/>
  <c r="M94" i="1"/>
  <c r="L94" i="1"/>
  <c r="CN93" i="1"/>
  <c r="CK93" i="1"/>
  <c r="CJ93" i="1"/>
  <c r="CI93" i="1"/>
  <c r="CH93" i="1"/>
  <c r="CG93" i="1"/>
  <c r="CF93" i="1"/>
  <c r="CE93" i="1"/>
  <c r="CD93" i="1"/>
  <c r="BY93" i="1"/>
  <c r="BX93" i="1"/>
  <c r="BW93" i="1"/>
  <c r="BV93" i="1"/>
  <c r="BU93" i="1"/>
  <c r="BT93" i="1"/>
  <c r="BS93" i="1"/>
  <c r="BR93" i="1"/>
  <c r="BM93" i="1"/>
  <c r="BL93" i="1"/>
  <c r="BK93" i="1"/>
  <c r="BJ93" i="1"/>
  <c r="BD93" i="1"/>
  <c r="BC93" i="1"/>
  <c r="BB93" i="1"/>
  <c r="BA93" i="1"/>
  <c r="AM93" i="1"/>
  <c r="AL93" i="1"/>
  <c r="AK93" i="1"/>
  <c r="AJ93" i="1"/>
  <c r="AD93" i="1"/>
  <c r="AC93" i="1"/>
  <c r="AB93" i="1"/>
  <c r="AA93" i="1"/>
  <c r="M93" i="1"/>
  <c r="L93" i="1"/>
  <c r="CN92" i="1"/>
  <c r="CK92" i="1"/>
  <c r="CJ92" i="1"/>
  <c r="CI92" i="1"/>
  <c r="CH92" i="1"/>
  <c r="CG92" i="1"/>
  <c r="CF92" i="1"/>
  <c r="CE92" i="1"/>
  <c r="CD92" i="1"/>
  <c r="BY92" i="1"/>
  <c r="BX92" i="1"/>
  <c r="BW92" i="1"/>
  <c r="BV92" i="1"/>
  <c r="BU92" i="1"/>
  <c r="BT92" i="1"/>
  <c r="BS92" i="1"/>
  <c r="BR92" i="1"/>
  <c r="BM92" i="1"/>
  <c r="BL92" i="1"/>
  <c r="BK92" i="1"/>
  <c r="BJ92" i="1"/>
  <c r="BD92" i="1"/>
  <c r="BC92" i="1"/>
  <c r="BB92" i="1"/>
  <c r="BA92" i="1"/>
  <c r="AM92" i="1"/>
  <c r="AL92" i="1"/>
  <c r="AK92" i="1"/>
  <c r="AJ92" i="1"/>
  <c r="AD92" i="1"/>
  <c r="AC92" i="1"/>
  <c r="AB92" i="1"/>
  <c r="AA92" i="1"/>
  <c r="M92" i="1"/>
  <c r="L92" i="1"/>
  <c r="CN91" i="1"/>
  <c r="CK91" i="1"/>
  <c r="CJ91" i="1"/>
  <c r="CI91" i="1"/>
  <c r="CH91" i="1"/>
  <c r="CG91" i="1"/>
  <c r="CF91" i="1"/>
  <c r="CE91" i="1"/>
  <c r="CD91" i="1"/>
  <c r="BY91" i="1"/>
  <c r="BX91" i="1"/>
  <c r="BW91" i="1"/>
  <c r="BV91" i="1"/>
  <c r="BU91" i="1"/>
  <c r="BT91" i="1"/>
  <c r="BS91" i="1"/>
  <c r="BR91" i="1"/>
  <c r="BM91" i="1"/>
  <c r="BL91" i="1"/>
  <c r="BK91" i="1"/>
  <c r="BJ91" i="1"/>
  <c r="BD91" i="1"/>
  <c r="BC91" i="1"/>
  <c r="BB91" i="1"/>
  <c r="BA91" i="1"/>
  <c r="AM91" i="1"/>
  <c r="AL91" i="1"/>
  <c r="AK91" i="1"/>
  <c r="AJ91" i="1"/>
  <c r="AD91" i="1"/>
  <c r="AC91" i="1"/>
  <c r="AB91" i="1"/>
  <c r="AA91" i="1"/>
  <c r="M91" i="1"/>
  <c r="L91" i="1"/>
  <c r="CN90" i="1"/>
  <c r="CK90" i="1"/>
  <c r="CJ90" i="1"/>
  <c r="CI90" i="1"/>
  <c r="CH90" i="1"/>
  <c r="CG90" i="1"/>
  <c r="CF90" i="1"/>
  <c r="CE90" i="1"/>
  <c r="CD90" i="1"/>
  <c r="BY90" i="1"/>
  <c r="BX90" i="1"/>
  <c r="BW90" i="1"/>
  <c r="BV90" i="1"/>
  <c r="BU90" i="1"/>
  <c r="BT90" i="1"/>
  <c r="BS90" i="1"/>
  <c r="BR90" i="1"/>
  <c r="BM90" i="1"/>
  <c r="BL90" i="1"/>
  <c r="BK90" i="1"/>
  <c r="BJ90" i="1"/>
  <c r="BD90" i="1"/>
  <c r="BC90" i="1"/>
  <c r="BB90" i="1"/>
  <c r="BA90" i="1"/>
  <c r="AM90" i="1"/>
  <c r="AL90" i="1"/>
  <c r="AK90" i="1"/>
  <c r="AJ90" i="1"/>
  <c r="AD90" i="1"/>
  <c r="AC90" i="1"/>
  <c r="AB90" i="1"/>
  <c r="AA90" i="1"/>
  <c r="M90" i="1"/>
  <c r="L90" i="1"/>
  <c r="CN89" i="1"/>
  <c r="CK89" i="1"/>
  <c r="CJ89" i="1"/>
  <c r="CI89" i="1"/>
  <c r="CH89" i="1"/>
  <c r="CG89" i="1"/>
  <c r="CF89" i="1"/>
  <c r="CE89" i="1"/>
  <c r="CD89" i="1"/>
  <c r="BY89" i="1"/>
  <c r="BX89" i="1"/>
  <c r="BW89" i="1"/>
  <c r="BV89" i="1"/>
  <c r="BU89" i="1"/>
  <c r="BT89" i="1"/>
  <c r="BS89" i="1"/>
  <c r="BR89" i="1"/>
  <c r="BM89" i="1"/>
  <c r="BL89" i="1"/>
  <c r="BK89" i="1"/>
  <c r="BJ89" i="1"/>
  <c r="BD89" i="1"/>
  <c r="BC89" i="1"/>
  <c r="BB89" i="1"/>
  <c r="BA89" i="1"/>
  <c r="AM89" i="1"/>
  <c r="AL89" i="1"/>
  <c r="AK89" i="1"/>
  <c r="AJ89" i="1"/>
  <c r="AD89" i="1"/>
  <c r="AC89" i="1"/>
  <c r="AB89" i="1"/>
  <c r="AA89" i="1"/>
  <c r="M89" i="1"/>
  <c r="L89" i="1"/>
  <c r="CN88" i="1"/>
  <c r="CK88" i="1"/>
  <c r="CJ88" i="1"/>
  <c r="CI88" i="1"/>
  <c r="CH88" i="1"/>
  <c r="CG88" i="1"/>
  <c r="CF88" i="1"/>
  <c r="CE88" i="1"/>
  <c r="CD88" i="1"/>
  <c r="BY88" i="1"/>
  <c r="BX88" i="1"/>
  <c r="BW88" i="1"/>
  <c r="BV88" i="1"/>
  <c r="BU88" i="1"/>
  <c r="BT88" i="1"/>
  <c r="BS88" i="1"/>
  <c r="BR88" i="1"/>
  <c r="BM88" i="1"/>
  <c r="BL88" i="1"/>
  <c r="BK88" i="1"/>
  <c r="BJ88" i="1"/>
  <c r="BD88" i="1"/>
  <c r="BC88" i="1"/>
  <c r="BB88" i="1"/>
  <c r="BA88" i="1"/>
  <c r="AM88" i="1"/>
  <c r="AL88" i="1"/>
  <c r="AK88" i="1"/>
  <c r="AJ88" i="1"/>
  <c r="AD88" i="1"/>
  <c r="AC88" i="1"/>
  <c r="AB88" i="1"/>
  <c r="AA88" i="1"/>
  <c r="M88" i="1"/>
  <c r="L88" i="1"/>
  <c r="CN87" i="1"/>
  <c r="CK87" i="1"/>
  <c r="CJ87" i="1"/>
  <c r="CI87" i="1"/>
  <c r="CH87" i="1"/>
  <c r="CG87" i="1"/>
  <c r="CF87" i="1"/>
  <c r="CE87" i="1"/>
  <c r="CD87" i="1"/>
  <c r="BY87" i="1"/>
  <c r="BX87" i="1"/>
  <c r="BW87" i="1"/>
  <c r="BV87" i="1"/>
  <c r="BU87" i="1"/>
  <c r="BT87" i="1"/>
  <c r="BS87" i="1"/>
  <c r="BR87" i="1"/>
  <c r="BM87" i="1"/>
  <c r="BL87" i="1"/>
  <c r="BK87" i="1"/>
  <c r="BJ87" i="1"/>
  <c r="BD87" i="1"/>
  <c r="BC87" i="1"/>
  <c r="BB87" i="1"/>
  <c r="BA87" i="1"/>
  <c r="AM87" i="1"/>
  <c r="AL87" i="1"/>
  <c r="AK87" i="1"/>
  <c r="AJ87" i="1"/>
  <c r="AD87" i="1"/>
  <c r="AC87" i="1"/>
  <c r="AB87" i="1"/>
  <c r="AA87" i="1"/>
  <c r="M87" i="1"/>
  <c r="L87" i="1"/>
  <c r="CN86" i="1"/>
  <c r="CK86" i="1"/>
  <c r="CJ86" i="1"/>
  <c r="CI86" i="1"/>
  <c r="CH86" i="1"/>
  <c r="CG86" i="1"/>
  <c r="CF86" i="1"/>
  <c r="CE86" i="1"/>
  <c r="CD86" i="1"/>
  <c r="BY86" i="1"/>
  <c r="BX86" i="1"/>
  <c r="BW86" i="1"/>
  <c r="BV86" i="1"/>
  <c r="BU86" i="1"/>
  <c r="BT86" i="1"/>
  <c r="BS86" i="1"/>
  <c r="BR86" i="1"/>
  <c r="BM86" i="1"/>
  <c r="BL86" i="1"/>
  <c r="BK86" i="1"/>
  <c r="BJ86" i="1"/>
  <c r="BD86" i="1"/>
  <c r="BC86" i="1"/>
  <c r="BB86" i="1"/>
  <c r="BA86" i="1"/>
  <c r="AM86" i="1"/>
  <c r="AL86" i="1"/>
  <c r="AK86" i="1"/>
  <c r="AJ86" i="1"/>
  <c r="AD86" i="1"/>
  <c r="AC86" i="1"/>
  <c r="AB86" i="1"/>
  <c r="AA86" i="1"/>
  <c r="M86" i="1"/>
  <c r="L86" i="1"/>
  <c r="CN85" i="1"/>
  <c r="CK85" i="1"/>
  <c r="CJ85" i="1"/>
  <c r="CI85" i="1"/>
  <c r="CH85" i="1"/>
  <c r="CG85" i="1"/>
  <c r="CF85" i="1"/>
  <c r="CE85" i="1"/>
  <c r="CD85" i="1"/>
  <c r="BY85" i="1"/>
  <c r="BX85" i="1"/>
  <c r="BW85" i="1"/>
  <c r="BV85" i="1"/>
  <c r="BU85" i="1"/>
  <c r="BT85" i="1"/>
  <c r="BS85" i="1"/>
  <c r="BR85" i="1"/>
  <c r="BM85" i="1"/>
  <c r="BL85" i="1"/>
  <c r="BK85" i="1"/>
  <c r="BJ85" i="1"/>
  <c r="BD85" i="1"/>
  <c r="BC85" i="1"/>
  <c r="BB85" i="1"/>
  <c r="BA85" i="1"/>
  <c r="AM85" i="1"/>
  <c r="AL85" i="1"/>
  <c r="AK85" i="1"/>
  <c r="AJ85" i="1"/>
  <c r="AD85" i="1"/>
  <c r="AC85" i="1"/>
  <c r="AB85" i="1"/>
  <c r="AA85" i="1"/>
  <c r="M85" i="1"/>
  <c r="L85" i="1"/>
  <c r="CN84" i="1"/>
  <c r="CK84" i="1"/>
  <c r="CJ84" i="1"/>
  <c r="CI84" i="1"/>
  <c r="CH84" i="1"/>
  <c r="CG84" i="1"/>
  <c r="CF84" i="1"/>
  <c r="CE84" i="1"/>
  <c r="CD84" i="1"/>
  <c r="BY84" i="1"/>
  <c r="BX84" i="1"/>
  <c r="BW84" i="1"/>
  <c r="BV84" i="1"/>
  <c r="BU84" i="1"/>
  <c r="BT84" i="1"/>
  <c r="BS84" i="1"/>
  <c r="BR84" i="1"/>
  <c r="BM84" i="1"/>
  <c r="BL84" i="1"/>
  <c r="BK84" i="1"/>
  <c r="BJ84" i="1"/>
  <c r="BD84" i="1"/>
  <c r="BC84" i="1"/>
  <c r="BB84" i="1"/>
  <c r="BA84" i="1"/>
  <c r="AM84" i="1"/>
  <c r="AL84" i="1"/>
  <c r="AK84" i="1"/>
  <c r="AJ84" i="1"/>
  <c r="AD84" i="1"/>
  <c r="AC84" i="1"/>
  <c r="AB84" i="1"/>
  <c r="AA84" i="1"/>
  <c r="M84" i="1"/>
  <c r="L84" i="1"/>
  <c r="CN83" i="1"/>
  <c r="CK83" i="1"/>
  <c r="CJ83" i="1"/>
  <c r="CI83" i="1"/>
  <c r="CH83" i="1"/>
  <c r="CG83" i="1"/>
  <c r="CF83" i="1"/>
  <c r="CE83" i="1"/>
  <c r="CD83" i="1"/>
  <c r="BY83" i="1"/>
  <c r="BX83" i="1"/>
  <c r="BW83" i="1"/>
  <c r="BV83" i="1"/>
  <c r="BU83" i="1"/>
  <c r="BT83" i="1"/>
  <c r="BS83" i="1"/>
  <c r="BR83" i="1"/>
  <c r="BM83" i="1"/>
  <c r="BL83" i="1"/>
  <c r="BK83" i="1"/>
  <c r="BJ83" i="1"/>
  <c r="BD83" i="1"/>
  <c r="BC83" i="1"/>
  <c r="BB83" i="1"/>
  <c r="BA83" i="1"/>
  <c r="AM83" i="1"/>
  <c r="AL83" i="1"/>
  <c r="AK83" i="1"/>
  <c r="AJ83" i="1"/>
  <c r="AD83" i="1"/>
  <c r="AC83" i="1"/>
  <c r="AB83" i="1"/>
  <c r="AA83" i="1"/>
  <c r="M83" i="1"/>
  <c r="L83" i="1"/>
  <c r="CN82" i="1"/>
  <c r="CK82" i="1"/>
  <c r="CJ82" i="1"/>
  <c r="CI82" i="1"/>
  <c r="CH82" i="1"/>
  <c r="CG82" i="1"/>
  <c r="CF82" i="1"/>
  <c r="CE82" i="1"/>
  <c r="CD82" i="1"/>
  <c r="BY82" i="1"/>
  <c r="BX82" i="1"/>
  <c r="BW82" i="1"/>
  <c r="BV82" i="1"/>
  <c r="BU82" i="1"/>
  <c r="BT82" i="1"/>
  <c r="BS82" i="1"/>
  <c r="BR82" i="1"/>
  <c r="BM82" i="1"/>
  <c r="BL82" i="1"/>
  <c r="BK82" i="1"/>
  <c r="BJ82" i="1"/>
  <c r="BD82" i="1"/>
  <c r="BC82" i="1"/>
  <c r="BB82" i="1"/>
  <c r="BA82" i="1"/>
  <c r="AM82" i="1"/>
  <c r="AL82" i="1"/>
  <c r="AK82" i="1"/>
  <c r="AJ82" i="1"/>
  <c r="AD82" i="1"/>
  <c r="AC82" i="1"/>
  <c r="AB82" i="1"/>
  <c r="AA82" i="1"/>
  <c r="M82" i="1"/>
  <c r="L82" i="1"/>
  <c r="CN81" i="1"/>
  <c r="CK81" i="1"/>
  <c r="CJ81" i="1"/>
  <c r="CI81" i="1"/>
  <c r="CH81" i="1"/>
  <c r="CG81" i="1"/>
  <c r="CF81" i="1"/>
  <c r="CE81" i="1"/>
  <c r="CD81" i="1"/>
  <c r="BY81" i="1"/>
  <c r="BX81" i="1"/>
  <c r="BW81" i="1"/>
  <c r="BV81" i="1"/>
  <c r="BU81" i="1"/>
  <c r="BT81" i="1"/>
  <c r="BS81" i="1"/>
  <c r="BR81" i="1"/>
  <c r="BM81" i="1"/>
  <c r="BL81" i="1"/>
  <c r="BK81" i="1"/>
  <c r="BJ81" i="1"/>
  <c r="BD81" i="1"/>
  <c r="BC81" i="1"/>
  <c r="BB81" i="1"/>
  <c r="BA81" i="1"/>
  <c r="AM81" i="1"/>
  <c r="AL81" i="1"/>
  <c r="AK81" i="1"/>
  <c r="AJ81" i="1"/>
  <c r="AD81" i="1"/>
  <c r="AC81" i="1"/>
  <c r="AB81" i="1"/>
  <c r="AA81" i="1"/>
  <c r="M81" i="1"/>
  <c r="L81" i="1"/>
  <c r="CN80" i="1"/>
  <c r="CK80" i="1"/>
  <c r="CJ80" i="1"/>
  <c r="CI80" i="1"/>
  <c r="CH80" i="1"/>
  <c r="CG80" i="1"/>
  <c r="CF80" i="1"/>
  <c r="CE80" i="1"/>
  <c r="CD80" i="1"/>
  <c r="BY80" i="1"/>
  <c r="BX80" i="1"/>
  <c r="BW80" i="1"/>
  <c r="BV80" i="1"/>
  <c r="BU80" i="1"/>
  <c r="BT80" i="1"/>
  <c r="BS80" i="1"/>
  <c r="BR80" i="1"/>
  <c r="BM80" i="1"/>
  <c r="BL80" i="1"/>
  <c r="BK80" i="1"/>
  <c r="BJ80" i="1"/>
  <c r="BD80" i="1"/>
  <c r="BC80" i="1"/>
  <c r="BB80" i="1"/>
  <c r="BA80" i="1"/>
  <c r="AM80" i="1"/>
  <c r="AL80" i="1"/>
  <c r="AK80" i="1"/>
  <c r="AJ80" i="1"/>
  <c r="AD80" i="1"/>
  <c r="AC80" i="1"/>
  <c r="AB80" i="1"/>
  <c r="AA80" i="1"/>
  <c r="M80" i="1"/>
  <c r="L80" i="1"/>
  <c r="CN79" i="1"/>
  <c r="CK79" i="1"/>
  <c r="CJ79" i="1"/>
  <c r="CI79" i="1"/>
  <c r="CH79" i="1"/>
  <c r="CG79" i="1"/>
  <c r="CF79" i="1"/>
  <c r="CE79" i="1"/>
  <c r="CD79" i="1"/>
  <c r="BY79" i="1"/>
  <c r="BX79" i="1"/>
  <c r="BW79" i="1"/>
  <c r="BV79" i="1"/>
  <c r="BU79" i="1"/>
  <c r="BT79" i="1"/>
  <c r="BS79" i="1"/>
  <c r="BR79" i="1"/>
  <c r="BM79" i="1"/>
  <c r="BL79" i="1"/>
  <c r="BK79" i="1"/>
  <c r="BJ79" i="1"/>
  <c r="BD79" i="1"/>
  <c r="BC79" i="1"/>
  <c r="BB79" i="1"/>
  <c r="BA79" i="1"/>
  <c r="AM79" i="1"/>
  <c r="AL79" i="1"/>
  <c r="AK79" i="1"/>
  <c r="AJ79" i="1"/>
  <c r="AD79" i="1"/>
  <c r="AC79" i="1"/>
  <c r="AB79" i="1"/>
  <c r="AA79" i="1"/>
  <c r="M79" i="1"/>
  <c r="L79" i="1"/>
  <c r="CN78" i="1"/>
  <c r="CK78" i="1"/>
  <c r="CJ78" i="1"/>
  <c r="CI78" i="1"/>
  <c r="CH78" i="1"/>
  <c r="CG78" i="1"/>
  <c r="CF78" i="1"/>
  <c r="CE78" i="1"/>
  <c r="CD78" i="1"/>
  <c r="BY78" i="1"/>
  <c r="BX78" i="1"/>
  <c r="BW78" i="1"/>
  <c r="BV78" i="1"/>
  <c r="BU78" i="1"/>
  <c r="BT78" i="1"/>
  <c r="BS78" i="1"/>
  <c r="BR78" i="1"/>
  <c r="BM78" i="1"/>
  <c r="BL78" i="1"/>
  <c r="BK78" i="1"/>
  <c r="BJ78" i="1"/>
  <c r="BD78" i="1"/>
  <c r="BC78" i="1"/>
  <c r="BB78" i="1"/>
  <c r="BA78" i="1"/>
  <c r="AM78" i="1"/>
  <c r="AL78" i="1"/>
  <c r="AK78" i="1"/>
  <c r="AJ78" i="1"/>
  <c r="AD78" i="1"/>
  <c r="AC78" i="1"/>
  <c r="AB78" i="1"/>
  <c r="AA78" i="1"/>
  <c r="M78" i="1"/>
  <c r="L78" i="1"/>
  <c r="CN77" i="1"/>
  <c r="CK77" i="1"/>
  <c r="CJ77" i="1"/>
  <c r="CI77" i="1"/>
  <c r="CH77" i="1"/>
  <c r="CG77" i="1"/>
  <c r="CF77" i="1"/>
  <c r="CE77" i="1"/>
  <c r="CD77" i="1"/>
  <c r="BY77" i="1"/>
  <c r="BX77" i="1"/>
  <c r="BW77" i="1"/>
  <c r="BV77" i="1"/>
  <c r="BU77" i="1"/>
  <c r="BT77" i="1"/>
  <c r="BS77" i="1"/>
  <c r="BR77" i="1"/>
  <c r="BM77" i="1"/>
  <c r="BL77" i="1"/>
  <c r="BK77" i="1"/>
  <c r="BJ77" i="1"/>
  <c r="BD77" i="1"/>
  <c r="BC77" i="1"/>
  <c r="BB77" i="1"/>
  <c r="BA77" i="1"/>
  <c r="AM77" i="1"/>
  <c r="AL77" i="1"/>
  <c r="AK77" i="1"/>
  <c r="AJ77" i="1"/>
  <c r="AD77" i="1"/>
  <c r="AC77" i="1"/>
  <c r="AB77" i="1"/>
  <c r="AA77" i="1"/>
  <c r="M77" i="1"/>
  <c r="L77" i="1"/>
  <c r="CN76" i="1"/>
  <c r="CK76" i="1"/>
  <c r="CJ76" i="1"/>
  <c r="CI76" i="1"/>
  <c r="CH76" i="1"/>
  <c r="CG76" i="1"/>
  <c r="CF76" i="1"/>
  <c r="CE76" i="1"/>
  <c r="CD76" i="1"/>
  <c r="BY76" i="1"/>
  <c r="BX76" i="1"/>
  <c r="BW76" i="1"/>
  <c r="BV76" i="1"/>
  <c r="BU76" i="1"/>
  <c r="BT76" i="1"/>
  <c r="BS76" i="1"/>
  <c r="BR76" i="1"/>
  <c r="BM76" i="1"/>
  <c r="BL76" i="1"/>
  <c r="BK76" i="1"/>
  <c r="BJ76" i="1"/>
  <c r="BD76" i="1"/>
  <c r="BC76" i="1"/>
  <c r="BB76" i="1"/>
  <c r="BA76" i="1"/>
  <c r="AM76" i="1"/>
  <c r="AL76" i="1"/>
  <c r="AK76" i="1"/>
  <c r="AJ76" i="1"/>
  <c r="AD76" i="1"/>
  <c r="AC76" i="1"/>
  <c r="AB76" i="1"/>
  <c r="AA76" i="1"/>
  <c r="M76" i="1"/>
  <c r="L76" i="1"/>
  <c r="CN75" i="1"/>
  <c r="CK75" i="1"/>
  <c r="CJ75" i="1"/>
  <c r="CI75" i="1"/>
  <c r="CH75" i="1"/>
  <c r="CG75" i="1"/>
  <c r="CF75" i="1"/>
  <c r="CE75" i="1"/>
  <c r="CD75" i="1"/>
  <c r="BY75" i="1"/>
  <c r="BX75" i="1"/>
  <c r="BW75" i="1"/>
  <c r="BV75" i="1"/>
  <c r="BU75" i="1"/>
  <c r="BT75" i="1"/>
  <c r="BS75" i="1"/>
  <c r="BR75" i="1"/>
  <c r="BM75" i="1"/>
  <c r="BL75" i="1"/>
  <c r="BK75" i="1"/>
  <c r="BJ75" i="1"/>
  <c r="BD75" i="1"/>
  <c r="BC75" i="1"/>
  <c r="BB75" i="1"/>
  <c r="BA75" i="1"/>
  <c r="AM75" i="1"/>
  <c r="AL75" i="1"/>
  <c r="AK75" i="1"/>
  <c r="AJ75" i="1"/>
  <c r="AD75" i="1"/>
  <c r="AC75" i="1"/>
  <c r="AB75" i="1"/>
  <c r="AA75" i="1"/>
  <c r="M75" i="1"/>
  <c r="L75" i="1"/>
  <c r="CN74" i="1"/>
  <c r="CK74" i="1"/>
  <c r="CJ74" i="1"/>
  <c r="CI74" i="1"/>
  <c r="CH74" i="1"/>
  <c r="CG74" i="1"/>
  <c r="CF74" i="1"/>
  <c r="CE74" i="1"/>
  <c r="CD74" i="1"/>
  <c r="BY74" i="1"/>
  <c r="BX74" i="1"/>
  <c r="BW74" i="1"/>
  <c r="BV74" i="1"/>
  <c r="BU74" i="1"/>
  <c r="BT74" i="1"/>
  <c r="BS74" i="1"/>
  <c r="BR74" i="1"/>
  <c r="BM74" i="1"/>
  <c r="BL74" i="1"/>
  <c r="BK74" i="1"/>
  <c r="BJ74" i="1"/>
  <c r="BD74" i="1"/>
  <c r="BC74" i="1"/>
  <c r="BB74" i="1"/>
  <c r="BA74" i="1"/>
  <c r="AM74" i="1"/>
  <c r="AL74" i="1"/>
  <c r="AK74" i="1"/>
  <c r="AJ74" i="1"/>
  <c r="AD74" i="1"/>
  <c r="AC74" i="1"/>
  <c r="AB74" i="1"/>
  <c r="AA74" i="1"/>
  <c r="M74" i="1"/>
  <c r="L74" i="1"/>
  <c r="CN73" i="1"/>
  <c r="CK73" i="1"/>
  <c r="CJ73" i="1"/>
  <c r="CI73" i="1"/>
  <c r="CH73" i="1"/>
  <c r="CG73" i="1"/>
  <c r="CF73" i="1"/>
  <c r="CE73" i="1"/>
  <c r="CD73" i="1"/>
  <c r="BY73" i="1"/>
  <c r="BX73" i="1"/>
  <c r="BW73" i="1"/>
  <c r="BV73" i="1"/>
  <c r="BU73" i="1"/>
  <c r="BT73" i="1"/>
  <c r="BS73" i="1"/>
  <c r="BR73" i="1"/>
  <c r="BM73" i="1"/>
  <c r="BL73" i="1"/>
  <c r="BK73" i="1"/>
  <c r="BJ73" i="1"/>
  <c r="BD73" i="1"/>
  <c r="BC73" i="1"/>
  <c r="BB73" i="1"/>
  <c r="BA73" i="1"/>
  <c r="AM73" i="1"/>
  <c r="AL73" i="1"/>
  <c r="AK73" i="1"/>
  <c r="AJ73" i="1"/>
  <c r="AD73" i="1"/>
  <c r="AC73" i="1"/>
  <c r="AB73" i="1"/>
  <c r="AA73" i="1"/>
  <c r="M73" i="1"/>
  <c r="L73" i="1"/>
  <c r="CN72" i="1"/>
  <c r="CK72" i="1"/>
  <c r="CJ72" i="1"/>
  <c r="CI72" i="1"/>
  <c r="CH72" i="1"/>
  <c r="CG72" i="1"/>
  <c r="CF72" i="1"/>
  <c r="CE72" i="1"/>
  <c r="CD72" i="1"/>
  <c r="BY72" i="1"/>
  <c r="BX72" i="1"/>
  <c r="BW72" i="1"/>
  <c r="BV72" i="1"/>
  <c r="BU72" i="1"/>
  <c r="BT72" i="1"/>
  <c r="BS72" i="1"/>
  <c r="BR72" i="1"/>
  <c r="BM72" i="1"/>
  <c r="BL72" i="1"/>
  <c r="BK72" i="1"/>
  <c r="BJ72" i="1"/>
  <c r="BD72" i="1"/>
  <c r="BC72" i="1"/>
  <c r="BB72" i="1"/>
  <c r="BA72" i="1"/>
  <c r="AM72" i="1"/>
  <c r="AL72" i="1"/>
  <c r="AK72" i="1"/>
  <c r="AJ72" i="1"/>
  <c r="AD72" i="1"/>
  <c r="AC72" i="1"/>
  <c r="AB72" i="1"/>
  <c r="AA72" i="1"/>
  <c r="M72" i="1"/>
  <c r="L72" i="1"/>
  <c r="CN71" i="1"/>
  <c r="CK71" i="1"/>
  <c r="CJ71" i="1"/>
  <c r="CI71" i="1"/>
  <c r="CH71" i="1"/>
  <c r="CG71" i="1"/>
  <c r="CF71" i="1"/>
  <c r="CE71" i="1"/>
  <c r="CD71" i="1"/>
  <c r="BY71" i="1"/>
  <c r="BX71" i="1"/>
  <c r="BW71" i="1"/>
  <c r="BV71" i="1"/>
  <c r="BU71" i="1"/>
  <c r="BT71" i="1"/>
  <c r="BS71" i="1"/>
  <c r="BR71" i="1"/>
  <c r="BM71" i="1"/>
  <c r="BL71" i="1"/>
  <c r="BK71" i="1"/>
  <c r="BJ71" i="1"/>
  <c r="BD71" i="1"/>
  <c r="BC71" i="1"/>
  <c r="BB71" i="1"/>
  <c r="BA71" i="1"/>
  <c r="AM71" i="1"/>
  <c r="AL71" i="1"/>
  <c r="AK71" i="1"/>
  <c r="AJ71" i="1"/>
  <c r="AD71" i="1"/>
  <c r="AC71" i="1"/>
  <c r="AB71" i="1"/>
  <c r="AA71" i="1"/>
  <c r="M71" i="1"/>
  <c r="L71" i="1"/>
  <c r="CN70" i="1"/>
  <c r="CK70" i="1"/>
  <c r="CJ70" i="1"/>
  <c r="CI70" i="1"/>
  <c r="CH70" i="1"/>
  <c r="CG70" i="1"/>
  <c r="CF70" i="1"/>
  <c r="CE70" i="1"/>
  <c r="CD70" i="1"/>
  <c r="BY70" i="1"/>
  <c r="BX70" i="1"/>
  <c r="BW70" i="1"/>
  <c r="BV70" i="1"/>
  <c r="BU70" i="1"/>
  <c r="BT70" i="1"/>
  <c r="BS70" i="1"/>
  <c r="BR70" i="1"/>
  <c r="BM70" i="1"/>
  <c r="BL70" i="1"/>
  <c r="BK70" i="1"/>
  <c r="BJ70" i="1"/>
  <c r="BD70" i="1"/>
  <c r="BC70" i="1"/>
  <c r="BB70" i="1"/>
  <c r="BA70" i="1"/>
  <c r="AM70" i="1"/>
  <c r="AL70" i="1"/>
  <c r="AK70" i="1"/>
  <c r="AJ70" i="1"/>
  <c r="AD70" i="1"/>
  <c r="AC70" i="1"/>
  <c r="AB70" i="1"/>
  <c r="AA70" i="1"/>
  <c r="M70" i="1"/>
  <c r="L70" i="1"/>
  <c r="CN69" i="1"/>
  <c r="CK69" i="1"/>
  <c r="CJ69" i="1"/>
  <c r="CI69" i="1"/>
  <c r="CH69" i="1"/>
  <c r="CG69" i="1"/>
  <c r="CF69" i="1"/>
  <c r="CE69" i="1"/>
  <c r="CD69" i="1"/>
  <c r="BY69" i="1"/>
  <c r="BX69" i="1"/>
  <c r="BW69" i="1"/>
  <c r="BV69" i="1"/>
  <c r="BU69" i="1"/>
  <c r="BT69" i="1"/>
  <c r="BS69" i="1"/>
  <c r="BR69" i="1"/>
  <c r="BM69" i="1"/>
  <c r="BL69" i="1"/>
  <c r="BK69" i="1"/>
  <c r="BJ69" i="1"/>
  <c r="BD69" i="1"/>
  <c r="BC69" i="1"/>
  <c r="BB69" i="1"/>
  <c r="BA69" i="1"/>
  <c r="AM69" i="1"/>
  <c r="AL69" i="1"/>
  <c r="AK69" i="1"/>
  <c r="AJ69" i="1"/>
  <c r="AD69" i="1"/>
  <c r="AC69" i="1"/>
  <c r="AB69" i="1"/>
  <c r="AA69" i="1"/>
  <c r="M69" i="1"/>
  <c r="L69" i="1"/>
  <c r="CN68" i="1"/>
  <c r="CK68" i="1"/>
  <c r="CJ68" i="1"/>
  <c r="CI68" i="1"/>
  <c r="CH68" i="1"/>
  <c r="CG68" i="1"/>
  <c r="CF68" i="1"/>
  <c r="CE68" i="1"/>
  <c r="CD68" i="1"/>
  <c r="BY68" i="1"/>
  <c r="BX68" i="1"/>
  <c r="BW68" i="1"/>
  <c r="BV68" i="1"/>
  <c r="BU68" i="1"/>
  <c r="BT68" i="1"/>
  <c r="BS68" i="1"/>
  <c r="BR68" i="1"/>
  <c r="BM68" i="1"/>
  <c r="BL68" i="1"/>
  <c r="BK68" i="1"/>
  <c r="BJ68" i="1"/>
  <c r="BD68" i="1"/>
  <c r="BC68" i="1"/>
  <c r="BB68" i="1"/>
  <c r="BA68" i="1"/>
  <c r="AM68" i="1"/>
  <c r="AL68" i="1"/>
  <c r="AK68" i="1"/>
  <c r="AJ68" i="1"/>
  <c r="AD68" i="1"/>
  <c r="AC68" i="1"/>
  <c r="AB68" i="1"/>
  <c r="AA68" i="1"/>
  <c r="M68" i="1"/>
  <c r="L68" i="1"/>
  <c r="CN67" i="1"/>
  <c r="CK67" i="1"/>
  <c r="CJ67" i="1"/>
  <c r="CI67" i="1"/>
  <c r="CH67" i="1"/>
  <c r="CG67" i="1"/>
  <c r="CF67" i="1"/>
  <c r="CE67" i="1"/>
  <c r="CD67" i="1"/>
  <c r="BY67" i="1"/>
  <c r="BX67" i="1"/>
  <c r="BW67" i="1"/>
  <c r="BV67" i="1"/>
  <c r="BU67" i="1"/>
  <c r="BT67" i="1"/>
  <c r="BS67" i="1"/>
  <c r="BR67" i="1"/>
  <c r="BM67" i="1"/>
  <c r="BL67" i="1"/>
  <c r="BK67" i="1"/>
  <c r="BJ67" i="1"/>
  <c r="BD67" i="1"/>
  <c r="BC67" i="1"/>
  <c r="BB67" i="1"/>
  <c r="BA67" i="1"/>
  <c r="AM67" i="1"/>
  <c r="AL67" i="1"/>
  <c r="AK67" i="1"/>
  <c r="AJ67" i="1"/>
  <c r="AD67" i="1"/>
  <c r="AC67" i="1"/>
  <c r="AB67" i="1"/>
  <c r="AA67" i="1"/>
  <c r="M67" i="1"/>
  <c r="L67" i="1"/>
  <c r="CN66" i="1"/>
  <c r="CK66" i="1"/>
  <c r="CJ66" i="1"/>
  <c r="CI66" i="1"/>
  <c r="CH66" i="1"/>
  <c r="CG66" i="1"/>
  <c r="CF66" i="1"/>
  <c r="CE66" i="1"/>
  <c r="CD66" i="1"/>
  <c r="BY66" i="1"/>
  <c r="BX66" i="1"/>
  <c r="BW66" i="1"/>
  <c r="BV66" i="1"/>
  <c r="BU66" i="1"/>
  <c r="BT66" i="1"/>
  <c r="BS66" i="1"/>
  <c r="BR66" i="1"/>
  <c r="BM66" i="1"/>
  <c r="BL66" i="1"/>
  <c r="BK66" i="1"/>
  <c r="BJ66" i="1"/>
  <c r="BD66" i="1"/>
  <c r="BC66" i="1"/>
  <c r="BB66" i="1"/>
  <c r="BA66" i="1"/>
  <c r="AM66" i="1"/>
  <c r="AL66" i="1"/>
  <c r="AK66" i="1"/>
  <c r="AJ66" i="1"/>
  <c r="AD66" i="1"/>
  <c r="AC66" i="1"/>
  <c r="AB66" i="1"/>
  <c r="AA66" i="1"/>
  <c r="M66" i="1"/>
  <c r="L66" i="1"/>
  <c r="CN65" i="1"/>
  <c r="CK65" i="1"/>
  <c r="CJ65" i="1"/>
  <c r="CI65" i="1"/>
  <c r="CH65" i="1"/>
  <c r="CG65" i="1"/>
  <c r="CF65" i="1"/>
  <c r="CE65" i="1"/>
  <c r="CD65" i="1"/>
  <c r="BY65" i="1"/>
  <c r="BX65" i="1"/>
  <c r="BW65" i="1"/>
  <c r="BV65" i="1"/>
  <c r="BU65" i="1"/>
  <c r="BT65" i="1"/>
  <c r="BS65" i="1"/>
  <c r="BR65" i="1"/>
  <c r="BM65" i="1"/>
  <c r="BL65" i="1"/>
  <c r="BK65" i="1"/>
  <c r="BJ65" i="1"/>
  <c r="BD65" i="1"/>
  <c r="BC65" i="1"/>
  <c r="BB65" i="1"/>
  <c r="BA65" i="1"/>
  <c r="AM65" i="1"/>
  <c r="AL65" i="1"/>
  <c r="AK65" i="1"/>
  <c r="AJ65" i="1"/>
  <c r="AD65" i="1"/>
  <c r="AC65" i="1"/>
  <c r="AB65" i="1"/>
  <c r="AA65" i="1"/>
  <c r="M65" i="1"/>
  <c r="L65" i="1"/>
  <c r="CN64" i="1"/>
  <c r="CK64" i="1"/>
  <c r="CJ64" i="1"/>
  <c r="CI64" i="1"/>
  <c r="CH64" i="1"/>
  <c r="CG64" i="1"/>
  <c r="CF64" i="1"/>
  <c r="CE64" i="1"/>
  <c r="CD64" i="1"/>
  <c r="BY64" i="1"/>
  <c r="BX64" i="1"/>
  <c r="BW64" i="1"/>
  <c r="BV64" i="1"/>
  <c r="BU64" i="1"/>
  <c r="BT64" i="1"/>
  <c r="BS64" i="1"/>
  <c r="BR64" i="1"/>
  <c r="BM64" i="1"/>
  <c r="BL64" i="1"/>
  <c r="BK64" i="1"/>
  <c r="BJ64" i="1"/>
  <c r="BD64" i="1"/>
  <c r="BC64" i="1"/>
  <c r="BB64" i="1"/>
  <c r="BA64" i="1"/>
  <c r="AM64" i="1"/>
  <c r="AL64" i="1"/>
  <c r="AK64" i="1"/>
  <c r="AJ64" i="1"/>
  <c r="AD64" i="1"/>
  <c r="AC64" i="1"/>
  <c r="AB64" i="1"/>
  <c r="AA64" i="1"/>
  <c r="M64" i="1"/>
  <c r="L64" i="1"/>
  <c r="CN63" i="1"/>
  <c r="CK63" i="1"/>
  <c r="CJ63" i="1"/>
  <c r="CI63" i="1"/>
  <c r="CH63" i="1"/>
  <c r="CG63" i="1"/>
  <c r="CF63" i="1"/>
  <c r="CE63" i="1"/>
  <c r="CD63" i="1"/>
  <c r="BY63" i="1"/>
  <c r="BX63" i="1"/>
  <c r="BW63" i="1"/>
  <c r="BV63" i="1"/>
  <c r="BU63" i="1"/>
  <c r="BT63" i="1"/>
  <c r="BS63" i="1"/>
  <c r="BR63" i="1"/>
  <c r="BM63" i="1"/>
  <c r="BL63" i="1"/>
  <c r="BK63" i="1"/>
  <c r="BJ63" i="1"/>
  <c r="BD63" i="1"/>
  <c r="BC63" i="1"/>
  <c r="BB63" i="1"/>
  <c r="BA63" i="1"/>
  <c r="AM63" i="1"/>
  <c r="AL63" i="1"/>
  <c r="AK63" i="1"/>
  <c r="AJ63" i="1"/>
  <c r="AD63" i="1"/>
  <c r="AC63" i="1"/>
  <c r="AB63" i="1"/>
  <c r="AA63" i="1"/>
  <c r="M63" i="1"/>
  <c r="L63" i="1"/>
  <c r="CN62" i="1"/>
  <c r="CK62" i="1"/>
  <c r="CJ62" i="1"/>
  <c r="CI62" i="1"/>
  <c r="CH62" i="1"/>
  <c r="CG62" i="1"/>
  <c r="CF62" i="1"/>
  <c r="CE62" i="1"/>
  <c r="CD62" i="1"/>
  <c r="BY62" i="1"/>
  <c r="BX62" i="1"/>
  <c r="BW62" i="1"/>
  <c r="BV62" i="1"/>
  <c r="BU62" i="1"/>
  <c r="BT62" i="1"/>
  <c r="BS62" i="1"/>
  <c r="BR62" i="1"/>
  <c r="BM62" i="1"/>
  <c r="BL62" i="1"/>
  <c r="BK62" i="1"/>
  <c r="BJ62" i="1"/>
  <c r="BD62" i="1"/>
  <c r="BC62" i="1"/>
  <c r="BB62" i="1"/>
  <c r="BA62" i="1"/>
  <c r="AM62" i="1"/>
  <c r="AL62" i="1"/>
  <c r="AK62" i="1"/>
  <c r="AJ62" i="1"/>
  <c r="AD62" i="1"/>
  <c r="AC62" i="1"/>
  <c r="AB62" i="1"/>
  <c r="AA62" i="1"/>
  <c r="M62" i="1"/>
  <c r="L62" i="1"/>
  <c r="CN61" i="1"/>
  <c r="CK61" i="1"/>
  <c r="CJ61" i="1"/>
  <c r="CI61" i="1"/>
  <c r="CH61" i="1"/>
  <c r="CG61" i="1"/>
  <c r="CF61" i="1"/>
  <c r="CE61" i="1"/>
  <c r="CD61" i="1"/>
  <c r="BY61" i="1"/>
  <c r="BX61" i="1"/>
  <c r="BW61" i="1"/>
  <c r="BV61" i="1"/>
  <c r="BU61" i="1"/>
  <c r="BT61" i="1"/>
  <c r="BS61" i="1"/>
  <c r="BR61" i="1"/>
  <c r="BM61" i="1"/>
  <c r="BL61" i="1"/>
  <c r="BK61" i="1"/>
  <c r="BJ61" i="1"/>
  <c r="BD61" i="1"/>
  <c r="BC61" i="1"/>
  <c r="BB61" i="1"/>
  <c r="BA61" i="1"/>
  <c r="AM61" i="1"/>
  <c r="AL61" i="1"/>
  <c r="AK61" i="1"/>
  <c r="AJ61" i="1"/>
  <c r="AD61" i="1"/>
  <c r="AC61" i="1"/>
  <c r="AB61" i="1"/>
  <c r="AA61" i="1"/>
  <c r="M61" i="1"/>
  <c r="L61" i="1"/>
  <c r="CN60" i="1"/>
  <c r="CK60" i="1"/>
  <c r="CJ60" i="1"/>
  <c r="CI60" i="1"/>
  <c r="CH60" i="1"/>
  <c r="CG60" i="1"/>
  <c r="CF60" i="1"/>
  <c r="CE60" i="1"/>
  <c r="CD60" i="1"/>
  <c r="BY60" i="1"/>
  <c r="BX60" i="1"/>
  <c r="BW60" i="1"/>
  <c r="BV60" i="1"/>
  <c r="BU60" i="1"/>
  <c r="BT60" i="1"/>
  <c r="BS60" i="1"/>
  <c r="BR60" i="1"/>
  <c r="BM60" i="1"/>
  <c r="BL60" i="1"/>
  <c r="BK60" i="1"/>
  <c r="BJ60" i="1"/>
  <c r="BD60" i="1"/>
  <c r="BC60" i="1"/>
  <c r="BB60" i="1"/>
  <c r="BA60" i="1"/>
  <c r="AM60" i="1"/>
  <c r="AL60" i="1"/>
  <c r="AK60" i="1"/>
  <c r="AJ60" i="1"/>
  <c r="AD60" i="1"/>
  <c r="AC60" i="1"/>
  <c r="AB60" i="1"/>
  <c r="AA60" i="1"/>
  <c r="M60" i="1"/>
  <c r="L60" i="1"/>
  <c r="CN59" i="1"/>
  <c r="CK59" i="1"/>
  <c r="CJ59" i="1"/>
  <c r="CI59" i="1"/>
  <c r="CH59" i="1"/>
  <c r="CG59" i="1"/>
  <c r="CF59" i="1"/>
  <c r="CE59" i="1"/>
  <c r="CD59" i="1"/>
  <c r="BY59" i="1"/>
  <c r="BX59" i="1"/>
  <c r="BW59" i="1"/>
  <c r="BV59" i="1"/>
  <c r="BU59" i="1"/>
  <c r="BT59" i="1"/>
  <c r="BS59" i="1"/>
  <c r="BR59" i="1"/>
  <c r="BM59" i="1"/>
  <c r="BL59" i="1"/>
  <c r="BK59" i="1"/>
  <c r="BJ59" i="1"/>
  <c r="BD59" i="1"/>
  <c r="BC59" i="1"/>
  <c r="BB59" i="1"/>
  <c r="BA59" i="1"/>
  <c r="AM59" i="1"/>
  <c r="AL59" i="1"/>
  <c r="AK59" i="1"/>
  <c r="AJ59" i="1"/>
  <c r="AD59" i="1"/>
  <c r="AC59" i="1"/>
  <c r="AB59" i="1"/>
  <c r="AA59" i="1"/>
  <c r="M59" i="1"/>
  <c r="L59" i="1"/>
  <c r="CN58" i="1"/>
  <c r="CK58" i="1"/>
  <c r="CJ58" i="1"/>
  <c r="CI58" i="1"/>
  <c r="CH58" i="1"/>
  <c r="CG58" i="1"/>
  <c r="CF58" i="1"/>
  <c r="CE58" i="1"/>
  <c r="CD58" i="1"/>
  <c r="BY58" i="1"/>
  <c r="BX58" i="1"/>
  <c r="BW58" i="1"/>
  <c r="BV58" i="1"/>
  <c r="BU58" i="1"/>
  <c r="BT58" i="1"/>
  <c r="BS58" i="1"/>
  <c r="BR58" i="1"/>
  <c r="BM58" i="1"/>
  <c r="BL58" i="1"/>
  <c r="BK58" i="1"/>
  <c r="BJ58" i="1"/>
  <c r="BD58" i="1"/>
  <c r="BC58" i="1"/>
  <c r="BB58" i="1"/>
  <c r="BA58" i="1"/>
  <c r="AM58" i="1"/>
  <c r="AL58" i="1"/>
  <c r="AK58" i="1"/>
  <c r="AJ58" i="1"/>
  <c r="AD58" i="1"/>
  <c r="AC58" i="1"/>
  <c r="AB58" i="1"/>
  <c r="AA58" i="1"/>
  <c r="M58" i="1"/>
  <c r="L58" i="1"/>
  <c r="CN57" i="1"/>
  <c r="CK57" i="1"/>
  <c r="CJ57" i="1"/>
  <c r="CI57" i="1"/>
  <c r="CH57" i="1"/>
  <c r="CG57" i="1"/>
  <c r="CF57" i="1"/>
  <c r="CE57" i="1"/>
  <c r="CD57" i="1"/>
  <c r="BY57" i="1"/>
  <c r="BX57" i="1"/>
  <c r="BW57" i="1"/>
  <c r="BV57" i="1"/>
  <c r="BU57" i="1"/>
  <c r="BT57" i="1"/>
  <c r="BS57" i="1"/>
  <c r="BR57" i="1"/>
  <c r="BM57" i="1"/>
  <c r="BL57" i="1"/>
  <c r="BK57" i="1"/>
  <c r="BJ57" i="1"/>
  <c r="BD57" i="1"/>
  <c r="BC57" i="1"/>
  <c r="BB57" i="1"/>
  <c r="BA57" i="1"/>
  <c r="AM57" i="1"/>
  <c r="AL57" i="1"/>
  <c r="AK57" i="1"/>
  <c r="AJ57" i="1"/>
  <c r="AD57" i="1"/>
  <c r="AC57" i="1"/>
  <c r="AB57" i="1"/>
  <c r="AA57" i="1"/>
  <c r="M57" i="1"/>
  <c r="L57" i="1"/>
  <c r="CN56" i="1"/>
  <c r="CK56" i="1"/>
  <c r="CJ56" i="1"/>
  <c r="CI56" i="1"/>
  <c r="CH56" i="1"/>
  <c r="CG56" i="1"/>
  <c r="CF56" i="1"/>
  <c r="CE56" i="1"/>
  <c r="CD56" i="1"/>
  <c r="BY56" i="1"/>
  <c r="BX56" i="1"/>
  <c r="BW56" i="1"/>
  <c r="BV56" i="1"/>
  <c r="BU56" i="1"/>
  <c r="BT56" i="1"/>
  <c r="BS56" i="1"/>
  <c r="BR56" i="1"/>
  <c r="BM56" i="1"/>
  <c r="BL56" i="1"/>
  <c r="BK56" i="1"/>
  <c r="BJ56" i="1"/>
  <c r="BD56" i="1"/>
  <c r="BC56" i="1"/>
  <c r="BB56" i="1"/>
  <c r="BA56" i="1"/>
  <c r="AM56" i="1"/>
  <c r="AL56" i="1"/>
  <c r="AK56" i="1"/>
  <c r="AJ56" i="1"/>
  <c r="AD56" i="1"/>
  <c r="AC56" i="1"/>
  <c r="AB56" i="1"/>
  <c r="AA56" i="1"/>
  <c r="M56" i="1"/>
  <c r="L56" i="1"/>
  <c r="CN55" i="1"/>
  <c r="CK55" i="1"/>
  <c r="CJ55" i="1"/>
  <c r="CI55" i="1"/>
  <c r="CH55" i="1"/>
  <c r="CG55" i="1"/>
  <c r="CF55" i="1"/>
  <c r="CE55" i="1"/>
  <c r="CD55" i="1"/>
  <c r="BY55" i="1"/>
  <c r="BX55" i="1"/>
  <c r="BW55" i="1"/>
  <c r="BV55" i="1"/>
  <c r="BU55" i="1"/>
  <c r="BT55" i="1"/>
  <c r="BS55" i="1"/>
  <c r="BR55" i="1"/>
  <c r="BM55" i="1"/>
  <c r="BL55" i="1"/>
  <c r="BK55" i="1"/>
  <c r="BJ55" i="1"/>
  <c r="BD55" i="1"/>
  <c r="BC55" i="1"/>
  <c r="BB55" i="1"/>
  <c r="BA55" i="1"/>
  <c r="AM55" i="1"/>
  <c r="AL55" i="1"/>
  <c r="AK55" i="1"/>
  <c r="AJ55" i="1"/>
  <c r="AD55" i="1"/>
  <c r="AC55" i="1"/>
  <c r="AB55" i="1"/>
  <c r="AA55" i="1"/>
  <c r="M55" i="1"/>
  <c r="L55" i="1"/>
  <c r="CN54" i="1"/>
  <c r="CK54" i="1"/>
  <c r="CJ54" i="1"/>
  <c r="CI54" i="1"/>
  <c r="CH54" i="1"/>
  <c r="CG54" i="1"/>
  <c r="CF54" i="1"/>
  <c r="CE54" i="1"/>
  <c r="CD54" i="1"/>
  <c r="BY54" i="1"/>
  <c r="BX54" i="1"/>
  <c r="BW54" i="1"/>
  <c r="BV54" i="1"/>
  <c r="BU54" i="1"/>
  <c r="BT54" i="1"/>
  <c r="BS54" i="1"/>
  <c r="BR54" i="1"/>
  <c r="BM54" i="1"/>
  <c r="BL54" i="1"/>
  <c r="BK54" i="1"/>
  <c r="BJ54" i="1"/>
  <c r="BD54" i="1"/>
  <c r="BC54" i="1"/>
  <c r="BB54" i="1"/>
  <c r="BA54" i="1"/>
  <c r="AM54" i="1"/>
  <c r="AL54" i="1"/>
  <c r="AK54" i="1"/>
  <c r="AJ54" i="1"/>
  <c r="AD54" i="1"/>
  <c r="AC54" i="1"/>
  <c r="AB54" i="1"/>
  <c r="AA54" i="1"/>
  <c r="M54" i="1"/>
  <c r="L54" i="1"/>
  <c r="CN53" i="1"/>
  <c r="CK53" i="1"/>
  <c r="CJ53" i="1"/>
  <c r="CI53" i="1"/>
  <c r="CH53" i="1"/>
  <c r="CG53" i="1"/>
  <c r="CF53" i="1"/>
  <c r="CE53" i="1"/>
  <c r="CD53" i="1"/>
  <c r="BY53" i="1"/>
  <c r="BX53" i="1"/>
  <c r="BW53" i="1"/>
  <c r="BV53" i="1"/>
  <c r="BU53" i="1"/>
  <c r="BT53" i="1"/>
  <c r="BS53" i="1"/>
  <c r="BR53" i="1"/>
  <c r="BM53" i="1"/>
  <c r="BL53" i="1"/>
  <c r="BK53" i="1"/>
  <c r="BJ53" i="1"/>
  <c r="BD53" i="1"/>
  <c r="BC53" i="1"/>
  <c r="BB53" i="1"/>
  <c r="BA53" i="1"/>
  <c r="AM53" i="1"/>
  <c r="AL53" i="1"/>
  <c r="AK53" i="1"/>
  <c r="AJ53" i="1"/>
  <c r="AD53" i="1"/>
  <c r="AC53" i="1"/>
  <c r="AB53" i="1"/>
  <c r="AA53" i="1"/>
  <c r="M53" i="1"/>
  <c r="L53" i="1"/>
  <c r="CN52" i="1"/>
  <c r="CK52" i="1"/>
  <c r="CJ52" i="1"/>
  <c r="CI52" i="1"/>
  <c r="CH52" i="1"/>
  <c r="CG52" i="1"/>
  <c r="CF52" i="1"/>
  <c r="CE52" i="1"/>
  <c r="CD52" i="1"/>
  <c r="BY52" i="1"/>
  <c r="BX52" i="1"/>
  <c r="BW52" i="1"/>
  <c r="BV52" i="1"/>
  <c r="BU52" i="1"/>
  <c r="BT52" i="1"/>
  <c r="BS52" i="1"/>
  <c r="BR52" i="1"/>
  <c r="BM52" i="1"/>
  <c r="BL52" i="1"/>
  <c r="BK52" i="1"/>
  <c r="BJ52" i="1"/>
  <c r="BD52" i="1"/>
  <c r="BC52" i="1"/>
  <c r="BB52" i="1"/>
  <c r="BA52" i="1"/>
  <c r="AM52" i="1"/>
  <c r="AL52" i="1"/>
  <c r="AK52" i="1"/>
  <c r="AJ52" i="1"/>
  <c r="AD52" i="1"/>
  <c r="AC52" i="1"/>
  <c r="AB52" i="1"/>
  <c r="AA52" i="1"/>
  <c r="M52" i="1"/>
  <c r="L52" i="1"/>
  <c r="CN51" i="1"/>
  <c r="CK51" i="1"/>
  <c r="CJ51" i="1"/>
  <c r="CI51" i="1"/>
  <c r="CH51" i="1"/>
  <c r="CG51" i="1"/>
  <c r="CF51" i="1"/>
  <c r="CE51" i="1"/>
  <c r="CD51" i="1"/>
  <c r="BY51" i="1"/>
  <c r="BX51" i="1"/>
  <c r="BW51" i="1"/>
  <c r="BV51" i="1"/>
  <c r="BU51" i="1"/>
  <c r="BT51" i="1"/>
  <c r="BS51" i="1"/>
  <c r="BR51" i="1"/>
  <c r="BM51" i="1"/>
  <c r="BL51" i="1"/>
  <c r="BK51" i="1"/>
  <c r="BJ51" i="1"/>
  <c r="BD51" i="1"/>
  <c r="BC51" i="1"/>
  <c r="BB51" i="1"/>
  <c r="BA51" i="1"/>
  <c r="AM51" i="1"/>
  <c r="AL51" i="1"/>
  <c r="AK51" i="1"/>
  <c r="AJ51" i="1"/>
  <c r="AD51" i="1"/>
  <c r="AC51" i="1"/>
  <c r="AB51" i="1"/>
  <c r="AA51" i="1"/>
  <c r="M51" i="1"/>
  <c r="L51" i="1"/>
  <c r="CN50" i="1"/>
  <c r="CK50" i="1"/>
  <c r="CJ50" i="1"/>
  <c r="CI50" i="1"/>
  <c r="CH50" i="1"/>
  <c r="CG50" i="1"/>
  <c r="CF50" i="1"/>
  <c r="CE50" i="1"/>
  <c r="CD50" i="1"/>
  <c r="BY50" i="1"/>
  <c r="BX50" i="1"/>
  <c r="BW50" i="1"/>
  <c r="BV50" i="1"/>
  <c r="BU50" i="1"/>
  <c r="BT50" i="1"/>
  <c r="BS50" i="1"/>
  <c r="BR50" i="1"/>
  <c r="BM50" i="1"/>
  <c r="BL50" i="1"/>
  <c r="BK50" i="1"/>
  <c r="BJ50" i="1"/>
  <c r="BD50" i="1"/>
  <c r="BC50" i="1"/>
  <c r="BB50" i="1"/>
  <c r="BA50" i="1"/>
  <c r="AM50" i="1"/>
  <c r="AL50" i="1"/>
  <c r="AK50" i="1"/>
  <c r="AJ50" i="1"/>
  <c r="AD50" i="1"/>
  <c r="AC50" i="1"/>
  <c r="AB50" i="1"/>
  <c r="AA50" i="1"/>
  <c r="M50" i="1"/>
  <c r="L50" i="1"/>
  <c r="CN49" i="1"/>
  <c r="CK49" i="1"/>
  <c r="CJ49" i="1"/>
  <c r="CI49" i="1"/>
  <c r="CH49" i="1"/>
  <c r="CG49" i="1"/>
  <c r="CF49" i="1"/>
  <c r="CE49" i="1"/>
  <c r="CD49" i="1"/>
  <c r="BY49" i="1"/>
  <c r="BX49" i="1"/>
  <c r="BW49" i="1"/>
  <c r="BV49" i="1"/>
  <c r="BU49" i="1"/>
  <c r="BT49" i="1"/>
  <c r="BS49" i="1"/>
  <c r="BR49" i="1"/>
  <c r="BM49" i="1"/>
  <c r="BL49" i="1"/>
  <c r="BK49" i="1"/>
  <c r="BJ49" i="1"/>
  <c r="BD49" i="1"/>
  <c r="BC49" i="1"/>
  <c r="BB49" i="1"/>
  <c r="BA49" i="1"/>
  <c r="AM49" i="1"/>
  <c r="AL49" i="1"/>
  <c r="AK49" i="1"/>
  <c r="AJ49" i="1"/>
  <c r="AD49" i="1"/>
  <c r="AC49" i="1"/>
  <c r="AB49" i="1"/>
  <c r="AA49" i="1"/>
  <c r="M49" i="1"/>
  <c r="L49" i="1"/>
  <c r="CN48" i="1"/>
  <c r="CK48" i="1"/>
  <c r="CJ48" i="1"/>
  <c r="CI48" i="1"/>
  <c r="CH48" i="1"/>
  <c r="CG48" i="1"/>
  <c r="CF48" i="1"/>
  <c r="CE48" i="1"/>
  <c r="CD48" i="1"/>
  <c r="BY48" i="1"/>
  <c r="BX48" i="1"/>
  <c r="BW48" i="1"/>
  <c r="BV48" i="1"/>
  <c r="BU48" i="1"/>
  <c r="BT48" i="1"/>
  <c r="BS48" i="1"/>
  <c r="BR48" i="1"/>
  <c r="BM48" i="1"/>
  <c r="BL48" i="1"/>
  <c r="BK48" i="1"/>
  <c r="BJ48" i="1"/>
  <c r="BD48" i="1"/>
  <c r="BC48" i="1"/>
  <c r="BB48" i="1"/>
  <c r="BA48" i="1"/>
  <c r="AM48" i="1"/>
  <c r="AL48" i="1"/>
  <c r="AK48" i="1"/>
  <c r="AJ48" i="1"/>
  <c r="AD48" i="1"/>
  <c r="AC48" i="1"/>
  <c r="AB48" i="1"/>
  <c r="AA48" i="1"/>
  <c r="M48" i="1"/>
  <c r="L48" i="1"/>
  <c r="CN47" i="1"/>
  <c r="CK47" i="1"/>
  <c r="CJ47" i="1"/>
  <c r="CI47" i="1"/>
  <c r="CH47" i="1"/>
  <c r="CG47" i="1"/>
  <c r="CF47" i="1"/>
  <c r="CE47" i="1"/>
  <c r="CD47" i="1"/>
  <c r="BY47" i="1"/>
  <c r="BX47" i="1"/>
  <c r="BW47" i="1"/>
  <c r="BV47" i="1"/>
  <c r="BU47" i="1"/>
  <c r="BT47" i="1"/>
  <c r="BS47" i="1"/>
  <c r="BR47" i="1"/>
  <c r="BM47" i="1"/>
  <c r="BL47" i="1"/>
  <c r="BK47" i="1"/>
  <c r="BJ47" i="1"/>
  <c r="BD47" i="1"/>
  <c r="BC47" i="1"/>
  <c r="BB47" i="1"/>
  <c r="BA47" i="1"/>
  <c r="AM47" i="1"/>
  <c r="AL47" i="1"/>
  <c r="AK47" i="1"/>
  <c r="AJ47" i="1"/>
  <c r="AD47" i="1"/>
  <c r="AC47" i="1"/>
  <c r="AB47" i="1"/>
  <c r="AA47" i="1"/>
  <c r="M47" i="1"/>
  <c r="L47" i="1"/>
  <c r="CN46" i="1"/>
  <c r="CK46" i="1"/>
  <c r="CJ46" i="1"/>
  <c r="CI46" i="1"/>
  <c r="CH46" i="1"/>
  <c r="CG46" i="1"/>
  <c r="CF46" i="1"/>
  <c r="CE46" i="1"/>
  <c r="CD46" i="1"/>
  <c r="BY46" i="1"/>
  <c r="BX46" i="1"/>
  <c r="BW46" i="1"/>
  <c r="BV46" i="1"/>
  <c r="BU46" i="1"/>
  <c r="BT46" i="1"/>
  <c r="BS46" i="1"/>
  <c r="BR46" i="1"/>
  <c r="BM46" i="1"/>
  <c r="BL46" i="1"/>
  <c r="BK46" i="1"/>
  <c r="BJ46" i="1"/>
  <c r="BD46" i="1"/>
  <c r="BC46" i="1"/>
  <c r="BB46" i="1"/>
  <c r="BA46" i="1"/>
  <c r="AM46" i="1"/>
  <c r="AL46" i="1"/>
  <c r="AK46" i="1"/>
  <c r="AJ46" i="1"/>
  <c r="AD46" i="1"/>
  <c r="AC46" i="1"/>
  <c r="AB46" i="1"/>
  <c r="AA46" i="1"/>
  <c r="M46" i="1"/>
  <c r="L46" i="1"/>
  <c r="CN45" i="1"/>
  <c r="CK45" i="1"/>
  <c r="CJ45" i="1"/>
  <c r="CI45" i="1"/>
  <c r="CH45" i="1"/>
  <c r="CG45" i="1"/>
  <c r="CF45" i="1"/>
  <c r="CE45" i="1"/>
  <c r="CD45" i="1"/>
  <c r="BY45" i="1"/>
  <c r="BX45" i="1"/>
  <c r="BW45" i="1"/>
  <c r="BV45" i="1"/>
  <c r="BU45" i="1"/>
  <c r="BT45" i="1"/>
  <c r="BS45" i="1"/>
  <c r="BR45" i="1"/>
  <c r="BM45" i="1"/>
  <c r="BL45" i="1"/>
  <c r="BK45" i="1"/>
  <c r="BJ45" i="1"/>
  <c r="BD45" i="1"/>
  <c r="BC45" i="1"/>
  <c r="BB45" i="1"/>
  <c r="BA45" i="1"/>
  <c r="AM45" i="1"/>
  <c r="AL45" i="1"/>
  <c r="AK45" i="1"/>
  <c r="AJ45" i="1"/>
  <c r="AD45" i="1"/>
  <c r="AC45" i="1"/>
  <c r="AB45" i="1"/>
  <c r="AA45" i="1"/>
  <c r="M45" i="1"/>
  <c r="L45" i="1"/>
  <c r="CN44" i="1"/>
  <c r="CK44" i="1"/>
  <c r="CJ44" i="1"/>
  <c r="CI44" i="1"/>
  <c r="CH44" i="1"/>
  <c r="CG44" i="1"/>
  <c r="CF44" i="1"/>
  <c r="CE44" i="1"/>
  <c r="CD44" i="1"/>
  <c r="BY44" i="1"/>
  <c r="BX44" i="1"/>
  <c r="BW44" i="1"/>
  <c r="BV44" i="1"/>
  <c r="BU44" i="1"/>
  <c r="BT44" i="1"/>
  <c r="BS44" i="1"/>
  <c r="BR44" i="1"/>
  <c r="BM44" i="1"/>
  <c r="BL44" i="1"/>
  <c r="BK44" i="1"/>
  <c r="BJ44" i="1"/>
  <c r="BD44" i="1"/>
  <c r="BC44" i="1"/>
  <c r="BB44" i="1"/>
  <c r="BA44" i="1"/>
  <c r="AM44" i="1"/>
  <c r="AL44" i="1"/>
  <c r="AK44" i="1"/>
  <c r="AJ44" i="1"/>
  <c r="AD44" i="1"/>
  <c r="AC44" i="1"/>
  <c r="AB44" i="1"/>
  <c r="AA44" i="1"/>
  <c r="M44" i="1"/>
  <c r="L44" i="1"/>
  <c r="CN43" i="1"/>
  <c r="CK43" i="1"/>
  <c r="CJ43" i="1"/>
  <c r="CI43" i="1"/>
  <c r="CH43" i="1"/>
  <c r="CG43" i="1"/>
  <c r="CF43" i="1"/>
  <c r="CE43" i="1"/>
  <c r="CD43" i="1"/>
  <c r="BY43" i="1"/>
  <c r="BX43" i="1"/>
  <c r="BW43" i="1"/>
  <c r="BV43" i="1"/>
  <c r="BU43" i="1"/>
  <c r="BT43" i="1"/>
  <c r="BS43" i="1"/>
  <c r="BR43" i="1"/>
  <c r="BM43" i="1"/>
  <c r="BL43" i="1"/>
  <c r="BK43" i="1"/>
  <c r="BJ43" i="1"/>
  <c r="BD43" i="1"/>
  <c r="BC43" i="1"/>
  <c r="BB43" i="1"/>
  <c r="BA43" i="1"/>
  <c r="AM43" i="1"/>
  <c r="AL43" i="1"/>
  <c r="AK43" i="1"/>
  <c r="AJ43" i="1"/>
  <c r="AD43" i="1"/>
  <c r="AC43" i="1"/>
  <c r="AB43" i="1"/>
  <c r="AA43" i="1"/>
  <c r="M43" i="1"/>
  <c r="L43" i="1"/>
  <c r="CN42" i="1"/>
  <c r="CK42" i="1"/>
  <c r="CJ42" i="1"/>
  <c r="CI42" i="1"/>
  <c r="CH42" i="1"/>
  <c r="CG42" i="1"/>
  <c r="CF42" i="1"/>
  <c r="CE42" i="1"/>
  <c r="CD42" i="1"/>
  <c r="BY42" i="1"/>
  <c r="BX42" i="1"/>
  <c r="BW42" i="1"/>
  <c r="BV42" i="1"/>
  <c r="BU42" i="1"/>
  <c r="BT42" i="1"/>
  <c r="BS42" i="1"/>
  <c r="BR42" i="1"/>
  <c r="BM42" i="1"/>
  <c r="BL42" i="1"/>
  <c r="BK42" i="1"/>
  <c r="BJ42" i="1"/>
  <c r="BD42" i="1"/>
  <c r="BC42" i="1"/>
  <c r="BB42" i="1"/>
  <c r="BA42" i="1"/>
  <c r="AM42" i="1"/>
  <c r="AL42" i="1"/>
  <c r="AK42" i="1"/>
  <c r="AJ42" i="1"/>
  <c r="AD42" i="1"/>
  <c r="AC42" i="1"/>
  <c r="AB42" i="1"/>
  <c r="AA42" i="1"/>
  <c r="M42" i="1"/>
  <c r="L42" i="1"/>
  <c r="CN41" i="1"/>
  <c r="CK41" i="1"/>
  <c r="CJ41" i="1"/>
  <c r="CI41" i="1"/>
  <c r="CH41" i="1"/>
  <c r="CG41" i="1"/>
  <c r="CF41" i="1"/>
  <c r="CE41" i="1"/>
  <c r="CD41" i="1"/>
  <c r="BY41" i="1"/>
  <c r="BX41" i="1"/>
  <c r="BW41" i="1"/>
  <c r="BV41" i="1"/>
  <c r="BU41" i="1"/>
  <c r="BT41" i="1"/>
  <c r="BS41" i="1"/>
  <c r="BR41" i="1"/>
  <c r="BM41" i="1"/>
  <c r="BL41" i="1"/>
  <c r="BK41" i="1"/>
  <c r="BJ41" i="1"/>
  <c r="BD41" i="1"/>
  <c r="BC41" i="1"/>
  <c r="BB41" i="1"/>
  <c r="BA41" i="1"/>
  <c r="AM41" i="1"/>
  <c r="AL41" i="1"/>
  <c r="AK41" i="1"/>
  <c r="AJ41" i="1"/>
  <c r="AD41" i="1"/>
  <c r="AC41" i="1"/>
  <c r="AB41" i="1"/>
  <c r="AA41" i="1"/>
  <c r="M41" i="1"/>
  <c r="L41" i="1"/>
  <c r="CN40" i="1"/>
  <c r="CK40" i="1"/>
  <c r="CJ40" i="1"/>
  <c r="CI40" i="1"/>
  <c r="CH40" i="1"/>
  <c r="CG40" i="1"/>
  <c r="CF40" i="1"/>
  <c r="CE40" i="1"/>
  <c r="CD40" i="1"/>
  <c r="BY40" i="1"/>
  <c r="BX40" i="1"/>
  <c r="BW40" i="1"/>
  <c r="BV40" i="1"/>
  <c r="BU40" i="1"/>
  <c r="BT40" i="1"/>
  <c r="BS40" i="1"/>
  <c r="BR40" i="1"/>
  <c r="BM40" i="1"/>
  <c r="BL40" i="1"/>
  <c r="BK40" i="1"/>
  <c r="BJ40" i="1"/>
  <c r="BD40" i="1"/>
  <c r="BC40" i="1"/>
  <c r="BB40" i="1"/>
  <c r="BA40" i="1"/>
  <c r="AM40" i="1"/>
  <c r="AL40" i="1"/>
  <c r="AK40" i="1"/>
  <c r="AJ40" i="1"/>
  <c r="AD40" i="1"/>
  <c r="AC40" i="1"/>
  <c r="AB40" i="1"/>
  <c r="AA40" i="1"/>
  <c r="M40" i="1"/>
  <c r="L40" i="1"/>
  <c r="CN39" i="1"/>
  <c r="CK39" i="1"/>
  <c r="CJ39" i="1"/>
  <c r="CI39" i="1"/>
  <c r="CH39" i="1"/>
  <c r="CG39" i="1"/>
  <c r="CF39" i="1"/>
  <c r="CE39" i="1"/>
  <c r="CD39" i="1"/>
  <c r="BY39" i="1"/>
  <c r="BX39" i="1"/>
  <c r="BW39" i="1"/>
  <c r="BV39" i="1"/>
  <c r="BU39" i="1"/>
  <c r="BT39" i="1"/>
  <c r="BS39" i="1"/>
  <c r="BR39" i="1"/>
  <c r="BM39" i="1"/>
  <c r="BL39" i="1"/>
  <c r="BK39" i="1"/>
  <c r="BJ39" i="1"/>
  <c r="BD39" i="1"/>
  <c r="BC39" i="1"/>
  <c r="BB39" i="1"/>
  <c r="BA39" i="1"/>
  <c r="AM39" i="1"/>
  <c r="AL39" i="1"/>
  <c r="AK39" i="1"/>
  <c r="AJ39" i="1"/>
  <c r="AD39" i="1"/>
  <c r="AC39" i="1"/>
  <c r="AB39" i="1"/>
  <c r="AA39" i="1"/>
  <c r="M39" i="1"/>
  <c r="L39" i="1"/>
  <c r="CN38" i="1"/>
  <c r="CK38" i="1"/>
  <c r="CJ38" i="1"/>
  <c r="CI38" i="1"/>
  <c r="CH38" i="1"/>
  <c r="CG38" i="1"/>
  <c r="CF38" i="1"/>
  <c r="CE38" i="1"/>
  <c r="CD38" i="1"/>
  <c r="BY38" i="1"/>
  <c r="BX38" i="1"/>
  <c r="BW38" i="1"/>
  <c r="BV38" i="1"/>
  <c r="BU38" i="1"/>
  <c r="BT38" i="1"/>
  <c r="BS38" i="1"/>
  <c r="BR38" i="1"/>
  <c r="BM38" i="1"/>
  <c r="BL38" i="1"/>
  <c r="BK38" i="1"/>
  <c r="BJ38" i="1"/>
  <c r="BD38" i="1"/>
  <c r="BC38" i="1"/>
  <c r="BB38" i="1"/>
  <c r="BA38" i="1"/>
  <c r="AM38" i="1"/>
  <c r="AL38" i="1"/>
  <c r="AK38" i="1"/>
  <c r="AJ38" i="1"/>
  <c r="AD38" i="1"/>
  <c r="AC38" i="1"/>
  <c r="AB38" i="1"/>
  <c r="AA38" i="1"/>
  <c r="M38" i="1"/>
  <c r="L38" i="1"/>
  <c r="CN37" i="1"/>
  <c r="CK37" i="1"/>
  <c r="CJ37" i="1"/>
  <c r="CI37" i="1"/>
  <c r="CH37" i="1"/>
  <c r="CG37" i="1"/>
  <c r="CF37" i="1"/>
  <c r="CE37" i="1"/>
  <c r="CD37" i="1"/>
  <c r="BY37" i="1"/>
  <c r="BX37" i="1"/>
  <c r="BW37" i="1"/>
  <c r="BV37" i="1"/>
  <c r="BU37" i="1"/>
  <c r="BT37" i="1"/>
  <c r="BS37" i="1"/>
  <c r="BR37" i="1"/>
  <c r="BM37" i="1"/>
  <c r="BL37" i="1"/>
  <c r="BK37" i="1"/>
  <c r="BJ37" i="1"/>
  <c r="BD37" i="1"/>
  <c r="BC37" i="1"/>
  <c r="BB37" i="1"/>
  <c r="BA37" i="1"/>
  <c r="AM37" i="1"/>
  <c r="AL37" i="1"/>
  <c r="AK37" i="1"/>
  <c r="AJ37" i="1"/>
  <c r="AD37" i="1"/>
  <c r="AC37" i="1"/>
  <c r="AB37" i="1"/>
  <c r="AA37" i="1"/>
  <c r="M37" i="1"/>
  <c r="L37" i="1"/>
  <c r="CN36" i="1"/>
  <c r="CK36" i="1"/>
  <c r="CJ36" i="1"/>
  <c r="CI36" i="1"/>
  <c r="CH36" i="1"/>
  <c r="CG36" i="1"/>
  <c r="CF36" i="1"/>
  <c r="CE36" i="1"/>
  <c r="CD36" i="1"/>
  <c r="BY36" i="1"/>
  <c r="BX36" i="1"/>
  <c r="BW36" i="1"/>
  <c r="BV36" i="1"/>
  <c r="BU36" i="1"/>
  <c r="BT36" i="1"/>
  <c r="BS36" i="1"/>
  <c r="BR36" i="1"/>
  <c r="BM36" i="1"/>
  <c r="BL36" i="1"/>
  <c r="BK36" i="1"/>
  <c r="BJ36" i="1"/>
  <c r="BD36" i="1"/>
  <c r="BC36" i="1"/>
  <c r="BB36" i="1"/>
  <c r="BA36" i="1"/>
  <c r="AM36" i="1"/>
  <c r="AL36" i="1"/>
  <c r="AK36" i="1"/>
  <c r="AJ36" i="1"/>
  <c r="AD36" i="1"/>
  <c r="AC36" i="1"/>
  <c r="AB36" i="1"/>
  <c r="AA36" i="1"/>
  <c r="M36" i="1"/>
  <c r="L36" i="1"/>
  <c r="CN35" i="1"/>
  <c r="CK35" i="1"/>
  <c r="CJ35" i="1"/>
  <c r="CI35" i="1"/>
  <c r="CH35" i="1"/>
  <c r="CG35" i="1"/>
  <c r="CF35" i="1"/>
  <c r="CE35" i="1"/>
  <c r="CD35" i="1"/>
  <c r="BY35" i="1"/>
  <c r="BX35" i="1"/>
  <c r="BW35" i="1"/>
  <c r="BV35" i="1"/>
  <c r="BU35" i="1"/>
  <c r="BT35" i="1"/>
  <c r="BS35" i="1"/>
  <c r="BR35" i="1"/>
  <c r="BM35" i="1"/>
  <c r="BL35" i="1"/>
  <c r="BK35" i="1"/>
  <c r="BJ35" i="1"/>
  <c r="BD35" i="1"/>
  <c r="BC35" i="1"/>
  <c r="BB35" i="1"/>
  <c r="BA35" i="1"/>
  <c r="AM35" i="1"/>
  <c r="AL35" i="1"/>
  <c r="AK35" i="1"/>
  <c r="AJ35" i="1"/>
  <c r="AD35" i="1"/>
  <c r="AC35" i="1"/>
  <c r="AB35" i="1"/>
  <c r="AA35" i="1"/>
  <c r="M35" i="1"/>
  <c r="L35" i="1"/>
  <c r="CN34" i="1"/>
  <c r="CK34" i="1"/>
  <c r="CJ34" i="1"/>
  <c r="CI34" i="1"/>
  <c r="CH34" i="1"/>
  <c r="CG34" i="1"/>
  <c r="CF34" i="1"/>
  <c r="CE34" i="1"/>
  <c r="CD34" i="1"/>
  <c r="BY34" i="1"/>
  <c r="BX34" i="1"/>
  <c r="BW34" i="1"/>
  <c r="BV34" i="1"/>
  <c r="BU34" i="1"/>
  <c r="BT34" i="1"/>
  <c r="BS34" i="1"/>
  <c r="BR34" i="1"/>
  <c r="BM34" i="1"/>
  <c r="BL34" i="1"/>
  <c r="BK34" i="1"/>
  <c r="BJ34" i="1"/>
  <c r="BD34" i="1"/>
  <c r="BC34" i="1"/>
  <c r="BB34" i="1"/>
  <c r="BA34" i="1"/>
  <c r="AM34" i="1"/>
  <c r="AL34" i="1"/>
  <c r="AK34" i="1"/>
  <c r="AJ34" i="1"/>
  <c r="AD34" i="1"/>
  <c r="AC34" i="1"/>
  <c r="AB34" i="1"/>
  <c r="AA34" i="1"/>
  <c r="M34" i="1"/>
  <c r="L34" i="1"/>
  <c r="CN33" i="1"/>
  <c r="CK33" i="1"/>
  <c r="CJ33" i="1"/>
  <c r="CI33" i="1"/>
  <c r="CH33" i="1"/>
  <c r="CG33" i="1"/>
  <c r="CF33" i="1"/>
  <c r="CE33" i="1"/>
  <c r="CD33" i="1"/>
  <c r="BY33" i="1"/>
  <c r="BX33" i="1"/>
  <c r="BW33" i="1"/>
  <c r="BV33" i="1"/>
  <c r="BU33" i="1"/>
  <c r="BT33" i="1"/>
  <c r="BS33" i="1"/>
  <c r="BR33" i="1"/>
  <c r="BM33" i="1"/>
  <c r="BL33" i="1"/>
  <c r="BK33" i="1"/>
  <c r="BJ33" i="1"/>
  <c r="BD33" i="1"/>
  <c r="BC33" i="1"/>
  <c r="BB33" i="1"/>
  <c r="BA33" i="1"/>
  <c r="AM33" i="1"/>
  <c r="AL33" i="1"/>
  <c r="AK33" i="1"/>
  <c r="AJ33" i="1"/>
  <c r="AD33" i="1"/>
  <c r="AC33" i="1"/>
  <c r="AB33" i="1"/>
  <c r="AA33" i="1"/>
  <c r="M33" i="1"/>
  <c r="L33" i="1"/>
  <c r="CN32" i="1"/>
  <c r="CK32" i="1"/>
  <c r="CJ32" i="1"/>
  <c r="CI32" i="1"/>
  <c r="CH32" i="1"/>
  <c r="CG32" i="1"/>
  <c r="CF32" i="1"/>
  <c r="CE32" i="1"/>
  <c r="CD32" i="1"/>
  <c r="BY32" i="1"/>
  <c r="BX32" i="1"/>
  <c r="BW32" i="1"/>
  <c r="BV32" i="1"/>
  <c r="BU32" i="1"/>
  <c r="BT32" i="1"/>
  <c r="BS32" i="1"/>
  <c r="BR32" i="1"/>
  <c r="BM32" i="1"/>
  <c r="BL32" i="1"/>
  <c r="BK32" i="1"/>
  <c r="BJ32" i="1"/>
  <c r="BD32" i="1"/>
  <c r="BC32" i="1"/>
  <c r="BB32" i="1"/>
  <c r="BA32" i="1"/>
  <c r="AM32" i="1"/>
  <c r="AL32" i="1"/>
  <c r="AK32" i="1"/>
  <c r="AJ32" i="1"/>
  <c r="AD32" i="1"/>
  <c r="AC32" i="1"/>
  <c r="AB32" i="1"/>
  <c r="AA32" i="1"/>
  <c r="M32" i="1"/>
  <c r="L32" i="1"/>
  <c r="CN31" i="1"/>
  <c r="CK31" i="1"/>
  <c r="CJ31" i="1"/>
  <c r="CI31" i="1"/>
  <c r="CH31" i="1"/>
  <c r="CG31" i="1"/>
  <c r="CF31" i="1"/>
  <c r="CE31" i="1"/>
  <c r="CD31" i="1"/>
  <c r="BY31" i="1"/>
  <c r="BX31" i="1"/>
  <c r="BW31" i="1"/>
  <c r="BV31" i="1"/>
  <c r="BU31" i="1"/>
  <c r="BT31" i="1"/>
  <c r="BS31" i="1"/>
  <c r="BR31" i="1"/>
  <c r="BM31" i="1"/>
  <c r="BL31" i="1"/>
  <c r="BK31" i="1"/>
  <c r="BJ31" i="1"/>
  <c r="BD31" i="1"/>
  <c r="BC31" i="1"/>
  <c r="BB31" i="1"/>
  <c r="BA31" i="1"/>
  <c r="AM31" i="1"/>
  <c r="AL31" i="1"/>
  <c r="AK31" i="1"/>
  <c r="AJ31" i="1"/>
  <c r="AD31" i="1"/>
  <c r="AC31" i="1"/>
  <c r="AB31" i="1"/>
  <c r="AA31" i="1"/>
  <c r="M31" i="1"/>
  <c r="L31" i="1"/>
  <c r="CN30" i="1"/>
  <c r="CK30" i="1"/>
  <c r="CJ30" i="1"/>
  <c r="CI30" i="1"/>
  <c r="CH30" i="1"/>
  <c r="CG30" i="1"/>
  <c r="CF30" i="1"/>
  <c r="CE30" i="1"/>
  <c r="CD30" i="1"/>
  <c r="BY30" i="1"/>
  <c r="BX30" i="1"/>
  <c r="BW30" i="1"/>
  <c r="BV30" i="1"/>
  <c r="BU30" i="1"/>
  <c r="BT30" i="1"/>
  <c r="BS30" i="1"/>
  <c r="BR30" i="1"/>
  <c r="BM30" i="1"/>
  <c r="BL30" i="1"/>
  <c r="BK30" i="1"/>
  <c r="BJ30" i="1"/>
  <c r="BD30" i="1"/>
  <c r="BC30" i="1"/>
  <c r="BB30" i="1"/>
  <c r="BA30" i="1"/>
  <c r="AM30" i="1"/>
  <c r="AL30" i="1"/>
  <c r="AK30" i="1"/>
  <c r="AJ30" i="1"/>
  <c r="AD30" i="1"/>
  <c r="AC30" i="1"/>
  <c r="AB30" i="1"/>
  <c r="AA30" i="1"/>
  <c r="M30" i="1"/>
  <c r="L30" i="1"/>
  <c r="CN29" i="1"/>
  <c r="CK29" i="1"/>
  <c r="CJ29" i="1"/>
  <c r="CI29" i="1"/>
  <c r="CH29" i="1"/>
  <c r="CG29" i="1"/>
  <c r="CF29" i="1"/>
  <c r="CE29" i="1"/>
  <c r="CD29" i="1"/>
  <c r="BY29" i="1"/>
  <c r="BX29" i="1"/>
  <c r="BW29" i="1"/>
  <c r="BV29" i="1"/>
  <c r="BU29" i="1"/>
  <c r="BT29" i="1"/>
  <c r="BS29" i="1"/>
  <c r="BR29" i="1"/>
  <c r="BM29" i="1"/>
  <c r="BL29" i="1"/>
  <c r="BK29" i="1"/>
  <c r="BJ29" i="1"/>
  <c r="BD29" i="1"/>
  <c r="BC29" i="1"/>
  <c r="BB29" i="1"/>
  <c r="BA29" i="1"/>
  <c r="AM29" i="1"/>
  <c r="AL29" i="1"/>
  <c r="AK29" i="1"/>
  <c r="AJ29" i="1"/>
  <c r="AD29" i="1"/>
  <c r="AC29" i="1"/>
  <c r="AB29" i="1"/>
  <c r="AA29" i="1"/>
  <c r="M29" i="1"/>
  <c r="L29" i="1"/>
  <c r="CN28" i="1"/>
  <c r="CK28" i="1"/>
  <c r="CJ28" i="1"/>
  <c r="CI28" i="1"/>
  <c r="CH28" i="1"/>
  <c r="CG28" i="1"/>
  <c r="CF28" i="1"/>
  <c r="CE28" i="1"/>
  <c r="CD28" i="1"/>
  <c r="BY28" i="1"/>
  <c r="BX28" i="1"/>
  <c r="BW28" i="1"/>
  <c r="BV28" i="1"/>
  <c r="BU28" i="1"/>
  <c r="BT28" i="1"/>
  <c r="BS28" i="1"/>
  <c r="BR28" i="1"/>
  <c r="BM28" i="1"/>
  <c r="BL28" i="1"/>
  <c r="BK28" i="1"/>
  <c r="BJ28" i="1"/>
  <c r="BD28" i="1"/>
  <c r="BC28" i="1"/>
  <c r="BB28" i="1"/>
  <c r="BA28" i="1"/>
  <c r="AM28" i="1"/>
  <c r="AL28" i="1"/>
  <c r="AK28" i="1"/>
  <c r="AJ28" i="1"/>
  <c r="AD28" i="1"/>
  <c r="AC28" i="1"/>
  <c r="AB28" i="1"/>
  <c r="AA28" i="1"/>
  <c r="M28" i="1"/>
  <c r="L28" i="1"/>
  <c r="CN27" i="1"/>
  <c r="CK27" i="1"/>
  <c r="CJ27" i="1"/>
  <c r="CI27" i="1"/>
  <c r="CH27" i="1"/>
  <c r="CG27" i="1"/>
  <c r="CF27" i="1"/>
  <c r="CE27" i="1"/>
  <c r="CD27" i="1"/>
  <c r="BY27" i="1"/>
  <c r="BX27" i="1"/>
  <c r="BW27" i="1"/>
  <c r="BV27" i="1"/>
  <c r="BU27" i="1"/>
  <c r="BT27" i="1"/>
  <c r="BS27" i="1"/>
  <c r="BR27" i="1"/>
  <c r="BM27" i="1"/>
  <c r="BL27" i="1"/>
  <c r="BK27" i="1"/>
  <c r="BJ27" i="1"/>
  <c r="BD27" i="1"/>
  <c r="BC27" i="1"/>
  <c r="BB27" i="1"/>
  <c r="BA27" i="1"/>
  <c r="AM27" i="1"/>
  <c r="AL27" i="1"/>
  <c r="AK27" i="1"/>
  <c r="AJ27" i="1"/>
  <c r="AD27" i="1"/>
  <c r="AC27" i="1"/>
  <c r="AB27" i="1"/>
  <c r="AA27" i="1"/>
  <c r="M27" i="1"/>
  <c r="L27" i="1"/>
  <c r="CN26" i="1"/>
  <c r="CK26" i="1"/>
  <c r="CJ26" i="1"/>
  <c r="CI26" i="1"/>
  <c r="CH26" i="1"/>
  <c r="CG26" i="1"/>
  <c r="CF26" i="1"/>
  <c r="CE26" i="1"/>
  <c r="CD26" i="1"/>
  <c r="BY26" i="1"/>
  <c r="BX26" i="1"/>
  <c r="BW26" i="1"/>
  <c r="BV26" i="1"/>
  <c r="BU26" i="1"/>
  <c r="BT26" i="1"/>
  <c r="BS26" i="1"/>
  <c r="BR26" i="1"/>
  <c r="BM26" i="1"/>
  <c r="BL26" i="1"/>
  <c r="BK26" i="1"/>
  <c r="BJ26" i="1"/>
  <c r="BD26" i="1"/>
  <c r="BC26" i="1"/>
  <c r="BB26" i="1"/>
  <c r="BA26" i="1"/>
  <c r="AM26" i="1"/>
  <c r="AL26" i="1"/>
  <c r="AK26" i="1"/>
  <c r="AJ26" i="1"/>
  <c r="AD26" i="1"/>
  <c r="AC26" i="1"/>
  <c r="AB26" i="1"/>
  <c r="AA26" i="1"/>
  <c r="M26" i="1"/>
  <c r="L26" i="1"/>
  <c r="CN25" i="1"/>
  <c r="CK25" i="1"/>
  <c r="CJ25" i="1"/>
  <c r="CI25" i="1"/>
  <c r="CH25" i="1"/>
  <c r="CG25" i="1"/>
  <c r="CF25" i="1"/>
  <c r="CE25" i="1"/>
  <c r="CD25" i="1"/>
  <c r="BY25" i="1"/>
  <c r="BX25" i="1"/>
  <c r="BW25" i="1"/>
  <c r="BV25" i="1"/>
  <c r="BU25" i="1"/>
  <c r="BT25" i="1"/>
  <c r="BS25" i="1"/>
  <c r="BR25" i="1"/>
  <c r="BM25" i="1"/>
  <c r="BL25" i="1"/>
  <c r="BK25" i="1"/>
  <c r="BJ25" i="1"/>
  <c r="BD25" i="1"/>
  <c r="BC25" i="1"/>
  <c r="BB25" i="1"/>
  <c r="BA25" i="1"/>
  <c r="AM25" i="1"/>
  <c r="AL25" i="1"/>
  <c r="AK25" i="1"/>
  <c r="AJ25" i="1"/>
  <c r="AD25" i="1"/>
  <c r="AC25" i="1"/>
  <c r="AB25" i="1"/>
  <c r="AA25" i="1"/>
  <c r="M25" i="1"/>
  <c r="L25" i="1"/>
  <c r="CN24" i="1"/>
  <c r="CK24" i="1"/>
  <c r="CJ24" i="1"/>
  <c r="CI24" i="1"/>
  <c r="CH24" i="1"/>
  <c r="CG24" i="1"/>
  <c r="CF24" i="1"/>
  <c r="CE24" i="1"/>
  <c r="CD24" i="1"/>
  <c r="BY24" i="1"/>
  <c r="BX24" i="1"/>
  <c r="BW24" i="1"/>
  <c r="BV24" i="1"/>
  <c r="BU24" i="1"/>
  <c r="BT24" i="1"/>
  <c r="BS24" i="1"/>
  <c r="BR24" i="1"/>
  <c r="BM24" i="1"/>
  <c r="BL24" i="1"/>
  <c r="BK24" i="1"/>
  <c r="BJ24" i="1"/>
  <c r="BD24" i="1"/>
  <c r="BC24" i="1"/>
  <c r="BB24" i="1"/>
  <c r="BA24" i="1"/>
  <c r="AM24" i="1"/>
  <c r="AL24" i="1"/>
  <c r="AK24" i="1"/>
  <c r="AJ24" i="1"/>
  <c r="AD24" i="1"/>
  <c r="AC24" i="1"/>
  <c r="AB24" i="1"/>
  <c r="AA24" i="1"/>
  <c r="M24" i="1"/>
  <c r="L24" i="1"/>
  <c r="CN23" i="1"/>
  <c r="CK23" i="1"/>
  <c r="CJ23" i="1"/>
  <c r="CI23" i="1"/>
  <c r="CH23" i="1"/>
  <c r="CG23" i="1"/>
  <c r="CF23" i="1"/>
  <c r="CE23" i="1"/>
  <c r="CD23" i="1"/>
  <c r="BY23" i="1"/>
  <c r="BX23" i="1"/>
  <c r="BW23" i="1"/>
  <c r="BV23" i="1"/>
  <c r="BU23" i="1"/>
  <c r="BT23" i="1"/>
  <c r="BS23" i="1"/>
  <c r="BR23" i="1"/>
  <c r="BM23" i="1"/>
  <c r="BL23" i="1"/>
  <c r="BK23" i="1"/>
  <c r="BJ23" i="1"/>
  <c r="BD23" i="1"/>
  <c r="BC23" i="1"/>
  <c r="BB23" i="1"/>
  <c r="BA23" i="1"/>
  <c r="AM23" i="1"/>
  <c r="AL23" i="1"/>
  <c r="AK23" i="1"/>
  <c r="AJ23" i="1"/>
  <c r="AD23" i="1"/>
  <c r="AC23" i="1"/>
  <c r="AB23" i="1"/>
  <c r="AA23" i="1"/>
  <c r="M23" i="1"/>
  <c r="L23" i="1"/>
  <c r="CN22" i="1"/>
  <c r="CK22" i="1"/>
  <c r="CJ22" i="1"/>
  <c r="CI22" i="1"/>
  <c r="CH22" i="1"/>
  <c r="CG22" i="1"/>
  <c r="CF22" i="1"/>
  <c r="CE22" i="1"/>
  <c r="CD22" i="1"/>
  <c r="BY22" i="1"/>
  <c r="BX22" i="1"/>
  <c r="BW22" i="1"/>
  <c r="BV22" i="1"/>
  <c r="BU22" i="1"/>
  <c r="BT22" i="1"/>
  <c r="BS22" i="1"/>
  <c r="BR22" i="1"/>
  <c r="BM22" i="1"/>
  <c r="BL22" i="1"/>
  <c r="BK22" i="1"/>
  <c r="BJ22" i="1"/>
  <c r="BD22" i="1"/>
  <c r="BC22" i="1"/>
  <c r="BB22" i="1"/>
  <c r="BA22" i="1"/>
  <c r="AM22" i="1"/>
  <c r="AL22" i="1"/>
  <c r="AK22" i="1"/>
  <c r="AJ22" i="1"/>
  <c r="AD22" i="1"/>
  <c r="AC22" i="1"/>
  <c r="AB22" i="1"/>
  <c r="AA22" i="1"/>
  <c r="M22" i="1"/>
  <c r="L22" i="1"/>
  <c r="CN21" i="1"/>
  <c r="CK21" i="1"/>
  <c r="CJ21" i="1"/>
  <c r="CI21" i="1"/>
  <c r="CH21" i="1"/>
  <c r="CG21" i="1"/>
  <c r="CF21" i="1"/>
  <c r="CE21" i="1"/>
  <c r="CD21" i="1"/>
  <c r="BY21" i="1"/>
  <c r="BX21" i="1"/>
  <c r="BW21" i="1"/>
  <c r="BV21" i="1"/>
  <c r="BU21" i="1"/>
  <c r="BT21" i="1"/>
  <c r="BS21" i="1"/>
  <c r="BR21" i="1"/>
  <c r="BM21" i="1"/>
  <c r="BL21" i="1"/>
  <c r="BK21" i="1"/>
  <c r="BJ21" i="1"/>
  <c r="BD21" i="1"/>
  <c r="BC21" i="1"/>
  <c r="BB21" i="1"/>
  <c r="BA21" i="1"/>
  <c r="AM21" i="1"/>
  <c r="AL21" i="1"/>
  <c r="AK21" i="1"/>
  <c r="AJ21" i="1"/>
  <c r="AD21" i="1"/>
  <c r="AC21" i="1"/>
  <c r="AB21" i="1"/>
  <c r="AA21" i="1"/>
  <c r="M21" i="1"/>
  <c r="L21" i="1"/>
  <c r="CN20" i="1"/>
  <c r="CK20" i="1"/>
  <c r="CJ20" i="1"/>
  <c r="CI20" i="1"/>
  <c r="CH20" i="1"/>
  <c r="CG20" i="1"/>
  <c r="CF20" i="1"/>
  <c r="CE20" i="1"/>
  <c r="CD20" i="1"/>
  <c r="BY20" i="1"/>
  <c r="BX20" i="1"/>
  <c r="BW20" i="1"/>
  <c r="BV20" i="1"/>
  <c r="BU20" i="1"/>
  <c r="BT20" i="1"/>
  <c r="BS20" i="1"/>
  <c r="BR20" i="1"/>
  <c r="BM20" i="1"/>
  <c r="BL20" i="1"/>
  <c r="BK20" i="1"/>
  <c r="BJ20" i="1"/>
  <c r="BD20" i="1"/>
  <c r="BC20" i="1"/>
  <c r="BB20" i="1"/>
  <c r="BA20" i="1"/>
  <c r="AM20" i="1"/>
  <c r="AL20" i="1"/>
  <c r="AK20" i="1"/>
  <c r="AJ20" i="1"/>
  <c r="AD20" i="1"/>
  <c r="AC20" i="1"/>
  <c r="AB20" i="1"/>
  <c r="AA20" i="1"/>
  <c r="M20" i="1"/>
  <c r="L20" i="1"/>
  <c r="CN19" i="1"/>
  <c r="CK19" i="1"/>
  <c r="CJ19" i="1"/>
  <c r="CI19" i="1"/>
  <c r="CH19" i="1"/>
  <c r="CG19" i="1"/>
  <c r="CF19" i="1"/>
  <c r="CE19" i="1"/>
  <c r="CD19" i="1"/>
  <c r="BY19" i="1"/>
  <c r="BX19" i="1"/>
  <c r="BW19" i="1"/>
  <c r="BV19" i="1"/>
  <c r="BU19" i="1"/>
  <c r="BT19" i="1"/>
  <c r="BS19" i="1"/>
  <c r="BR19" i="1"/>
  <c r="BM19" i="1"/>
  <c r="BL19" i="1"/>
  <c r="BK19" i="1"/>
  <c r="BJ19" i="1"/>
  <c r="BD19" i="1"/>
  <c r="BC19" i="1"/>
  <c r="BB19" i="1"/>
  <c r="BA19" i="1"/>
  <c r="AM19" i="1"/>
  <c r="AL19" i="1"/>
  <c r="AK19" i="1"/>
  <c r="AJ19" i="1"/>
  <c r="AD19" i="1"/>
  <c r="AC19" i="1"/>
  <c r="AB19" i="1"/>
  <c r="AA19" i="1"/>
  <c r="M19" i="1"/>
  <c r="L19" i="1"/>
  <c r="CN18" i="1"/>
  <c r="CK18" i="1"/>
  <c r="CJ18" i="1"/>
  <c r="CI18" i="1"/>
  <c r="CH18" i="1"/>
  <c r="CG18" i="1"/>
  <c r="CF18" i="1"/>
  <c r="CE18" i="1"/>
  <c r="CD18" i="1"/>
  <c r="BY18" i="1"/>
  <c r="BX18" i="1"/>
  <c r="BW18" i="1"/>
  <c r="BV18" i="1"/>
  <c r="BU18" i="1"/>
  <c r="BT18" i="1"/>
  <c r="BS18" i="1"/>
  <c r="BR18" i="1"/>
  <c r="BM18" i="1"/>
  <c r="BL18" i="1"/>
  <c r="BK18" i="1"/>
  <c r="BJ18" i="1"/>
  <c r="BD18" i="1"/>
  <c r="BC18" i="1"/>
  <c r="BB18" i="1"/>
  <c r="BA18" i="1"/>
  <c r="AM18" i="1"/>
  <c r="AL18" i="1"/>
  <c r="AK18" i="1"/>
  <c r="AJ18" i="1"/>
  <c r="AD18" i="1"/>
  <c r="AC18" i="1"/>
  <c r="AB18" i="1"/>
  <c r="AA18" i="1"/>
  <c r="M18" i="1"/>
  <c r="L18" i="1"/>
  <c r="CN17" i="1"/>
  <c r="CK17" i="1"/>
  <c r="CJ17" i="1"/>
  <c r="CI17" i="1"/>
  <c r="CH17" i="1"/>
  <c r="CG17" i="1"/>
  <c r="CF17" i="1"/>
  <c r="CE17" i="1"/>
  <c r="CD17" i="1"/>
  <c r="BY17" i="1"/>
  <c r="BX17" i="1"/>
  <c r="BW17" i="1"/>
  <c r="BV17" i="1"/>
  <c r="BU17" i="1"/>
  <c r="BT17" i="1"/>
  <c r="BS17" i="1"/>
  <c r="BR17" i="1"/>
  <c r="BM17" i="1"/>
  <c r="BL17" i="1"/>
  <c r="BK17" i="1"/>
  <c r="BJ17" i="1"/>
  <c r="BD17" i="1"/>
  <c r="BC17" i="1"/>
  <c r="BB17" i="1"/>
  <c r="BA17" i="1"/>
  <c r="AM17" i="1"/>
  <c r="AL17" i="1"/>
  <c r="AK17" i="1"/>
  <c r="AJ17" i="1"/>
  <c r="AD17" i="1"/>
  <c r="AC17" i="1"/>
  <c r="AB17" i="1"/>
  <c r="AA17" i="1"/>
  <c r="M17" i="1"/>
  <c r="L17" i="1"/>
  <c r="CN16" i="1"/>
  <c r="CK16" i="1"/>
  <c r="CJ16" i="1"/>
  <c r="CI16" i="1"/>
  <c r="CH16" i="1"/>
  <c r="CG16" i="1"/>
  <c r="CF16" i="1"/>
  <c r="CE16" i="1"/>
  <c r="CD16" i="1"/>
  <c r="BY16" i="1"/>
  <c r="BX16" i="1"/>
  <c r="BW16" i="1"/>
  <c r="BV16" i="1"/>
  <c r="BU16" i="1"/>
  <c r="BT16" i="1"/>
  <c r="BS16" i="1"/>
  <c r="BR16" i="1"/>
  <c r="BM16" i="1"/>
  <c r="BL16" i="1"/>
  <c r="BK16" i="1"/>
  <c r="BJ16" i="1"/>
  <c r="BD16" i="1"/>
  <c r="BC16" i="1"/>
  <c r="BB16" i="1"/>
  <c r="BA16" i="1"/>
  <c r="AM16" i="1"/>
  <c r="AL16" i="1"/>
  <c r="AK16" i="1"/>
  <c r="AJ16" i="1"/>
  <c r="AD16" i="1"/>
  <c r="AC16" i="1"/>
  <c r="AB16" i="1"/>
  <c r="AA16" i="1"/>
  <c r="M16" i="1"/>
  <c r="L16" i="1"/>
  <c r="CN15" i="1"/>
  <c r="CK15" i="1"/>
  <c r="CJ15" i="1"/>
  <c r="CI15" i="1"/>
  <c r="CH15" i="1"/>
  <c r="CG15" i="1"/>
  <c r="CF15" i="1"/>
  <c r="CE15" i="1"/>
  <c r="CD15" i="1"/>
  <c r="BY15" i="1"/>
  <c r="BX15" i="1"/>
  <c r="BW15" i="1"/>
  <c r="BV15" i="1"/>
  <c r="BU15" i="1"/>
  <c r="BT15" i="1"/>
  <c r="BS15" i="1"/>
  <c r="BR15" i="1"/>
  <c r="BM15" i="1"/>
  <c r="BL15" i="1"/>
  <c r="BK15" i="1"/>
  <c r="BJ15" i="1"/>
  <c r="BD15" i="1"/>
  <c r="BC15" i="1"/>
  <c r="BB15" i="1"/>
  <c r="BA15" i="1"/>
  <c r="AM15" i="1"/>
  <c r="AL15" i="1"/>
  <c r="AK15" i="1"/>
  <c r="AJ15" i="1"/>
  <c r="AD15" i="1"/>
  <c r="AC15" i="1"/>
  <c r="AB15" i="1"/>
  <c r="AA15" i="1"/>
  <c r="M15" i="1"/>
  <c r="L15" i="1"/>
  <c r="CN14" i="1"/>
  <c r="CK14" i="1"/>
  <c r="CJ14" i="1"/>
  <c r="CI14" i="1"/>
  <c r="CH14" i="1"/>
  <c r="CG14" i="1"/>
  <c r="CF14" i="1"/>
  <c r="CE14" i="1"/>
  <c r="CD14" i="1"/>
  <c r="BY14" i="1"/>
  <c r="BX14" i="1"/>
  <c r="BW14" i="1"/>
  <c r="BV14" i="1"/>
  <c r="BU14" i="1"/>
  <c r="BT14" i="1"/>
  <c r="BS14" i="1"/>
  <c r="BR14" i="1"/>
  <c r="BM14" i="1"/>
  <c r="BL14" i="1"/>
  <c r="BK14" i="1"/>
  <c r="BJ14" i="1"/>
  <c r="BD14" i="1"/>
  <c r="BC14" i="1"/>
  <c r="BB14" i="1"/>
  <c r="BA14" i="1"/>
  <c r="AM14" i="1"/>
  <c r="AL14" i="1"/>
  <c r="AK14" i="1"/>
  <c r="AJ14" i="1"/>
  <c r="AD14" i="1"/>
  <c r="AC14" i="1"/>
  <c r="AB14" i="1"/>
  <c r="AA14" i="1"/>
  <c r="M14" i="1"/>
  <c r="L14" i="1"/>
  <c r="CN13" i="1"/>
  <c r="CK13" i="1"/>
  <c r="CJ13" i="1"/>
  <c r="CI13" i="1"/>
  <c r="CH13" i="1"/>
  <c r="CG13" i="1"/>
  <c r="CF13" i="1"/>
  <c r="CE13" i="1"/>
  <c r="CD13" i="1"/>
  <c r="BY13" i="1"/>
  <c r="BX13" i="1"/>
  <c r="BW13" i="1"/>
  <c r="BV13" i="1"/>
  <c r="BU13" i="1"/>
  <c r="BT13" i="1"/>
  <c r="BS13" i="1"/>
  <c r="BR13" i="1"/>
  <c r="BM13" i="1"/>
  <c r="BL13" i="1"/>
  <c r="BK13" i="1"/>
  <c r="BJ13" i="1"/>
  <c r="BD13" i="1"/>
  <c r="BC13" i="1"/>
  <c r="BB13" i="1"/>
  <c r="BA13" i="1"/>
  <c r="AM13" i="1"/>
  <c r="AL13" i="1"/>
  <c r="AK13" i="1"/>
  <c r="AJ13" i="1"/>
  <c r="AD13" i="1"/>
  <c r="AC13" i="1"/>
  <c r="AB13" i="1"/>
  <c r="AA13" i="1"/>
  <c r="M13" i="1"/>
  <c r="L13" i="1"/>
  <c r="CN12" i="1"/>
  <c r="CK12" i="1"/>
  <c r="CJ12" i="1"/>
  <c r="CI12" i="1"/>
  <c r="CH12" i="1"/>
  <c r="CG12" i="1"/>
  <c r="CF12" i="1"/>
  <c r="CE12" i="1"/>
  <c r="CD12" i="1"/>
  <c r="BY12" i="1"/>
  <c r="BX12" i="1"/>
  <c r="BW12" i="1"/>
  <c r="BV12" i="1"/>
  <c r="BU12" i="1"/>
  <c r="BT12" i="1"/>
  <c r="BS12" i="1"/>
  <c r="BR12" i="1"/>
  <c r="BM12" i="1"/>
  <c r="BL12" i="1"/>
  <c r="BK12" i="1"/>
  <c r="BJ12" i="1"/>
  <c r="BD12" i="1"/>
  <c r="BC12" i="1"/>
  <c r="BB12" i="1"/>
  <c r="BA12" i="1"/>
  <c r="AM12" i="1"/>
  <c r="AL12" i="1"/>
  <c r="AK12" i="1"/>
  <c r="AJ12" i="1"/>
  <c r="AD12" i="1"/>
  <c r="AC12" i="1"/>
  <c r="AB12" i="1"/>
  <c r="AA12" i="1"/>
  <c r="M12" i="1"/>
  <c r="L12" i="1"/>
  <c r="CN11" i="1"/>
  <c r="CK11" i="1"/>
  <c r="CJ11" i="1"/>
  <c r="CI11" i="1"/>
  <c r="CH11" i="1"/>
  <c r="CG11" i="1"/>
  <c r="CF11" i="1"/>
  <c r="CE11" i="1"/>
  <c r="CD11" i="1"/>
  <c r="BY11" i="1"/>
  <c r="BX11" i="1"/>
  <c r="BW11" i="1"/>
  <c r="BV11" i="1"/>
  <c r="BU11" i="1"/>
  <c r="BT11" i="1"/>
  <c r="BS11" i="1"/>
  <c r="BR11" i="1"/>
  <c r="BM11" i="1"/>
  <c r="BL11" i="1"/>
  <c r="BK11" i="1"/>
  <c r="BJ11" i="1"/>
  <c r="BD11" i="1"/>
  <c r="BC11" i="1"/>
  <c r="BB11" i="1"/>
  <c r="BA11" i="1"/>
  <c r="AM11" i="1"/>
  <c r="AL11" i="1"/>
  <c r="AK11" i="1"/>
  <c r="AJ11" i="1"/>
  <c r="AD11" i="1"/>
  <c r="AC11" i="1"/>
  <c r="AB11" i="1"/>
  <c r="AA11" i="1"/>
  <c r="M11" i="1"/>
  <c r="L11" i="1"/>
  <c r="CN10" i="1"/>
  <c r="CK10" i="1"/>
  <c r="CJ10" i="1"/>
  <c r="CI10" i="1"/>
  <c r="CH10" i="1"/>
  <c r="CG10" i="1"/>
  <c r="CF10" i="1"/>
  <c r="CE10" i="1"/>
  <c r="CD10" i="1"/>
  <c r="BY10" i="1"/>
  <c r="BX10" i="1"/>
  <c r="BW10" i="1"/>
  <c r="BV10" i="1"/>
  <c r="BU10" i="1"/>
  <c r="BT10" i="1"/>
  <c r="BS10" i="1"/>
  <c r="BR10" i="1"/>
  <c r="BM10" i="1"/>
  <c r="BL10" i="1"/>
  <c r="BK10" i="1"/>
  <c r="BJ10" i="1"/>
  <c r="BD10" i="1"/>
  <c r="BC10" i="1"/>
  <c r="BB10" i="1"/>
  <c r="BA10" i="1"/>
  <c r="AM10" i="1"/>
  <c r="AL10" i="1"/>
  <c r="AK10" i="1"/>
  <c r="AJ10" i="1"/>
  <c r="AD10" i="1"/>
  <c r="AC10" i="1"/>
  <c r="AB10" i="1"/>
  <c r="AA10" i="1"/>
  <c r="M10" i="1"/>
  <c r="L10" i="1"/>
  <c r="CN9" i="1"/>
  <c r="CK9" i="1"/>
  <c r="CJ9" i="1"/>
  <c r="CI9" i="1"/>
  <c r="CH9" i="1"/>
  <c r="CG9" i="1"/>
  <c r="CF9" i="1"/>
  <c r="CE9" i="1"/>
  <c r="CD9" i="1"/>
  <c r="BY9" i="1"/>
  <c r="BX9" i="1"/>
  <c r="BW9" i="1"/>
  <c r="BV9" i="1"/>
  <c r="BU9" i="1"/>
  <c r="BT9" i="1"/>
  <c r="BS9" i="1"/>
  <c r="BR9" i="1"/>
  <c r="BM9" i="1"/>
  <c r="BL9" i="1"/>
  <c r="BK9" i="1"/>
  <c r="BJ9" i="1"/>
  <c r="BD9" i="1"/>
  <c r="BC9" i="1"/>
  <c r="BB9" i="1"/>
  <c r="BA9" i="1"/>
  <c r="AM9" i="1"/>
  <c r="AL9" i="1"/>
  <c r="AK9" i="1"/>
  <c r="AJ9" i="1"/>
  <c r="AD9" i="1"/>
  <c r="AC9" i="1"/>
  <c r="AB9" i="1"/>
  <c r="AA9" i="1"/>
  <c r="M9" i="1"/>
  <c r="L9" i="1"/>
  <c r="CN8" i="1"/>
  <c r="CK8" i="1"/>
  <c r="CJ8" i="1"/>
  <c r="CI8" i="1"/>
  <c r="CH8" i="1"/>
  <c r="CG8" i="1"/>
  <c r="CF8" i="1"/>
  <c r="CE8" i="1"/>
  <c r="CD8" i="1"/>
  <c r="BY8" i="1"/>
  <c r="BX8" i="1"/>
  <c r="BW8" i="1"/>
  <c r="BV8" i="1"/>
  <c r="BU8" i="1"/>
  <c r="BT8" i="1"/>
  <c r="BS8" i="1"/>
  <c r="BR8" i="1"/>
  <c r="BM8" i="1"/>
  <c r="BL8" i="1"/>
  <c r="BK8" i="1"/>
  <c r="BJ8" i="1"/>
  <c r="BD8" i="1"/>
  <c r="BC8" i="1"/>
  <c r="BB8" i="1"/>
  <c r="BA8" i="1"/>
  <c r="AM8" i="1"/>
  <c r="AL8" i="1"/>
  <c r="AK8" i="1"/>
  <c r="AJ8" i="1"/>
  <c r="AD8" i="1"/>
  <c r="AC8" i="1"/>
  <c r="AB8" i="1"/>
  <c r="AA8" i="1"/>
  <c r="M8" i="1"/>
  <c r="L8" i="1"/>
  <c r="CN7" i="1"/>
  <c r="CK7" i="1"/>
  <c r="CJ7" i="1"/>
  <c r="CI7" i="1"/>
  <c r="CH7" i="1"/>
  <c r="CG7" i="1"/>
  <c r="CF7" i="1"/>
  <c r="CE7" i="1"/>
  <c r="CD7" i="1"/>
  <c r="BY7" i="1"/>
  <c r="BX7" i="1"/>
  <c r="BW7" i="1"/>
  <c r="BV7" i="1"/>
  <c r="BU7" i="1"/>
  <c r="BT7" i="1"/>
  <c r="BS7" i="1"/>
  <c r="BR7" i="1"/>
  <c r="BM7" i="1"/>
  <c r="BL7" i="1"/>
  <c r="BK7" i="1"/>
  <c r="BJ7" i="1"/>
  <c r="BD7" i="1"/>
  <c r="BC7" i="1"/>
  <c r="BB7" i="1"/>
  <c r="BA7" i="1"/>
  <c r="AM7" i="1"/>
  <c r="AL7" i="1"/>
  <c r="AK7" i="1"/>
  <c r="AJ7" i="1"/>
  <c r="AD7" i="1"/>
  <c r="AC7" i="1"/>
  <c r="AB7" i="1"/>
  <c r="AA7" i="1"/>
  <c r="M7" i="1"/>
  <c r="L7" i="1"/>
  <c r="CN6" i="1"/>
  <c r="CK6" i="1"/>
  <c r="CJ6" i="1"/>
  <c r="CI6" i="1"/>
  <c r="CH6" i="1"/>
  <c r="CG6" i="1"/>
  <c r="CF6" i="1"/>
  <c r="CE6" i="1"/>
  <c r="CD6" i="1"/>
  <c r="BY6" i="1"/>
  <c r="BX6" i="1"/>
  <c r="BW6" i="1"/>
  <c r="BV6" i="1"/>
  <c r="BU6" i="1"/>
  <c r="BT6" i="1"/>
  <c r="BS6" i="1"/>
  <c r="BR6" i="1"/>
  <c r="BM6" i="1"/>
  <c r="BL6" i="1"/>
  <c r="BK6" i="1"/>
  <c r="BJ6" i="1"/>
  <c r="BD6" i="1"/>
  <c r="BC6" i="1"/>
  <c r="BB6" i="1"/>
  <c r="BA6" i="1"/>
  <c r="AM6" i="1"/>
  <c r="AL6" i="1"/>
  <c r="AK6" i="1"/>
  <c r="AJ6" i="1"/>
  <c r="AD6" i="1"/>
  <c r="AC6" i="1"/>
  <c r="AB6" i="1"/>
  <c r="AA6" i="1"/>
  <c r="M6" i="1"/>
  <c r="L6" i="1"/>
  <c r="CN5" i="1"/>
  <c r="CK5" i="1"/>
  <c r="CJ5" i="1"/>
  <c r="CI5" i="1"/>
  <c r="CH5" i="1"/>
  <c r="CG5" i="1"/>
  <c r="CF5" i="1"/>
  <c r="CE5" i="1"/>
  <c r="CD5" i="1"/>
  <c r="BY5" i="1"/>
  <c r="BX5" i="1"/>
  <c r="BW5" i="1"/>
  <c r="BV5" i="1"/>
  <c r="BU5" i="1"/>
  <c r="BT5" i="1"/>
  <c r="BS5" i="1"/>
  <c r="BR5" i="1"/>
  <c r="BM5" i="1"/>
  <c r="BL5" i="1"/>
  <c r="BK5" i="1"/>
  <c r="BJ5" i="1"/>
  <c r="BD5" i="1"/>
  <c r="BC5" i="1"/>
  <c r="BB5" i="1"/>
  <c r="BA5" i="1"/>
  <c r="AM5" i="1"/>
  <c r="AL5" i="1"/>
  <c r="AK5" i="1"/>
  <c r="AJ5" i="1"/>
  <c r="AD5" i="1"/>
  <c r="AC5" i="1"/>
  <c r="AB5" i="1"/>
  <c r="AA5" i="1"/>
  <c r="M5" i="1"/>
  <c r="L5" i="1"/>
  <c r="CN4" i="1"/>
  <c r="CK4" i="1"/>
  <c r="CJ4" i="1"/>
  <c r="CI4" i="1"/>
  <c r="CH4" i="1"/>
  <c r="CG4" i="1"/>
  <c r="CF4" i="1"/>
  <c r="CE4" i="1"/>
  <c r="CD4" i="1"/>
  <c r="BY4" i="1"/>
  <c r="BX4" i="1"/>
  <c r="BW4" i="1"/>
  <c r="BV4" i="1"/>
  <c r="BU4" i="1"/>
  <c r="BT4" i="1"/>
  <c r="BS4" i="1"/>
  <c r="BR4" i="1"/>
  <c r="BM4" i="1"/>
  <c r="BL4" i="1"/>
  <c r="BK4" i="1"/>
  <c r="BJ4" i="1"/>
  <c r="BD4" i="1"/>
  <c r="BC4" i="1"/>
  <c r="BB4" i="1"/>
  <c r="BA4" i="1"/>
  <c r="AM4" i="1"/>
  <c r="AL4" i="1"/>
  <c r="AK4" i="1"/>
  <c r="AJ4" i="1"/>
  <c r="AD4" i="1"/>
  <c r="AC4" i="1"/>
  <c r="AB4" i="1"/>
  <c r="AA4" i="1"/>
  <c r="M4" i="1"/>
  <c r="L4" i="1"/>
  <c r="CN3" i="1"/>
  <c r="CK3" i="1"/>
  <c r="CJ3" i="1"/>
  <c r="CI3" i="1"/>
  <c r="CH3" i="1"/>
  <c r="CG3" i="1"/>
  <c r="CF3" i="1"/>
  <c r="CE3" i="1"/>
  <c r="CD3" i="1"/>
  <c r="BY3" i="1"/>
  <c r="BX3" i="1"/>
  <c r="BW3" i="1"/>
  <c r="BV3" i="1"/>
  <c r="BU3" i="1"/>
  <c r="BT3" i="1"/>
  <c r="BS3" i="1"/>
  <c r="BR3" i="1"/>
  <c r="BM3" i="1"/>
  <c r="BL3" i="1"/>
  <c r="BK3" i="1"/>
  <c r="BJ3" i="1"/>
  <c r="BD3" i="1"/>
  <c r="BC3" i="1"/>
  <c r="BB3" i="1"/>
  <c r="BA3" i="1"/>
  <c r="AM3" i="1"/>
  <c r="AL3" i="1"/>
  <c r="AK3" i="1"/>
  <c r="AJ3" i="1"/>
  <c r="AD3" i="1"/>
  <c r="AC3" i="1"/>
  <c r="AB3" i="1"/>
  <c r="AA3" i="1"/>
  <c r="M3" i="1"/>
  <c r="L3" i="1"/>
  <c r="CN2" i="1"/>
  <c r="CK2" i="1"/>
  <c r="CJ2" i="1"/>
  <c r="CI2" i="1"/>
  <c r="CH2" i="1"/>
  <c r="CG2" i="1"/>
  <c r="CF2" i="1"/>
  <c r="CE2" i="1"/>
  <c r="CD2" i="1"/>
  <c r="BY2" i="1"/>
  <c r="BX2" i="1"/>
  <c r="BW2" i="1"/>
  <c r="BV2" i="1"/>
  <c r="BU2" i="1"/>
  <c r="BT2" i="1"/>
  <c r="BS2" i="1"/>
  <c r="BR2" i="1"/>
  <c r="BM2" i="1"/>
  <c r="BL2" i="1"/>
  <c r="BK2" i="1"/>
  <c r="BJ2" i="1"/>
  <c r="BD2" i="1"/>
  <c r="BC2" i="1"/>
  <c r="BB2" i="1"/>
  <c r="BA2" i="1"/>
  <c r="AM2" i="1"/>
  <c r="AL2" i="1"/>
  <c r="AK2" i="1"/>
  <c r="AJ2" i="1"/>
  <c r="AD2" i="1"/>
  <c r="AC2" i="1"/>
  <c r="AB2" i="1"/>
  <c r="AA2" i="1"/>
  <c r="M2" i="1"/>
  <c r="L2" i="1"/>
</calcChain>
</file>

<file path=xl/sharedStrings.xml><?xml version="1.0" encoding="utf-8"?>
<sst xmlns="http://schemas.openxmlformats.org/spreadsheetml/2006/main" count="414" uniqueCount="256">
  <si>
    <t>BFI_Gallardo_Pujol</t>
  </si>
  <si>
    <t>multi</t>
  </si>
  <si>
    <t>Big_Five_Mezquita_Eng</t>
  </si>
  <si>
    <t>Big_Five_Mezquita_Sp</t>
  </si>
  <si>
    <t>BFI_Vermeiren1</t>
  </si>
  <si>
    <t>BFI_Vermeiren2</t>
  </si>
  <si>
    <t>BFI_Andrejevic</t>
  </si>
  <si>
    <t>HEXACO_Henry</t>
  </si>
  <si>
    <t>EI_AES_Anglim</t>
  </si>
  <si>
    <t>hier</t>
  </si>
  <si>
    <t>RIASEC_openpsychometrics</t>
  </si>
  <si>
    <t>STAI-T_Sundelin</t>
  </si>
  <si>
    <t>STAI-T_Werner</t>
  </si>
  <si>
    <t>QEWV_Ishii</t>
  </si>
  <si>
    <t>OCD_Ozcanli</t>
  </si>
  <si>
    <t>OCD_Gonzalez</t>
  </si>
  <si>
    <t>DASS-21_Hua-Chen</t>
  </si>
  <si>
    <t>DASS-21_Thiyagarajan</t>
  </si>
  <si>
    <t>TimePer_Bodecka</t>
  </si>
  <si>
    <t>Sense_Coherence_Zajenkowska</t>
  </si>
  <si>
    <t>STAI-T_Joshi</t>
  </si>
  <si>
    <t>Sense_Coherence_Lelek</t>
  </si>
  <si>
    <t>TimePer_Akirmak</t>
  </si>
  <si>
    <t>MoralF_Harper</t>
  </si>
  <si>
    <t>PANAS_Diaz_Garcia</t>
  </si>
  <si>
    <t>TimePer_Ceccato</t>
  </si>
  <si>
    <t>MoralF_Zakharin</t>
  </si>
  <si>
    <t>BISBAS_Rutten</t>
  </si>
  <si>
    <t>BISBAS_Dierickx</t>
  </si>
  <si>
    <t>BISBAS_Khaliq</t>
  </si>
  <si>
    <t>BISBAS_Molenda</t>
  </si>
  <si>
    <t>BISBAS_Jonker</t>
  </si>
  <si>
    <t>BISBAS_Binter</t>
  </si>
  <si>
    <t>PCL5_Ashbaugh_Eng</t>
  </si>
  <si>
    <t>PCL5_Ashbaugh_Fr</t>
  </si>
  <si>
    <t>PCL5_Orovou</t>
  </si>
  <si>
    <t>RST_PQ_Sözer</t>
  </si>
  <si>
    <t>RST-PQ_Satchell</t>
  </si>
  <si>
    <t>RST-PQ_Nuel</t>
  </si>
  <si>
    <t>Perfectionism_MacKinnon</t>
  </si>
  <si>
    <t>Perfectionism_Workye</t>
  </si>
  <si>
    <t>perfectionism_Linnett</t>
  </si>
  <si>
    <t>BDI_II_Smith</t>
  </si>
  <si>
    <t>uni</t>
  </si>
  <si>
    <t>BDI-II_Sandoval</t>
  </si>
  <si>
    <t>BDI-II_García-Batista</t>
  </si>
  <si>
    <t>BDI-II_Rabeya</t>
  </si>
  <si>
    <t>handedness_Dragan</t>
  </si>
  <si>
    <t>OCD_Ignatova</t>
  </si>
  <si>
    <t>TEIQue_Radeva</t>
  </si>
  <si>
    <t>TEIQue_Perez_Diaz</t>
  </si>
  <si>
    <t>TEIQue_Perazzo</t>
  </si>
  <si>
    <t>AES_Rua</t>
  </si>
  <si>
    <t>Perfectionism_Kaçar-Başaran</t>
  </si>
  <si>
    <t>Optimism_Coelho_UK</t>
  </si>
  <si>
    <t>Optimism_Coelho_BR</t>
  </si>
  <si>
    <t>TIPI_Coelho_UK</t>
  </si>
  <si>
    <t>TIPI_Coelho_BR</t>
  </si>
  <si>
    <t>Hope_Boutilier</t>
  </si>
  <si>
    <t>ICD11_Carnovale</t>
  </si>
  <si>
    <t>Pers_funct_Natoli</t>
  </si>
  <si>
    <t>persdis_SRP4_Knack</t>
  </si>
  <si>
    <t>persdis_LSRPS_Knack</t>
  </si>
  <si>
    <t>Machia_FFMI_Grabovac</t>
  </si>
  <si>
    <t>beliefs_Barnby</t>
  </si>
  <si>
    <t>SDI2_Jones</t>
  </si>
  <si>
    <t>IPIP_Silvia</t>
  </si>
  <si>
    <t>HEXACO_Gallagher</t>
  </si>
  <si>
    <t>BFAS_Zajenkowski</t>
  </si>
  <si>
    <t>IRI_Briganti</t>
  </si>
  <si>
    <t>IRI_Bainbridge</t>
  </si>
  <si>
    <t>IRI_Martingano</t>
  </si>
  <si>
    <t>IRI_Stosic</t>
  </si>
  <si>
    <t>Face_recog_Grabman</t>
  </si>
  <si>
    <t>Face_recog_Norkaer</t>
  </si>
  <si>
    <t>Face_recog_Kramer</t>
  </si>
  <si>
    <t>Face_recog_Estudillo1</t>
  </si>
  <si>
    <t>Face_recog_Estudillo2</t>
  </si>
  <si>
    <t>Face_recog_Dal_Lago</t>
  </si>
  <si>
    <t>FFMQ_Australia</t>
  </si>
  <si>
    <t>FFMQ_Austria</t>
  </si>
  <si>
    <t>FFMQ_Chile</t>
  </si>
  <si>
    <t>FFMQ_China</t>
  </si>
  <si>
    <t>FFMQ_Croatia</t>
  </si>
  <si>
    <t>FFMQ_Germany</t>
  </si>
  <si>
    <t>FFMQ_HongKong</t>
  </si>
  <si>
    <t>FFMQ_India</t>
  </si>
  <si>
    <t>FFMQ_NewZealand</t>
  </si>
  <si>
    <t>FFMQ_Norway</t>
  </si>
  <si>
    <t>FFMQ_Poland</t>
  </si>
  <si>
    <t>FFMQ_Portugal</t>
  </si>
  <si>
    <t>FFMQ_Spain</t>
  </si>
  <si>
    <t>FFMQ_Sweden</t>
  </si>
  <si>
    <t>FFMQ_US</t>
  </si>
  <si>
    <t>UPPS_Wuellhorst</t>
  </si>
  <si>
    <t>UPPS_Billieux</t>
  </si>
  <si>
    <t>UPPS_Eben</t>
  </si>
  <si>
    <t>UPPS_Steiner</t>
  </si>
  <si>
    <t>UPPS_Racine</t>
  </si>
  <si>
    <t>UPPS_Flayelle</t>
  </si>
  <si>
    <t>UPPS_Zsila</t>
  </si>
  <si>
    <t>BIS_Haines</t>
  </si>
  <si>
    <t>BIS_Finley</t>
  </si>
  <si>
    <t>BIS_Meule</t>
  </si>
  <si>
    <t>Covid_percstress_AR</t>
  </si>
  <si>
    <t>Covid_percstress_BG</t>
  </si>
  <si>
    <t>Covid_percstress_DE</t>
  </si>
  <si>
    <t>Covid_percstress_JA</t>
  </si>
  <si>
    <t>Covid_moral_CS</t>
  </si>
  <si>
    <t>Covid_moral_ES-CO</t>
  </si>
  <si>
    <t>Covid_moral_ET</t>
  </si>
  <si>
    <t>Covid_moral_PT</t>
  </si>
  <si>
    <t>Covid_emoregu_EN</t>
  </si>
  <si>
    <t>Covid_emoregu_ES-GU</t>
  </si>
  <si>
    <t>Covid_emoregu_RU</t>
  </si>
  <si>
    <t>Covid_compliance_ES-ES</t>
  </si>
  <si>
    <t>Covid_compliance_FI</t>
  </si>
  <si>
    <t>Covid_compliance_PT-BR</t>
  </si>
  <si>
    <t>Covid_compliance_SK</t>
  </si>
  <si>
    <t>Covid_trust_DA</t>
  </si>
  <si>
    <t>Covid_trust_ES-HN</t>
  </si>
  <si>
    <t>Covid_trust_SV</t>
  </si>
  <si>
    <t>Covid_trust_TR</t>
  </si>
  <si>
    <t>Covid_trust_ZH-T</t>
  </si>
  <si>
    <t>BSC_Paap1.1</t>
  </si>
  <si>
    <t>BSC_Paap1.4</t>
  </si>
  <si>
    <t>BSC_Paap1.5</t>
  </si>
  <si>
    <t>BSC_Paap2</t>
  </si>
  <si>
    <t>BSC_Sjastad1</t>
  </si>
  <si>
    <t>BSC_Sjastad2</t>
  </si>
  <si>
    <t>SDO_Roets1</t>
  </si>
  <si>
    <t>SDO_Roets2</t>
  </si>
  <si>
    <t>SDO_Perkins</t>
  </si>
  <si>
    <t>SDO_Simon1</t>
  </si>
  <si>
    <t>SDO_Simon3</t>
  </si>
  <si>
    <t>SDO_Fleeson1</t>
  </si>
  <si>
    <t>SDO_Fleeson2</t>
  </si>
  <si>
    <t>EI_Brienza</t>
  </si>
  <si>
    <t>EI_Robinson</t>
  </si>
  <si>
    <t>IAS_Murphy1</t>
  </si>
  <si>
    <t>IAS_Brand1</t>
  </si>
  <si>
    <t>IAS_Brand2</t>
  </si>
  <si>
    <t>IAS_Brand3</t>
  </si>
  <si>
    <t>IAS_Campos</t>
  </si>
  <si>
    <t>IAS_Todd</t>
  </si>
  <si>
    <t>IAS_Gaggero</t>
  </si>
  <si>
    <t>MAIA_Rogowska</t>
  </si>
  <si>
    <t>MAIA_Desmedt</t>
  </si>
  <si>
    <t>MAIA_Ferentzi</t>
  </si>
  <si>
    <t>MAIA_Reis</t>
  </si>
  <si>
    <t>MAIA_Randelovic</t>
  </si>
  <si>
    <t>Lonely_Lardone</t>
  </si>
  <si>
    <t>Lonely_Weinstein</t>
  </si>
  <si>
    <t>Lonely_Panayiotou</t>
  </si>
  <si>
    <t>Lonely_McDanal</t>
  </si>
  <si>
    <t>Compuls_Muela_gaming</t>
  </si>
  <si>
    <t>Compuls_Muela_gambling</t>
  </si>
  <si>
    <t>QoL_Rogers</t>
  </si>
  <si>
    <t>QoL_McConachie</t>
  </si>
  <si>
    <t>Dark_triad_Nielsen</t>
  </si>
  <si>
    <t>BIS_Demetrovics1</t>
  </si>
  <si>
    <t>AES_Demetrovics</t>
  </si>
  <si>
    <t>AES_Demetrovics2</t>
  </si>
  <si>
    <t>BIS_Demetrovics2</t>
  </si>
  <si>
    <t>Study</t>
  </si>
  <si>
    <t>N_participants</t>
  </si>
  <si>
    <t>N_items</t>
  </si>
  <si>
    <t>N_response_alternatives</t>
  </si>
  <si>
    <t>Number_of_factors_assumed</t>
  </si>
  <si>
    <t>Number_of_factors_in_CFA</t>
  </si>
  <si>
    <t>Type_of_scale</t>
  </si>
  <si>
    <t>Eigenvalue1_EFA_raw_(psych)</t>
  </si>
  <si>
    <t>Eigenvalue2_EFA_raw_(psych)</t>
  </si>
  <si>
    <t>Eigenvalue1_EFA_poly_(psych)</t>
  </si>
  <si>
    <t>Eigenvalue2_EFA_poly_(psych)</t>
  </si>
  <si>
    <t>Difference_eigenvalue1_eigenvalue2_raw_relative_to_sum_(psych)</t>
  </si>
  <si>
    <t>Difference_eigenvalue1_eigenvalue2_poly_relative_to_sum_(psych)</t>
  </si>
  <si>
    <t>Unifactor_model_%variance_explained_raw_(psych)</t>
  </si>
  <si>
    <t>Unifactor_model_TLI_raw_(psych)</t>
  </si>
  <si>
    <t>Unifactor_model_RMSEA_raw_(psych)</t>
  </si>
  <si>
    <t>Unifactor_model_SRMR_raw_(psych)</t>
  </si>
  <si>
    <t>Unifactor_model_%variance_explained_poly_(psych)</t>
  </si>
  <si>
    <t>Unifactor_model_TLI_poly_(psych)</t>
  </si>
  <si>
    <t>Unifactor_model_RMSEA_poly_(psych)</t>
  </si>
  <si>
    <t>Unifactor_model_SRMR_poly_(psych)</t>
  </si>
  <si>
    <t>EFA_model_%variance_explained_raw_(psych)</t>
  </si>
  <si>
    <t>EFA_model_TLI_raw_(psych)</t>
  </si>
  <si>
    <t>EFA_model_RMSEA_raw_(psych)</t>
  </si>
  <si>
    <t>EFA_model_SRMR_raw_(psych)</t>
  </si>
  <si>
    <t>Average_absolute_correlation_factors_in_model_with_correlated_factors_EFA_raw_(psych)</t>
  </si>
  <si>
    <t>%_change_EFA_model_vs._unifactorial_model_%variance_explained_raw_(psych)</t>
  </si>
  <si>
    <t>%_change_EFA_model_vs._unifactorial_model_TLI_raw_(psych)</t>
  </si>
  <si>
    <t>%_change_EFA_model_vs._unifactorial_model_RMSEA_raw_(psych)</t>
  </si>
  <si>
    <t>%_change_EFA_model_vs._unifactorial_model_SRMR_raw_(psych)</t>
  </si>
  <si>
    <t>EFA_model_%variance_explained_poly_(psych)</t>
  </si>
  <si>
    <t>EFA_model_TLI_poly_(psych)</t>
  </si>
  <si>
    <t>EFA_model_RMSEA_poly_(psych)</t>
  </si>
  <si>
    <t>EFA_model_SRMR_poly_(psych)</t>
  </si>
  <si>
    <t>Average_absolute_correlation_factors_in_model_with_correlated_factors_EFA_poly_(psych)</t>
  </si>
  <si>
    <t>%_change_EFA_model_vs._unifactorial_model_%variance_explained_poly_(psych)</t>
  </si>
  <si>
    <t>%_change_EFA_model_vs._unifactorial_model_TLI_poly_(psych)</t>
  </si>
  <si>
    <t>%_change_EFA_model_vs._unifactorial_model_RMSEA_poly_(psych)</t>
  </si>
  <si>
    <t>%_change_EFA_model_vs._unifactorial_model_SRMR_poly_(psych)</t>
  </si>
  <si>
    <t>Unifactor_model_ordered_%variance_explained_(lavaan)</t>
  </si>
  <si>
    <t>Unifactor_model_ordered_TLI_scaled_(lavaan)</t>
  </si>
  <si>
    <t>Unifactor_model_ordered_RMSEA_scaled_(lavaan)</t>
  </si>
  <si>
    <t>Unifactor_model_ordered_SRMR_(lavaan)</t>
  </si>
  <si>
    <t>Unifactor_model_MLR_%variance_explained_(lavaan)</t>
  </si>
  <si>
    <t>Unifactor_model_MLR_TLI_scaled_(lavaan)</t>
  </si>
  <si>
    <t>Unifactor_model_MLR_RMSEA_scaled_(lavaan)</t>
  </si>
  <si>
    <t>Unifactor_model_MLR_SRMR_(lavaan)</t>
  </si>
  <si>
    <t>EFA/CFA_model_ordered_%variance_explained_(lavaan)</t>
  </si>
  <si>
    <t>EFA/CFA_model_ordered_TLI_scaled_(lavaan)</t>
  </si>
  <si>
    <t>EFA/CFA_model_ordered_RMSEA_scaled_(lavaan)</t>
  </si>
  <si>
    <t>EFA/CFA_model_ordered_SRMR_(lavaan)</t>
  </si>
  <si>
    <t>Average_absolute_correlation_factors_in_ordered_model_with_correlated_factors_(lavaan)</t>
  </si>
  <si>
    <t>%_change_EFA_ordered_model_vs._unifactorial_model_%variance_explained_(lavaan)</t>
  </si>
  <si>
    <t>%_change_EFA_ordered_model_vs._unifactorial_model_TLI_scaled_(lavaan)</t>
  </si>
  <si>
    <t>%_change_EFA_ordered_model_vs._unifactorial_model_RMSEA_scaled_(lavaan)</t>
  </si>
  <si>
    <t>%_change_EFA_ordered_model_vs._unifactorial_model_SRMR_(lavaan)</t>
  </si>
  <si>
    <t>EFA/CFA_model_MLR_%variance_explained_(lavaan)</t>
  </si>
  <si>
    <t>EFA/CFA_model_MLR_TLI_scaled_(lavaan)</t>
  </si>
  <si>
    <t>EFA/CFA_model_MLR_RMSEA_scaled_(lavaan)</t>
  </si>
  <si>
    <t>EFA/CFA_model_MLR_SRMR_(lavaan)</t>
  </si>
  <si>
    <t>Average_absolute_correlation_factors_in_MLR_model_with_correlated_factors_(lavaan)</t>
  </si>
  <si>
    <t>%_change_EFA_LMR_model_vs._unifactorial_model_%variance_explained_(lavaan)</t>
  </si>
  <si>
    <t>%_change_EFA_LMR_model_vs._unifactorial_model_TLI_scaled_(lavaan)</t>
  </si>
  <si>
    <t>%_change_EFA_LMR_model_vs._unifactorial_model_RMSEA_scaled_(lavaan)</t>
  </si>
  <si>
    <t>%_change_EFA_LMR_model_vs._unifactorial_model_SRMR_(lavaan)</t>
  </si>
  <si>
    <t>CFA_MLR_independent_factors_%variance_explained_(lavaan)</t>
  </si>
  <si>
    <t>CFA_MLR_independent_factors_scaled_TLI_(lavaan)</t>
  </si>
  <si>
    <t>CFA_MLR_independent_factors_scaled_RMSEA_(lavaan)</t>
  </si>
  <si>
    <t>CFA_MLR_independent_factors_scaled_SRMR_(lavaan)</t>
  </si>
  <si>
    <t>Independent_vs_Uni_MLR_%variance_MLR_(Lavaan)</t>
  </si>
  <si>
    <t>Independent_vs_Uni_MLR_TLI_scaled_(Lavaan)</t>
  </si>
  <si>
    <t>Independent_vs_Uni_MLR_scaled_RMSEA_(Lavaan)</t>
  </si>
  <si>
    <t>Independent_vs_Uni_MLR_scaled_SRMR_(Lavaan)</t>
  </si>
  <si>
    <t>Independent_vs_EFA_MLR_%variance_(Lavaan)</t>
  </si>
  <si>
    <t>Independent_vs_EFA_MLR_TLI_scaled_(Lavaan)</t>
  </si>
  <si>
    <t>Independent_vs_EFA_MLR_scaled_RMSEA_(Lavaan)</t>
  </si>
  <si>
    <t>Independent_vs_EFA_MLR_scaled_SRMR_(Lavaan)</t>
  </si>
  <si>
    <t>CFA_bifactor_MLR_%variance_explained_(lavaan)</t>
  </si>
  <si>
    <t>CFA_bifactor_MLR_scaled_TLI_(lavaan)</t>
  </si>
  <si>
    <t>CFA_bifactor_MLR_scaled_RMSEA_(lavaan)</t>
  </si>
  <si>
    <t>CFA_bifactor_MLR_scaled_SRMR_(lavaan)</t>
  </si>
  <si>
    <t>Bifactor_vs_Uni_MLR_%variance_(Lavaan)</t>
  </si>
  <si>
    <t>Bifactor_vs_Uni_MLR_TLI_scaled_(Lavaan)</t>
  </si>
  <si>
    <t>Bifactor_vs_Uni_MLR_scaled_RMSEA_(Lavaan)</t>
  </si>
  <si>
    <t>Bifactor_vs_Uni_MLR_scaled_SRMR_(Lavaan)</t>
  </si>
  <si>
    <t>Bifactor_vs_CFA_MLR_%variance_(Lavaan)</t>
  </si>
  <si>
    <t>Bifactor_vs_CFA_MLR_TLI_scaled_(Lavaan)</t>
  </si>
  <si>
    <t>Bifactor_vs_CFA_MLR_scaled_RMSEA_(Lavaan)</t>
  </si>
  <si>
    <t>Bifactor_vs_CFA_MLR_scaled_SRMR_(Lavaan)</t>
  </si>
  <si>
    <t>Bifactor_MLR_indices_ECV_general</t>
  </si>
  <si>
    <t>Bifactor_MLR_indices_average_ECV_ss_specific_factors</t>
  </si>
  <si>
    <t>ECV_general_over_ECV_specific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</si>
</sst>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0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 applyFont="1" applyAlignment="1">
      <alignment horizontal="left"/>
    </xf>
    <xf numFmtId="1" fontId="0" fillId="0" borderId="0" xfId="0" applyNumberFormat="1" applyFont="1"/>
    <xf numFmtId="1" fontId="0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62"/>
  <sheetViews>
    <sheetView tabSelected="1" workbookViewId="0">
      <selection sqref="A1:XFD1"/>
    </sheetView>
  </sheetViews>
  <sheetFormatPr defaultRowHeight="14.4" x14ac:dyDescent="0.3"/>
  <cols>
    <col min="1" max="1" width="29.5546875" customWidth="1"/>
  </cols>
  <sheetData>
    <row r="1" spans="1:92" x14ac:dyDescent="0.3">
      <c r="A1" s="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s="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202</v>
      </c>
      <c r="AN1" t="s">
        <v>203</v>
      </c>
      <c r="AO1" t="s">
        <v>204</v>
      </c>
      <c r="AP1" t="s">
        <v>205</v>
      </c>
      <c r="AQ1" t="s">
        <v>206</v>
      </c>
      <c r="AR1" t="s">
        <v>207</v>
      </c>
      <c r="AS1" t="s">
        <v>208</v>
      </c>
      <c r="AT1" t="s">
        <v>209</v>
      </c>
      <c r="AU1" t="s">
        <v>210</v>
      </c>
      <c r="AV1" t="s">
        <v>211</v>
      </c>
      <c r="AW1" t="s">
        <v>212</v>
      </c>
      <c r="AX1" t="s">
        <v>213</v>
      </c>
      <c r="AY1" t="s">
        <v>214</v>
      </c>
      <c r="AZ1" t="s">
        <v>215</v>
      </c>
      <c r="BA1" t="s">
        <v>216</v>
      </c>
      <c r="BB1" t="s">
        <v>217</v>
      </c>
      <c r="BC1" t="s">
        <v>218</v>
      </c>
      <c r="BD1" t="s">
        <v>219</v>
      </c>
      <c r="BE1" t="s">
        <v>220</v>
      </c>
      <c r="BF1" t="s">
        <v>221</v>
      </c>
      <c r="BG1" t="s">
        <v>222</v>
      </c>
      <c r="BH1" t="s">
        <v>223</v>
      </c>
      <c r="BI1" t="s">
        <v>224</v>
      </c>
      <c r="BJ1" t="s">
        <v>225</v>
      </c>
      <c r="BK1" t="s">
        <v>226</v>
      </c>
      <c r="BL1" t="s">
        <v>227</v>
      </c>
      <c r="BM1" t="s">
        <v>228</v>
      </c>
      <c r="BN1" t="s">
        <v>229</v>
      </c>
      <c r="BO1" t="s">
        <v>230</v>
      </c>
      <c r="BP1" t="s">
        <v>231</v>
      </c>
      <c r="BQ1" t="s">
        <v>232</v>
      </c>
      <c r="BR1" t="s">
        <v>233</v>
      </c>
      <c r="BS1" t="s">
        <v>234</v>
      </c>
      <c r="BT1" t="s">
        <v>235</v>
      </c>
      <c r="BU1" t="s">
        <v>236</v>
      </c>
      <c r="BV1" t="s">
        <v>237</v>
      </c>
      <c r="BW1" t="s">
        <v>238</v>
      </c>
      <c r="BX1" t="s">
        <v>239</v>
      </c>
      <c r="BY1" t="s">
        <v>240</v>
      </c>
      <c r="BZ1" t="s">
        <v>241</v>
      </c>
      <c r="CA1" t="s">
        <v>242</v>
      </c>
      <c r="CB1" t="s">
        <v>243</v>
      </c>
      <c r="CC1" t="s">
        <v>244</v>
      </c>
      <c r="CD1" t="s">
        <v>245</v>
      </c>
      <c r="CE1" t="s">
        <v>246</v>
      </c>
      <c r="CF1" t="s">
        <v>247</v>
      </c>
      <c r="CG1" t="s">
        <v>248</v>
      </c>
      <c r="CH1" t="s">
        <v>249</v>
      </c>
      <c r="CI1" t="s">
        <v>250</v>
      </c>
      <c r="CJ1" t="s">
        <v>251</v>
      </c>
      <c r="CK1" t="s">
        <v>252</v>
      </c>
      <c r="CL1" t="s">
        <v>253</v>
      </c>
      <c r="CM1" t="s">
        <v>254</v>
      </c>
      <c r="CN1" t="s">
        <v>255</v>
      </c>
    </row>
    <row r="2" spans="1:92" x14ac:dyDescent="0.3">
      <c r="A2" s="2" t="s">
        <v>0</v>
      </c>
      <c r="B2">
        <v>1146</v>
      </c>
      <c r="C2">
        <v>60</v>
      </c>
      <c r="D2">
        <v>5</v>
      </c>
      <c r="E2">
        <v>5</v>
      </c>
      <c r="F2">
        <v>5</v>
      </c>
      <c r="G2" s="3" t="s">
        <v>1</v>
      </c>
      <c r="H2" s="4">
        <v>7.64</v>
      </c>
      <c r="I2" s="4">
        <v>4.43</v>
      </c>
      <c r="J2" s="4">
        <v>8.94</v>
      </c>
      <c r="K2" s="4">
        <v>5.31</v>
      </c>
      <c r="L2" s="4">
        <f>(H2-I2)/(H2+I2)</f>
        <v>0.26594863297431648</v>
      </c>
      <c r="M2" s="4">
        <f>(J2-K2)/(J2+K2)</f>
        <v>0.25473684210526315</v>
      </c>
      <c r="N2" s="4">
        <v>0.13</v>
      </c>
      <c r="O2" s="4">
        <v>0.23799999999999999</v>
      </c>
      <c r="P2" s="4">
        <v>9.9000000000000005E-2</v>
      </c>
      <c r="Q2" s="4">
        <v>0.13</v>
      </c>
      <c r="R2" s="4">
        <v>0.15</v>
      </c>
      <c r="S2" s="4">
        <v>0.20100000000000001</v>
      </c>
      <c r="T2" s="4">
        <v>0.121</v>
      </c>
      <c r="U2" s="4">
        <v>0.15</v>
      </c>
      <c r="V2" s="4">
        <v>0.37</v>
      </c>
      <c r="W2" s="4">
        <v>0.75700000000000001</v>
      </c>
      <c r="X2" s="4">
        <v>5.6000000000000001E-2</v>
      </c>
      <c r="Y2" s="4">
        <v>0.04</v>
      </c>
      <c r="Z2" s="4">
        <v>0.105</v>
      </c>
      <c r="AA2" s="5">
        <f>(V2-N2)/N2</f>
        <v>1.846153846153846</v>
      </c>
      <c r="AB2" s="5">
        <f>(W2-O2)/O2</f>
        <v>2.1806722689075633</v>
      </c>
      <c r="AC2" s="5">
        <f>(X2-P2)/P2</f>
        <v>-0.43434343434343436</v>
      </c>
      <c r="AD2" s="5">
        <f>(Y2-Q2)/Q2</f>
        <v>-0.69230769230769229</v>
      </c>
      <c r="AE2" s="4">
        <v>0.44</v>
      </c>
      <c r="AF2" s="4">
        <v>0.68</v>
      </c>
      <c r="AG2" s="4">
        <v>7.5999999999999998E-2</v>
      </c>
      <c r="AH2" s="4">
        <v>0.05</v>
      </c>
      <c r="AI2" s="4">
        <v>0.112</v>
      </c>
      <c r="AJ2" s="5">
        <f>(AE2-R2)/R2</f>
        <v>1.9333333333333336</v>
      </c>
      <c r="AK2" s="5">
        <f>(AF2-S2)/S2</f>
        <v>2.383084577114428</v>
      </c>
      <c r="AL2" s="5">
        <f>(AG2-T2)/T2</f>
        <v>-0.37190082644628097</v>
      </c>
      <c r="AM2" s="5">
        <f>(AH2-U2)/U2</f>
        <v>-0.66666666666666663</v>
      </c>
      <c r="AN2" s="4">
        <v>0.154</v>
      </c>
      <c r="AO2" s="4">
        <v>0.28699999999999998</v>
      </c>
      <c r="AP2" s="4">
        <v>0.124</v>
      </c>
      <c r="AQ2" s="4">
        <v>0.156</v>
      </c>
      <c r="AR2" s="4">
        <v>0.105</v>
      </c>
      <c r="AS2" s="4">
        <v>0.22800000000000001</v>
      </c>
      <c r="AT2" s="4">
        <v>9.5000000000000001E-2</v>
      </c>
      <c r="AU2" s="4">
        <v>0.126</v>
      </c>
      <c r="AV2" s="4">
        <v>0.4</v>
      </c>
      <c r="AW2" s="4">
        <v>0.72699999999999998</v>
      </c>
      <c r="AX2" s="4">
        <v>7.6999999999999999E-2</v>
      </c>
      <c r="AY2" s="4">
        <v>0.10199999999999999</v>
      </c>
      <c r="AZ2" s="4">
        <v>0.23300000000000001</v>
      </c>
      <c r="BA2" s="6">
        <f>(AV2-AN2)/AN2</f>
        <v>1.5974025974025976</v>
      </c>
      <c r="BB2" s="6">
        <f>(AW2-AO2)/AO2</f>
        <v>1.5331010452961673</v>
      </c>
      <c r="BC2" s="6">
        <f>(AX2-AP2)/AP2</f>
        <v>-0.37903225806451613</v>
      </c>
      <c r="BD2" s="6">
        <f>(AY2-AQ2)/AQ2</f>
        <v>-0.3461538461538462</v>
      </c>
      <c r="BE2" s="4">
        <v>0.30599999999999999</v>
      </c>
      <c r="BF2" s="4">
        <v>0.64200000000000002</v>
      </c>
      <c r="BG2" s="4">
        <v>6.5000000000000002E-2</v>
      </c>
      <c r="BH2" s="4">
        <v>8.8999999999999996E-2</v>
      </c>
      <c r="BI2" s="4">
        <v>0.19400000000000001</v>
      </c>
      <c r="BJ2" s="5">
        <f>(BE2-AN2)/AN2</f>
        <v>0.98701298701298701</v>
      </c>
      <c r="BK2" s="5">
        <f>(BF2-AO2)/AO2</f>
        <v>1.2369337979094079</v>
      </c>
      <c r="BL2" s="5">
        <f>(BG2-AP2)/AP2</f>
        <v>-0.47580645161290319</v>
      </c>
      <c r="BM2" s="5">
        <f>(BH2-AQ2)/AQ2</f>
        <v>-0.42948717948717952</v>
      </c>
      <c r="BN2" s="4">
        <v>0.30099999999999999</v>
      </c>
      <c r="BO2" s="4">
        <v>0.63100000000000001</v>
      </c>
      <c r="BP2" s="4">
        <v>6.6000000000000003E-2</v>
      </c>
      <c r="BQ2" s="4">
        <v>0.111</v>
      </c>
      <c r="BR2" s="5">
        <f>(BN2-AR2)/AR2</f>
        <v>1.8666666666666669</v>
      </c>
      <c r="BS2" s="5">
        <f>(BO2-AS2)/AS2</f>
        <v>1.7675438596491229</v>
      </c>
      <c r="BT2" s="5">
        <f>(BP2-AT2)/AT2</f>
        <v>-0.30526315789473679</v>
      </c>
      <c r="BU2" s="5">
        <f>(BQ2-AU2)/AU2</f>
        <v>-0.11904761904761904</v>
      </c>
      <c r="BV2" s="4">
        <f>(BN2-BE2)/BE2</f>
        <v>-1.6339869281045766E-2</v>
      </c>
      <c r="BW2" s="4">
        <f>(BO2-BF2)/BF2</f>
        <v>-1.7133956386292851E-2</v>
      </c>
      <c r="BX2" s="4">
        <f>(BP2-BG2)/BG2</f>
        <v>1.5384615384615398E-2</v>
      </c>
      <c r="BY2" s="4">
        <f>(BQ2-BH2)/BH2</f>
        <v>0.24719101123595513</v>
      </c>
      <c r="BZ2" s="6">
        <v>0.32900000000000001</v>
      </c>
      <c r="CA2" s="6">
        <v>0.70799999999999996</v>
      </c>
      <c r="CB2" s="6">
        <v>5.8000000000000003E-2</v>
      </c>
      <c r="CC2" s="6">
        <v>7.5999999999999998E-2</v>
      </c>
      <c r="CD2" s="4">
        <f>(BZ2-AR2)/AR2</f>
        <v>2.1333333333333337</v>
      </c>
      <c r="CE2" s="4">
        <f>(CA2-AS2)/AS2</f>
        <v>2.1052631578947367</v>
      </c>
      <c r="CF2" s="4">
        <f>(CB2-AT2)/AT2</f>
        <v>-0.38947368421052631</v>
      </c>
      <c r="CG2" s="4">
        <f>(CC2-AU2)/AU2</f>
        <v>-0.39682539682539686</v>
      </c>
      <c r="CH2" s="4">
        <f>(BZ2-BN2)/BN2</f>
        <v>9.302325581395357E-2</v>
      </c>
      <c r="CI2" s="4">
        <f>(CA2-BO2)/BO2</f>
        <v>0.12202852614896982</v>
      </c>
      <c r="CJ2" s="4">
        <f>(CB2-BP2)/BP2</f>
        <v>-0.12121212121212122</v>
      </c>
      <c r="CK2" s="4">
        <f>(CC2-BQ2)/BQ2</f>
        <v>-0.31531531531531531</v>
      </c>
      <c r="CL2" s="4">
        <v>0.28199999999999997</v>
      </c>
      <c r="CM2" s="4">
        <v>0.72599999999999998</v>
      </c>
      <c r="CN2" s="4">
        <f>CL2/CM2</f>
        <v>0.38842975206611569</v>
      </c>
    </row>
    <row r="3" spans="1:92" x14ac:dyDescent="0.3">
      <c r="A3" s="2" t="s">
        <v>2</v>
      </c>
      <c r="B3">
        <v>1027</v>
      </c>
      <c r="C3">
        <v>50</v>
      </c>
      <c r="D3">
        <v>5</v>
      </c>
      <c r="E3">
        <v>5</v>
      </c>
      <c r="F3">
        <v>5</v>
      </c>
      <c r="G3" s="3" t="s">
        <v>1</v>
      </c>
      <c r="H3" s="4">
        <v>8.86</v>
      </c>
      <c r="I3" s="4">
        <v>4.92</v>
      </c>
      <c r="J3" s="4">
        <v>10.42</v>
      </c>
      <c r="K3" s="4">
        <v>5.56</v>
      </c>
      <c r="L3" s="4">
        <f>(H3-I3)/(H3+I3)</f>
        <v>0.28592162554426703</v>
      </c>
      <c r="M3" s="4">
        <f>(J3-K3)/(J3+K3)</f>
        <v>0.30413016270337923</v>
      </c>
      <c r="N3" s="4">
        <v>0.18</v>
      </c>
      <c r="O3" s="4">
        <v>0.314</v>
      </c>
      <c r="P3" s="4">
        <v>0.113</v>
      </c>
      <c r="Q3" s="4">
        <v>0.14000000000000001</v>
      </c>
      <c r="R3" s="4">
        <v>0.21</v>
      </c>
      <c r="S3" s="4">
        <v>0.28799999999999998</v>
      </c>
      <c r="T3" s="4">
        <v>0.13400000000000001</v>
      </c>
      <c r="U3" s="4">
        <v>0.16</v>
      </c>
      <c r="V3" s="4">
        <v>0.44</v>
      </c>
      <c r="W3" s="4">
        <v>0.80200000000000005</v>
      </c>
      <c r="X3" s="4">
        <v>0.06</v>
      </c>
      <c r="Y3" s="4">
        <v>0.04</v>
      </c>
      <c r="Z3" s="4">
        <v>0.156</v>
      </c>
      <c r="AA3" s="5">
        <f>(V3-N3)/N3</f>
        <v>1.4444444444444446</v>
      </c>
      <c r="AB3" s="5">
        <f>(W3-O3)/O3</f>
        <v>1.5541401273885351</v>
      </c>
      <c r="AC3" s="5">
        <f>(X3-P3)/P3</f>
        <v>-0.46902654867256638</v>
      </c>
      <c r="AD3" s="5">
        <f>(Y3-Q3)/Q3</f>
        <v>-0.7142857142857143</v>
      </c>
      <c r="AE3" s="4">
        <v>0.5</v>
      </c>
      <c r="AF3" s="4">
        <v>0.74</v>
      </c>
      <c r="AG3" s="4">
        <v>8.1000000000000003E-2</v>
      </c>
      <c r="AH3" s="4">
        <v>0.05</v>
      </c>
      <c r="AI3" s="4">
        <v>0.158</v>
      </c>
      <c r="AJ3" s="5">
        <f>(AE3-R3)/R3</f>
        <v>1.3809523809523812</v>
      </c>
      <c r="AK3" s="5">
        <f>(AF3-S3)/S3</f>
        <v>1.5694444444444446</v>
      </c>
      <c r="AL3" s="5">
        <f>(AG3-T3)/T3</f>
        <v>-0.39552238805970152</v>
      </c>
      <c r="AM3" s="5">
        <f>(AH3-U3)/U3</f>
        <v>-0.6875</v>
      </c>
      <c r="AN3" s="4">
        <v>0.23799999999999999</v>
      </c>
      <c r="AO3" s="4">
        <v>0.41899999999999998</v>
      </c>
      <c r="AP3" s="4">
        <v>0.126</v>
      </c>
      <c r="AQ3" s="4">
        <v>0.16700000000000001</v>
      </c>
      <c r="AR3" s="4">
        <v>0.14899999999999999</v>
      </c>
      <c r="AS3" s="4">
        <v>0.3</v>
      </c>
      <c r="AT3" s="4">
        <v>0.105</v>
      </c>
      <c r="AU3" s="4">
        <v>0.13800000000000001</v>
      </c>
      <c r="AV3" s="4">
        <v>0.44400000000000001</v>
      </c>
      <c r="AW3" s="4">
        <v>0.64100000000000001</v>
      </c>
      <c r="AX3" s="4">
        <v>9.9000000000000005E-2</v>
      </c>
      <c r="AY3" s="4">
        <v>0.14000000000000001</v>
      </c>
      <c r="AZ3" s="4">
        <v>0.42699999999999999</v>
      </c>
      <c r="BA3" s="6">
        <f>(AV3-AN3)/AN3</f>
        <v>0.8655462184873951</v>
      </c>
      <c r="BB3" s="6">
        <f>(AW3-AO3)/AO3</f>
        <v>0.52983293556085931</v>
      </c>
      <c r="BC3" s="6">
        <f>(AX3-AP3)/AP3</f>
        <v>-0.21428571428571425</v>
      </c>
      <c r="BD3" s="6">
        <f>(AY3-AQ3)/AQ3</f>
        <v>-0.1616766467065868</v>
      </c>
      <c r="BE3" s="4">
        <v>0.32600000000000001</v>
      </c>
      <c r="BF3" s="4">
        <v>0.54100000000000004</v>
      </c>
      <c r="BG3" s="4">
        <v>8.5000000000000006E-2</v>
      </c>
      <c r="BH3" s="4">
        <v>0.129</v>
      </c>
      <c r="BI3" s="4">
        <v>0.34300000000000003</v>
      </c>
      <c r="BJ3" s="5">
        <f>(BE3-AN3)/AN3</f>
        <v>0.369747899159664</v>
      </c>
      <c r="BK3" s="5">
        <f>(BF3-AO3)/AO3</f>
        <v>0.29116945107398584</v>
      </c>
      <c r="BL3" s="5">
        <f>(BG3-AP3)/AP3</f>
        <v>-0.32539682539682535</v>
      </c>
      <c r="BM3" s="5">
        <f>(BH3-AQ3)/AQ3</f>
        <v>-0.22754491017964074</v>
      </c>
      <c r="BN3" s="4">
        <v>0.307</v>
      </c>
      <c r="BO3" s="4">
        <v>0.50700000000000001</v>
      </c>
      <c r="BP3" s="4">
        <v>8.7999999999999995E-2</v>
      </c>
      <c r="BQ3" s="4">
        <v>0.17100000000000001</v>
      </c>
      <c r="BR3" s="5">
        <f>(BN3-AR3)/AR3</f>
        <v>1.0604026845637584</v>
      </c>
      <c r="BS3" s="5">
        <f>(BO3-AS3)/AS3</f>
        <v>0.69000000000000006</v>
      </c>
      <c r="BT3" s="5">
        <f>(BP3-AT3)/AT3</f>
        <v>-0.16190476190476191</v>
      </c>
      <c r="BU3" s="5">
        <f>(BQ3-AU3)/AU3</f>
        <v>0.23913043478260868</v>
      </c>
      <c r="BV3" s="4">
        <f>(BN3-BE3)/BE3</f>
        <v>-5.8282208588957107E-2</v>
      </c>
      <c r="BW3" s="4">
        <f>(BO3-BF3)/BF3</f>
        <v>-6.284658040665439E-2</v>
      </c>
      <c r="BX3" s="4">
        <f>(BP3-BG3)/BG3</f>
        <v>3.5294117647058691E-2</v>
      </c>
      <c r="BY3" s="4">
        <f>(BQ3-BH3)/BH3</f>
        <v>0.32558139534883729</v>
      </c>
      <c r="BZ3" s="6">
        <v>0.41899999999999998</v>
      </c>
      <c r="CA3" s="6">
        <v>0.753</v>
      </c>
      <c r="CB3" s="6">
        <v>6.2E-2</v>
      </c>
      <c r="CC3" s="6">
        <v>0.10299999999999999</v>
      </c>
      <c r="CD3" s="4">
        <f>(BZ3-AR3)/AR3</f>
        <v>1.8120805369127519</v>
      </c>
      <c r="CE3" s="4">
        <f>(CA3-AS3)/AS3</f>
        <v>1.51</v>
      </c>
      <c r="CF3" s="4">
        <f>(CB3-AT3)/AT3</f>
        <v>-0.40952380952380951</v>
      </c>
      <c r="CG3" s="4">
        <f>(CC3-AU3)/AU3</f>
        <v>-0.25362318840579723</v>
      </c>
      <c r="CH3" s="4">
        <f>(BZ3-BN3)/BN3</f>
        <v>0.36482084690553745</v>
      </c>
      <c r="CI3" s="4">
        <f>(CA3-BO3)/BO3</f>
        <v>0.48520710059171596</v>
      </c>
      <c r="CJ3" s="4">
        <f>(CB3-BP3)/BP3</f>
        <v>-0.29545454545454541</v>
      </c>
      <c r="CK3" s="4">
        <f>(CC3-BQ3)/BQ3</f>
        <v>-0.39766081871345038</v>
      </c>
      <c r="CL3" s="4">
        <v>0.33800000000000002</v>
      </c>
      <c r="CM3" s="4">
        <v>0.65700000000000003</v>
      </c>
      <c r="CN3" s="4">
        <f>CL3/CM3</f>
        <v>0.51445966514459662</v>
      </c>
    </row>
    <row r="4" spans="1:92" x14ac:dyDescent="0.3">
      <c r="A4" s="2" t="s">
        <v>3</v>
      </c>
      <c r="B4">
        <v>1041</v>
      </c>
      <c r="C4">
        <v>50</v>
      </c>
      <c r="D4">
        <v>5</v>
      </c>
      <c r="E4">
        <v>5</v>
      </c>
      <c r="F4">
        <v>5</v>
      </c>
      <c r="G4" s="3" t="s">
        <v>1</v>
      </c>
      <c r="H4" s="4">
        <v>7.9</v>
      </c>
      <c r="I4" s="4">
        <v>3.86</v>
      </c>
      <c r="J4" s="4">
        <v>8.26</v>
      </c>
      <c r="K4" s="4">
        <v>4.46</v>
      </c>
      <c r="L4" s="4">
        <f>(H4-I4)/(H4+I4)</f>
        <v>0.3435374149659865</v>
      </c>
      <c r="M4" s="4">
        <f>(J4-K4)/(J4+K4)</f>
        <v>0.29874213836477986</v>
      </c>
      <c r="N4" s="4">
        <v>0.16</v>
      </c>
      <c r="O4" s="4">
        <v>0.28499999999999998</v>
      </c>
      <c r="P4" s="4">
        <v>0.108</v>
      </c>
      <c r="Q4" s="4">
        <v>0.13</v>
      </c>
      <c r="R4" s="4">
        <v>0.19</v>
      </c>
      <c r="S4" s="4">
        <v>0.25700000000000001</v>
      </c>
      <c r="T4" s="4">
        <v>0.129</v>
      </c>
      <c r="U4" s="4">
        <v>0.14000000000000001</v>
      </c>
      <c r="V4" s="4">
        <v>0.4</v>
      </c>
      <c r="W4" s="4">
        <v>0.75700000000000001</v>
      </c>
      <c r="X4" s="4">
        <v>6.3E-2</v>
      </c>
      <c r="Y4" s="4">
        <v>0.04</v>
      </c>
      <c r="Z4" s="4">
        <v>0.14899999999999999</v>
      </c>
      <c r="AA4" s="5">
        <f>(V4-N4)/N4</f>
        <v>1.5</v>
      </c>
      <c r="AB4" s="5">
        <f>(W4-O4)/O4</f>
        <v>1.6561403508771932</v>
      </c>
      <c r="AC4" s="5">
        <f>(X4-P4)/P4</f>
        <v>-0.41666666666666663</v>
      </c>
      <c r="AD4" s="5">
        <f>(Y4-Q4)/Q4</f>
        <v>-0.69230769230769229</v>
      </c>
      <c r="AE4" s="4">
        <v>0.46</v>
      </c>
      <c r="AF4" s="4">
        <v>0.69499999999999995</v>
      </c>
      <c r="AG4" s="4">
        <v>8.3000000000000004E-2</v>
      </c>
      <c r="AH4" s="4">
        <v>0.05</v>
      </c>
      <c r="AI4" s="4">
        <v>0.154</v>
      </c>
      <c r="AJ4" s="5">
        <f>(AE4-R4)/R4</f>
        <v>1.4210526315789473</v>
      </c>
      <c r="AK4" s="5">
        <f>(AF4-S4)/S4</f>
        <v>1.7042801556420231</v>
      </c>
      <c r="AL4" s="5">
        <f>(AG4-T4)/T4</f>
        <v>-0.35658914728682167</v>
      </c>
      <c r="AM4" s="5">
        <f>(AH4-U4)/U4</f>
        <v>-0.6428571428571429</v>
      </c>
      <c r="AN4" s="4">
        <v>0.224</v>
      </c>
      <c r="AO4" s="4">
        <v>0.46700000000000003</v>
      </c>
      <c r="AP4" s="4">
        <v>0.122</v>
      </c>
      <c r="AQ4" s="4">
        <v>0.155</v>
      </c>
      <c r="AR4" s="4">
        <v>0.156</v>
      </c>
      <c r="AS4" s="4">
        <v>0.27200000000000002</v>
      </c>
      <c r="AT4" s="4">
        <v>0.10299999999999999</v>
      </c>
      <c r="AU4" s="4">
        <v>0.124</v>
      </c>
      <c r="AV4" s="4">
        <v>0.434</v>
      </c>
      <c r="AW4" s="4">
        <v>0.74199999999999999</v>
      </c>
      <c r="AX4" s="4">
        <v>8.5000000000000006E-2</v>
      </c>
      <c r="AY4" s="4">
        <v>0.113</v>
      </c>
      <c r="AZ4" s="4">
        <v>0.34200000000000003</v>
      </c>
      <c r="BA4" s="6">
        <f>(AV4-AN4)/AN4</f>
        <v>0.9375</v>
      </c>
      <c r="BB4" s="6">
        <f>(AW4-AO4)/AO4</f>
        <v>0.58886509635974293</v>
      </c>
      <c r="BC4" s="6">
        <f>(AX4-AP4)/AP4</f>
        <v>-0.30327868852459011</v>
      </c>
      <c r="BD4" s="6">
        <f>(AY4-AQ4)/AQ4</f>
        <v>-0.27096774193548384</v>
      </c>
      <c r="BE4" s="4">
        <v>0.307</v>
      </c>
      <c r="BF4" s="4">
        <v>0.61599999999999999</v>
      </c>
      <c r="BG4" s="4">
        <v>7.3999999999999996E-2</v>
      </c>
      <c r="BH4" s="4">
        <v>0.104</v>
      </c>
      <c r="BI4" s="4">
        <v>0.27400000000000002</v>
      </c>
      <c r="BJ4" s="5">
        <f>(BE4-AN4)/AN4</f>
        <v>0.37053571428571425</v>
      </c>
      <c r="BK4" s="5">
        <f>(BF4-AO4)/AO4</f>
        <v>0.31905781584582432</v>
      </c>
      <c r="BL4" s="5">
        <f>(BG4-AP4)/AP4</f>
        <v>-0.39344262295081966</v>
      </c>
      <c r="BM4" s="5">
        <f>(BH4-AQ4)/AQ4</f>
        <v>-0.32903225806451614</v>
      </c>
      <c r="BN4" s="4">
        <v>0.316</v>
      </c>
      <c r="BO4" s="4">
        <v>0.59899999999999998</v>
      </c>
      <c r="BP4" s="4">
        <v>7.5999999999999998E-2</v>
      </c>
      <c r="BQ4" s="4">
        <v>0.13900000000000001</v>
      </c>
      <c r="BR4" s="5">
        <f>(BN4-AR4)/AR4</f>
        <v>1.0256410256410258</v>
      </c>
      <c r="BS4" s="5">
        <f>(BO4-AS4)/AS4</f>
        <v>1.2022058823529409</v>
      </c>
      <c r="BT4" s="5">
        <f>(BP4-AT4)/AT4</f>
        <v>-0.26213592233009708</v>
      </c>
      <c r="BU4" s="5">
        <f>(BQ4-AU4)/AU4</f>
        <v>0.12096774193548399</v>
      </c>
      <c r="BV4" s="4">
        <f>(BN4-BE4)/BE4</f>
        <v>2.9315960912052144E-2</v>
      </c>
      <c r="BW4" s="4">
        <f>(BO4-BF4)/BF4</f>
        <v>-2.7597402597402624E-2</v>
      </c>
      <c r="BX4" s="4">
        <f>(BP4-BG4)/BG4</f>
        <v>2.7027027027027053E-2</v>
      </c>
      <c r="BY4" s="4">
        <f>(BQ4-BH4)/BH4</f>
        <v>0.33653846153846173</v>
      </c>
      <c r="BZ4" s="6">
        <v>0.373</v>
      </c>
      <c r="CA4" s="6">
        <v>0.73699999999999999</v>
      </c>
      <c r="CB4" s="6">
        <v>6.2E-2</v>
      </c>
      <c r="CC4" s="6">
        <v>8.8999999999999996E-2</v>
      </c>
      <c r="CD4" s="4">
        <f>(BZ4-AR4)/AR4</f>
        <v>1.391025641025641</v>
      </c>
      <c r="CE4" s="4">
        <f>(CA4-AS4)/AS4</f>
        <v>1.7095588235294115</v>
      </c>
      <c r="CF4" s="4">
        <f>(CB4-AT4)/AT4</f>
        <v>-0.39805825242718446</v>
      </c>
      <c r="CG4" s="4">
        <f>(CC4-AU4)/AU4</f>
        <v>-0.28225806451612906</v>
      </c>
      <c r="CH4" s="4">
        <f>(BZ4-BN4)/BN4</f>
        <v>0.18037974683544303</v>
      </c>
      <c r="CI4" s="4">
        <f>(CA4-BO4)/BO4</f>
        <v>0.23038397328881471</v>
      </c>
      <c r="CJ4" s="4">
        <f>(CB4-BP4)/BP4</f>
        <v>-0.18421052631578946</v>
      </c>
      <c r="CK4" s="4">
        <f>(CC4-BQ4)/BQ4</f>
        <v>-0.35971223021582743</v>
      </c>
      <c r="CL4" s="4">
        <v>0.28999999999999998</v>
      </c>
      <c r="CM4" s="4">
        <v>0.70199999999999996</v>
      </c>
      <c r="CN4" s="4">
        <f>CL4/CM4</f>
        <v>0.4131054131054131</v>
      </c>
    </row>
    <row r="5" spans="1:92" x14ac:dyDescent="0.3">
      <c r="A5" s="1" t="s">
        <v>4</v>
      </c>
      <c r="B5">
        <v>195</v>
      </c>
      <c r="C5">
        <v>60</v>
      </c>
      <c r="D5">
        <v>5</v>
      </c>
      <c r="E5">
        <v>5</v>
      </c>
      <c r="F5">
        <v>5</v>
      </c>
      <c r="G5" s="3" t="s">
        <v>1</v>
      </c>
      <c r="H5" s="4">
        <v>9.9700000000000006</v>
      </c>
      <c r="I5" s="4">
        <v>4.8</v>
      </c>
      <c r="J5" s="7">
        <v>11.53</v>
      </c>
      <c r="K5" s="7">
        <v>5.71</v>
      </c>
      <c r="L5" s="4">
        <f>(H5-I5)/(H5+I5)</f>
        <v>0.3500338524035207</v>
      </c>
      <c r="M5" s="7">
        <f>(J5-K5)/(J5+K5)</f>
        <v>0.33758700696055682</v>
      </c>
      <c r="N5" s="4">
        <v>0.17</v>
      </c>
      <c r="O5" s="4">
        <v>0.28299999999999997</v>
      </c>
      <c r="P5" s="4">
        <v>9.9000000000000005E-2</v>
      </c>
      <c r="Q5" s="4">
        <v>0.14000000000000001</v>
      </c>
      <c r="R5" s="7">
        <v>0.19</v>
      </c>
      <c r="S5" s="7">
        <v>8.1000000000000003E-2</v>
      </c>
      <c r="T5" s="7">
        <v>0.20599999999999999</v>
      </c>
      <c r="U5" s="7">
        <v>0.16</v>
      </c>
      <c r="V5" s="4">
        <v>0.43</v>
      </c>
      <c r="W5" s="4">
        <v>0.76</v>
      </c>
      <c r="X5" s="4">
        <v>5.7000000000000002E-2</v>
      </c>
      <c r="Y5" s="4">
        <v>0.05</v>
      </c>
      <c r="Z5" s="4">
        <v>0.128</v>
      </c>
      <c r="AA5" s="5">
        <f>(V5-N5)/N5</f>
        <v>1.5294117647058822</v>
      </c>
      <c r="AB5" s="5">
        <f>(W5-O5)/O5</f>
        <v>1.6855123674911663</v>
      </c>
      <c r="AC5" s="5">
        <f>(X5-P5)/P5</f>
        <v>-0.42424242424242425</v>
      </c>
      <c r="AD5" s="5">
        <f>(Y5-Q5)/Q5</f>
        <v>-0.6428571428571429</v>
      </c>
      <c r="AE5" s="7">
        <v>0.49</v>
      </c>
      <c r="AF5" s="7">
        <v>0.17699999999999999</v>
      </c>
      <c r="AG5" s="7">
        <v>0.19600000000000001</v>
      </c>
      <c r="AH5" s="7">
        <v>0.06</v>
      </c>
      <c r="AI5" s="7">
        <v>0.128</v>
      </c>
      <c r="AJ5" s="8">
        <f>(AE5-R5)/R5</f>
        <v>1.5789473684210527</v>
      </c>
      <c r="AK5" s="8">
        <f>(AF5-S5)/S5</f>
        <v>1.1851851851851849</v>
      </c>
      <c r="AL5" s="8">
        <f>(AG5-T5)/T5</f>
        <v>-4.8543689320388259E-2</v>
      </c>
      <c r="AM5" s="8">
        <f>(AH5-U5)/U5</f>
        <v>-0.625</v>
      </c>
      <c r="AN5" s="7">
        <v>0.20699999999999999</v>
      </c>
      <c r="AO5" s="7">
        <v>0.46700000000000003</v>
      </c>
      <c r="AP5" s="7">
        <v>0.107</v>
      </c>
      <c r="AQ5" s="7">
        <v>0.16700000000000001</v>
      </c>
      <c r="AR5" s="4">
        <v>0.123</v>
      </c>
      <c r="AS5" s="4">
        <v>0.27</v>
      </c>
      <c r="AT5" s="4">
        <v>0.105</v>
      </c>
      <c r="AU5" s="4">
        <v>0.14099999999999999</v>
      </c>
      <c r="AV5" s="7">
        <v>0.44700000000000001</v>
      </c>
      <c r="AW5" s="7">
        <v>0.79900000000000004</v>
      </c>
      <c r="AX5" s="7">
        <v>6.6000000000000003E-2</v>
      </c>
      <c r="AY5" s="7">
        <v>0.11700000000000001</v>
      </c>
      <c r="AZ5" s="7">
        <v>0.29399999999999998</v>
      </c>
      <c r="BA5" s="8">
        <f>(AV5-AN5)/AN5</f>
        <v>1.1594202898550725</v>
      </c>
      <c r="BB5" s="8">
        <f>(AW5-AO5)/AO5</f>
        <v>0.71092077087794436</v>
      </c>
      <c r="BC5" s="8">
        <f>(AX5-AP5)/AP5</f>
        <v>-0.38317757009345788</v>
      </c>
      <c r="BD5" s="8">
        <f>(AY5-AQ5)/AQ5</f>
        <v>-0.29940119760479039</v>
      </c>
      <c r="BE5" s="4">
        <v>0.36299999999999999</v>
      </c>
      <c r="BF5" s="4">
        <v>0.63400000000000001</v>
      </c>
      <c r="BG5" s="4">
        <v>7.3999999999999996E-2</v>
      </c>
      <c r="BH5" s="4">
        <v>0.104</v>
      </c>
      <c r="BI5" s="4">
        <v>0.25700000000000001</v>
      </c>
      <c r="BJ5" s="5">
        <f>(BE5-AN5)/AN5</f>
        <v>0.75362318840579712</v>
      </c>
      <c r="BK5" s="5">
        <f>(BF5-AO5)/AO5</f>
        <v>0.35760171306209843</v>
      </c>
      <c r="BL5" s="5">
        <f>(BG5-AP5)/AP5</f>
        <v>-0.30841121495327106</v>
      </c>
      <c r="BM5" s="5">
        <f>(BH5-AQ5)/AQ5</f>
        <v>-0.37724550898203602</v>
      </c>
      <c r="BN5" s="4">
        <v>0.36199999999999999</v>
      </c>
      <c r="BO5" s="4">
        <v>0.61799999999999999</v>
      </c>
      <c r="BP5" s="4">
        <v>7.5999999999999998E-2</v>
      </c>
      <c r="BQ5" s="4">
        <v>0.14199999999999999</v>
      </c>
      <c r="BR5" s="5">
        <f>(BN5-AR5)/AR5</f>
        <v>1.943089430894309</v>
      </c>
      <c r="BS5" s="5">
        <f>(BO5-AS5)/AS5</f>
        <v>1.2888888888888888</v>
      </c>
      <c r="BT5" s="5">
        <f>(BP5-AT5)/AT5</f>
        <v>-0.27619047619047621</v>
      </c>
      <c r="BU5" s="5">
        <f>(BQ5-AU5)/AU5</f>
        <v>7.0921985815602905E-3</v>
      </c>
      <c r="BV5" s="4">
        <f>(BN5-BE5)/BE5</f>
        <v>-2.7548209366391211E-3</v>
      </c>
      <c r="BW5" s="4">
        <f>(BO5-BF5)/BF5</f>
        <v>-2.5236593059936932E-2</v>
      </c>
      <c r="BX5" s="4">
        <f>(BP5-BG5)/BG5</f>
        <v>2.7027027027027053E-2</v>
      </c>
      <c r="BY5" s="4">
        <f>(BQ5-BH5)/BH5</f>
        <v>0.36538461538461531</v>
      </c>
      <c r="BZ5" s="4">
        <v>0.39400000000000002</v>
      </c>
      <c r="CA5" s="4">
        <v>0.67300000000000004</v>
      </c>
      <c r="CB5" s="4">
        <v>7.0000000000000007E-2</v>
      </c>
      <c r="CC5" s="4">
        <v>0.104</v>
      </c>
      <c r="CD5" s="4">
        <f>(BZ5-AR5)/AR5</f>
        <v>2.2032520325203255</v>
      </c>
      <c r="CE5" s="4">
        <f>(CA5-AS5)/AS5</f>
        <v>1.4925925925925927</v>
      </c>
      <c r="CF5" s="4">
        <f>(CB5-AT5)/AT5</f>
        <v>-0.33333333333333326</v>
      </c>
      <c r="CG5" s="4">
        <f>(CC5-AU5)/AU5</f>
        <v>-0.26241134751773049</v>
      </c>
      <c r="CH5" s="4">
        <f>(BZ5-BN5)/BN5</f>
        <v>8.8397790055248698E-2</v>
      </c>
      <c r="CI5" s="4">
        <f>(CA5-BO5)/BO5</f>
        <v>8.8996763754045388E-2</v>
      </c>
      <c r="CJ5" s="4">
        <f>(CB5-BP5)/BP5</f>
        <v>-7.8947368421052516E-2</v>
      </c>
      <c r="CK5" s="4">
        <f>(CC5-BQ5)/BQ5</f>
        <v>-0.26760563380281688</v>
      </c>
      <c r="CL5" s="4">
        <v>0.23799999999999999</v>
      </c>
      <c r="CM5" s="4">
        <v>0.76</v>
      </c>
      <c r="CN5" s="4">
        <f>CL5/CM5</f>
        <v>0.31315789473684208</v>
      </c>
    </row>
    <row r="6" spans="1:92" x14ac:dyDescent="0.3">
      <c r="A6" s="1" t="s">
        <v>5</v>
      </c>
      <c r="B6">
        <v>196</v>
      </c>
      <c r="C6">
        <v>60</v>
      </c>
      <c r="D6">
        <v>5</v>
      </c>
      <c r="E6">
        <v>5</v>
      </c>
      <c r="F6">
        <v>5</v>
      </c>
      <c r="G6" s="3" t="s">
        <v>1</v>
      </c>
      <c r="H6" s="4">
        <v>8.4499999999999993</v>
      </c>
      <c r="I6" s="4">
        <v>4.4400000000000004</v>
      </c>
      <c r="J6" s="7">
        <v>9.65</v>
      </c>
      <c r="K6" s="7">
        <v>5.29</v>
      </c>
      <c r="L6" s="4">
        <f>(H6-I6)/(H6+I6)</f>
        <v>0.31109387121799836</v>
      </c>
      <c r="M6" s="7">
        <f>(J6-K6)/(J6+K6)</f>
        <v>0.29183400267737619</v>
      </c>
      <c r="N6" s="4">
        <v>0.14000000000000001</v>
      </c>
      <c r="O6" s="4">
        <v>0.28699999999999998</v>
      </c>
      <c r="P6" s="4">
        <v>8.7999999999999995E-2</v>
      </c>
      <c r="Q6" s="4">
        <v>0.13</v>
      </c>
      <c r="R6" s="7">
        <v>0.16</v>
      </c>
      <c r="S6" s="7">
        <v>6.7000000000000004E-2</v>
      </c>
      <c r="T6" s="7">
        <v>0.19500000000000001</v>
      </c>
      <c r="U6" s="7">
        <v>0.15</v>
      </c>
      <c r="V6" s="4">
        <v>0.37</v>
      </c>
      <c r="W6" s="4">
        <v>0.73799999999999999</v>
      </c>
      <c r="X6" s="4">
        <v>5.1999999999999998E-2</v>
      </c>
      <c r="Y6" s="4">
        <v>0.06</v>
      </c>
      <c r="Z6" s="4">
        <v>0.113</v>
      </c>
      <c r="AA6" s="5">
        <f>(V6-N6)/N6</f>
        <v>1.6428571428571426</v>
      </c>
      <c r="AB6" s="5">
        <f>(W6-O6)/O6</f>
        <v>1.5714285714285716</v>
      </c>
      <c r="AC6" s="5">
        <f>(X6-P6)/P6</f>
        <v>-0.40909090909090906</v>
      </c>
      <c r="AD6" s="5">
        <f>(Y6-Q6)/Q6</f>
        <v>-0.53846153846153855</v>
      </c>
      <c r="AE6" s="7">
        <v>0.43</v>
      </c>
      <c r="AF6" s="7">
        <v>0.13400000000000001</v>
      </c>
      <c r="AG6" s="7">
        <v>0.186</v>
      </c>
      <c r="AH6" s="7">
        <v>7.0000000000000007E-2</v>
      </c>
      <c r="AI6" s="7">
        <v>0.108</v>
      </c>
      <c r="AJ6" s="8">
        <f>(AE6-R6)/R6</f>
        <v>1.6875</v>
      </c>
      <c r="AK6" s="8">
        <f>(AF6-S6)/S6</f>
        <v>1</v>
      </c>
      <c r="AL6" s="8">
        <f>(AG6-T6)/T6</f>
        <v>-4.6153846153846191E-2</v>
      </c>
      <c r="AM6" s="8">
        <f>(AH6-U6)/U6</f>
        <v>-0.53333333333333333</v>
      </c>
      <c r="AN6" s="7">
        <v>0.16</v>
      </c>
      <c r="AO6" s="7">
        <v>0.48799999999999999</v>
      </c>
      <c r="AP6" s="7">
        <v>8.5000000000000006E-2</v>
      </c>
      <c r="AQ6" s="7">
        <v>0.151</v>
      </c>
      <c r="AR6" s="4">
        <v>0.128</v>
      </c>
      <c r="AS6" s="4">
        <v>0.26400000000000001</v>
      </c>
      <c r="AT6" s="4">
        <v>9.5000000000000001E-2</v>
      </c>
      <c r="AU6" s="4">
        <v>0.125</v>
      </c>
      <c r="AV6" s="7">
        <v>0.377</v>
      </c>
      <c r="AW6" s="7">
        <v>0.77800000000000002</v>
      </c>
      <c r="AX6" s="7">
        <v>5.6000000000000001E-2</v>
      </c>
      <c r="AY6" s="7">
        <v>0.112</v>
      </c>
      <c r="AZ6" s="7">
        <v>0.30299999999999999</v>
      </c>
      <c r="BA6" s="8">
        <f>(AV6-AN6)/AN6</f>
        <v>1.35625</v>
      </c>
      <c r="BB6" s="8">
        <f>(AW6-AO6)/AO6</f>
        <v>0.59426229508196726</v>
      </c>
      <c r="BC6" s="8">
        <f>(AX6-AP6)/AP6</f>
        <v>-0.3411764705882353</v>
      </c>
      <c r="BD6" s="8">
        <f>(AY6-AQ6)/AQ6</f>
        <v>-0.25827814569536423</v>
      </c>
      <c r="BE6" s="4">
        <v>0.30399999999999999</v>
      </c>
      <c r="BF6" s="4">
        <v>0.6</v>
      </c>
      <c r="BG6" s="4">
        <v>7.0000000000000007E-2</v>
      </c>
      <c r="BH6" s="4">
        <v>9.7000000000000003E-2</v>
      </c>
      <c r="BI6" s="4">
        <v>0.27500000000000002</v>
      </c>
      <c r="BJ6" s="5">
        <f>(BE6-AN6)/AN6</f>
        <v>0.89999999999999991</v>
      </c>
      <c r="BK6" s="5">
        <f>(BF6-AO6)/AO6</f>
        <v>0.22950819672131145</v>
      </c>
      <c r="BL6" s="5">
        <f>(BG6-AP6)/AP6</f>
        <v>-0.1764705882352941</v>
      </c>
      <c r="BM6" s="5">
        <f>(BH6-AQ6)/AQ6</f>
        <v>-0.35761589403973504</v>
      </c>
      <c r="BN6" s="4">
        <v>0.307</v>
      </c>
      <c r="BO6" s="4">
        <v>0.57699999999999996</v>
      </c>
      <c r="BP6" s="4">
        <v>7.1999999999999995E-2</v>
      </c>
      <c r="BQ6" s="4">
        <v>0.129</v>
      </c>
      <c r="BR6" s="5">
        <f>(BN6-AR6)/AR6</f>
        <v>1.3984375</v>
      </c>
      <c r="BS6" s="5">
        <f>(BO6-AS6)/AS6</f>
        <v>1.1856060606060603</v>
      </c>
      <c r="BT6" s="5">
        <f>(BP6-AT6)/AT6</f>
        <v>-0.2421052631578948</v>
      </c>
      <c r="BU6" s="5">
        <f>(BQ6-AU6)/AU6</f>
        <v>3.2000000000000028E-2</v>
      </c>
      <c r="BV6" s="4">
        <f>(BN6-BE6)/BE6</f>
        <v>9.8684210526315888E-3</v>
      </c>
      <c r="BW6" s="4">
        <f>(BO6-BF6)/BF6</f>
        <v>-3.8333333333333372E-2</v>
      </c>
      <c r="BX6" s="4">
        <f>(BP6-BG6)/BG6</f>
        <v>2.8571428571428397E-2</v>
      </c>
      <c r="BY6" s="4">
        <f>(BQ6-BH6)/BH6</f>
        <v>0.32989690721649484</v>
      </c>
      <c r="BZ6" s="4">
        <v>0.34899999999999998</v>
      </c>
      <c r="CA6" s="4">
        <v>0.65600000000000003</v>
      </c>
      <c r="CB6" s="4">
        <v>6.5000000000000002E-2</v>
      </c>
      <c r="CC6" s="4">
        <v>9.4E-2</v>
      </c>
      <c r="CD6" s="4">
        <f>(BZ6-AR6)/AR6</f>
        <v>1.7265624999999998</v>
      </c>
      <c r="CE6" s="4">
        <f>(CA6-AS6)/AS6</f>
        <v>1.4848484848484849</v>
      </c>
      <c r="CF6" s="4">
        <f>(CB6-AT6)/AT6</f>
        <v>-0.31578947368421051</v>
      </c>
      <c r="CG6" s="4">
        <f>(CC6-AU6)/AU6</f>
        <v>-0.248</v>
      </c>
      <c r="CH6" s="4">
        <f>(BZ6-BN6)/BN6</f>
        <v>0.1368078175895765</v>
      </c>
      <c r="CI6" s="4">
        <f>(CA6-BO6)/BO6</f>
        <v>0.13691507798960151</v>
      </c>
      <c r="CJ6" s="4">
        <f>(CB6-BP6)/BP6</f>
        <v>-9.7222222222222127E-2</v>
      </c>
      <c r="CK6" s="4">
        <f>(CC6-BQ6)/BQ6</f>
        <v>-0.27131782945736438</v>
      </c>
      <c r="CL6" s="4">
        <v>0.254</v>
      </c>
      <c r="CM6" s="4">
        <v>0.73899999999999999</v>
      </c>
      <c r="CN6" s="4">
        <f>CL6/CM6</f>
        <v>0.34370771312584575</v>
      </c>
    </row>
    <row r="7" spans="1:92" x14ac:dyDescent="0.3">
      <c r="A7" s="1" t="s">
        <v>6</v>
      </c>
      <c r="B7">
        <v>313</v>
      </c>
      <c r="C7">
        <v>60</v>
      </c>
      <c r="D7">
        <v>5</v>
      </c>
      <c r="E7">
        <v>5</v>
      </c>
      <c r="F7">
        <v>5</v>
      </c>
      <c r="G7" s="3" t="s">
        <v>1</v>
      </c>
      <c r="H7" s="4">
        <v>8.36</v>
      </c>
      <c r="I7" s="4">
        <v>4.59</v>
      </c>
      <c r="J7" s="4">
        <v>9.69</v>
      </c>
      <c r="K7" s="4">
        <v>5.31</v>
      </c>
      <c r="L7" s="4">
        <f>(H7-I7)/(H7+I7)</f>
        <v>0.2911196911196911</v>
      </c>
      <c r="M7" s="4">
        <f>(J7-K7)/(J7+K7)</f>
        <v>0.29199999999999998</v>
      </c>
      <c r="N7" s="4">
        <v>0.14000000000000001</v>
      </c>
      <c r="O7" s="4">
        <v>0.27100000000000002</v>
      </c>
      <c r="P7" s="4">
        <v>9.2999999999999999E-2</v>
      </c>
      <c r="Q7" s="4">
        <v>0.13</v>
      </c>
      <c r="R7" s="4">
        <v>0.16</v>
      </c>
      <c r="S7" s="4">
        <v>0.20200000000000001</v>
      </c>
      <c r="T7" s="4">
        <v>0.122</v>
      </c>
      <c r="U7" s="4">
        <v>0.15</v>
      </c>
      <c r="V7" s="4">
        <v>0.37</v>
      </c>
      <c r="W7" s="4">
        <v>0.73299999999999998</v>
      </c>
      <c r="X7" s="4">
        <v>5.6000000000000001E-2</v>
      </c>
      <c r="Y7" s="4">
        <v>0.05</v>
      </c>
      <c r="Z7" s="4">
        <v>0.127</v>
      </c>
      <c r="AA7" s="5">
        <f>(V7-N7)/N7</f>
        <v>1.6428571428571426</v>
      </c>
      <c r="AB7" s="5">
        <f>(W7-O7)/O7</f>
        <v>1.7047970479704795</v>
      </c>
      <c r="AC7" s="5">
        <f>(X7-P7)/P7</f>
        <v>-0.39784946236559138</v>
      </c>
      <c r="AD7" s="5">
        <f>(Y7-Q7)/Q7</f>
        <v>-0.61538461538461542</v>
      </c>
      <c r="AE7" s="4">
        <v>0.43</v>
      </c>
      <c r="AF7" s="4">
        <v>0.56100000000000005</v>
      </c>
      <c r="AG7" s="4">
        <v>0.09</v>
      </c>
      <c r="AH7" s="4">
        <v>0.06</v>
      </c>
      <c r="AI7" s="4">
        <v>0.13200000000000001</v>
      </c>
      <c r="AJ7" s="5">
        <f>(AE7-R7)/R7</f>
        <v>1.6875</v>
      </c>
      <c r="AK7" s="5">
        <f>(AF7-S7)/S7</f>
        <v>1.7772277227722773</v>
      </c>
      <c r="AL7" s="5">
        <f>(AG7-T7)/T7</f>
        <v>-0.26229508196721313</v>
      </c>
      <c r="AM7" s="5">
        <f>(AH7-U7)/U7</f>
        <v>-0.6</v>
      </c>
      <c r="AN7" s="4">
        <v>0.15</v>
      </c>
      <c r="AO7" s="4">
        <v>0.39600000000000002</v>
      </c>
      <c r="AP7" s="4">
        <v>0.1</v>
      </c>
      <c r="AQ7" s="4">
        <v>0.14699999999999999</v>
      </c>
      <c r="AR7" s="4">
        <v>0.11700000000000001</v>
      </c>
      <c r="AS7" s="4">
        <v>0.26</v>
      </c>
      <c r="AT7" s="4">
        <v>9.5000000000000001E-2</v>
      </c>
      <c r="AU7" s="4">
        <v>0.124</v>
      </c>
      <c r="AV7" s="4">
        <v>0.4</v>
      </c>
      <c r="AW7" s="4">
        <v>0.77900000000000003</v>
      </c>
      <c r="AX7" s="4">
        <v>0.06</v>
      </c>
      <c r="AY7" s="4">
        <v>0.10100000000000001</v>
      </c>
      <c r="AZ7" s="4">
        <v>0.26600000000000001</v>
      </c>
      <c r="BA7" s="6">
        <f>(AV7-AN7)/AN7</f>
        <v>1.6666666666666667</v>
      </c>
      <c r="BB7" s="6">
        <f>(AW7-AO7)/AO7</f>
        <v>0.96717171717171713</v>
      </c>
      <c r="BC7" s="6">
        <f>(AX7-AP7)/AP7</f>
        <v>-0.40000000000000008</v>
      </c>
      <c r="BD7" s="6">
        <f>(AY7-AQ7)/AQ7</f>
        <v>-0.31292517006802711</v>
      </c>
      <c r="BE7" s="4">
        <v>0.224</v>
      </c>
      <c r="BF7" s="4">
        <v>0.64600000000000002</v>
      </c>
      <c r="BG7" s="4">
        <v>6.5000000000000002E-2</v>
      </c>
      <c r="BH7" s="4">
        <v>8.8999999999999996E-2</v>
      </c>
      <c r="BI7" s="4">
        <v>0.23499999999999999</v>
      </c>
      <c r="BJ7" s="5">
        <f>(BE7-AN7)/AN7</f>
        <v>0.4933333333333334</v>
      </c>
      <c r="BK7" s="5">
        <f>(BF7-AO7)/AO7</f>
        <v>0.63131313131313127</v>
      </c>
      <c r="BL7" s="5">
        <f>(BG7-AP7)/AP7</f>
        <v>-0.35000000000000003</v>
      </c>
      <c r="BM7" s="5">
        <f>(BH7-AQ7)/AQ7</f>
        <v>-0.39455782312925169</v>
      </c>
      <c r="BN7" s="4">
        <v>0.32400000000000001</v>
      </c>
      <c r="BO7" s="4">
        <v>0.63200000000000001</v>
      </c>
      <c r="BP7" s="4">
        <v>6.7000000000000004E-2</v>
      </c>
      <c r="BQ7" s="4">
        <v>0.12</v>
      </c>
      <c r="BR7" s="5">
        <f>(BN7-AR7)/AR7</f>
        <v>1.7692307692307694</v>
      </c>
      <c r="BS7" s="5">
        <f>(BO7-AS7)/AS7</f>
        <v>1.4307692307692308</v>
      </c>
      <c r="BT7" s="5">
        <f>(BP7-AT7)/AT7</f>
        <v>-0.29473684210526313</v>
      </c>
      <c r="BU7" s="5">
        <f>(BQ7-AU7)/AU7</f>
        <v>-3.2258064516129059E-2</v>
      </c>
      <c r="BV7" s="4">
        <f>(BN7-BE7)/BE7</f>
        <v>0.44642857142857145</v>
      </c>
      <c r="BW7" s="4">
        <f>(BO7-BF7)/BF7</f>
        <v>-2.1671826625387015E-2</v>
      </c>
      <c r="BX7" s="4">
        <f>(BP7-BG7)/BG7</f>
        <v>3.0769230769230795E-2</v>
      </c>
      <c r="BY7" s="4">
        <f>(BQ7-BH7)/BH7</f>
        <v>0.34831460674157305</v>
      </c>
      <c r="BZ7" s="4">
        <v>0.33500000000000002</v>
      </c>
      <c r="CA7" s="4">
        <v>0.69099999999999995</v>
      </c>
      <c r="CB7" s="4">
        <v>6.0999999999999999E-2</v>
      </c>
      <c r="CC7" s="4">
        <v>8.5000000000000006E-2</v>
      </c>
      <c r="CD7" s="4">
        <f>(BZ7-AR7)/AR7</f>
        <v>1.8632478632478633</v>
      </c>
      <c r="CE7" s="4">
        <f>(CA7-AS7)/AS7</f>
        <v>1.6576923076923074</v>
      </c>
      <c r="CF7" s="4">
        <f>(CB7-AT7)/AT7</f>
        <v>-0.35789473684210527</v>
      </c>
      <c r="CG7" s="4">
        <f>(CC7-AU7)/AU7</f>
        <v>-0.31451612903225801</v>
      </c>
      <c r="CH7" s="4">
        <f>(BZ7-BN7)/BN7</f>
        <v>3.3950617283950643E-2</v>
      </c>
      <c r="CI7" s="4">
        <f>(CA7-BO7)/BO7</f>
        <v>9.3354430379746736E-2</v>
      </c>
      <c r="CJ7" s="4">
        <f>(CB7-BP7)/BP7</f>
        <v>-8.9552238805970227E-2</v>
      </c>
      <c r="CK7" s="4">
        <f>(CC7-BQ7)/BQ7</f>
        <v>-0.29166666666666657</v>
      </c>
      <c r="CL7" s="4">
        <v>0.27400000000000002</v>
      </c>
      <c r="CM7" s="4">
        <v>0.74099999999999999</v>
      </c>
      <c r="CN7" s="4">
        <f>CL7/CM7</f>
        <v>0.36977058029689613</v>
      </c>
    </row>
    <row r="8" spans="1:92" x14ac:dyDescent="0.3">
      <c r="A8" s="1" t="s">
        <v>7</v>
      </c>
      <c r="B8">
        <v>416</v>
      </c>
      <c r="C8">
        <v>96</v>
      </c>
      <c r="D8">
        <v>5</v>
      </c>
      <c r="E8">
        <v>6</v>
      </c>
      <c r="F8">
        <v>6</v>
      </c>
      <c r="G8" s="3" t="s">
        <v>1</v>
      </c>
      <c r="H8" s="4">
        <v>7.59</v>
      </c>
      <c r="I8" s="4">
        <v>5.96</v>
      </c>
      <c r="J8" s="4">
        <v>8.7799999999999994</v>
      </c>
      <c r="K8" s="4">
        <v>7</v>
      </c>
      <c r="L8" s="4">
        <f>(H8-I8)/(H8+I8)</f>
        <v>0.1202952029520295</v>
      </c>
      <c r="M8" s="4">
        <f>(J8-K8)/(J8+K8)</f>
        <v>0.11280101394169832</v>
      </c>
      <c r="N8" s="4">
        <v>0.08</v>
      </c>
      <c r="O8" s="4">
        <v>0.17799999999999999</v>
      </c>
      <c r="P8" s="4">
        <v>7.0000000000000007E-2</v>
      </c>
      <c r="Q8" s="4">
        <v>0.11</v>
      </c>
      <c r="R8" s="4">
        <v>0.09</v>
      </c>
      <c r="S8" s="4">
        <v>0.125</v>
      </c>
      <c r="T8" s="4">
        <v>9.2999999999999999E-2</v>
      </c>
      <c r="U8" s="4">
        <v>0.13</v>
      </c>
      <c r="V8" s="4">
        <v>0.28999999999999998</v>
      </c>
      <c r="W8" s="4">
        <v>0.66</v>
      </c>
      <c r="X8" s="4">
        <v>4.4999999999999998E-2</v>
      </c>
      <c r="Y8" s="4">
        <v>0.05</v>
      </c>
      <c r="Z8" s="4">
        <v>7.9000000000000001E-2</v>
      </c>
      <c r="AA8" s="5">
        <f>(V8-N8)/N8</f>
        <v>2.6249999999999996</v>
      </c>
      <c r="AB8" s="5">
        <f>(W8-O8)/O8</f>
        <v>2.707865168539326</v>
      </c>
      <c r="AC8" s="5">
        <f>(X8-P8)/P8</f>
        <v>-0.35714285714285721</v>
      </c>
      <c r="AD8" s="5">
        <f>(Y8-Q8)/Q8</f>
        <v>-0.54545454545454541</v>
      </c>
      <c r="AE8" s="4">
        <v>0.31</v>
      </c>
      <c r="AF8" s="4">
        <v>0.436</v>
      </c>
      <c r="AG8" s="4">
        <v>7.3999999999999996E-2</v>
      </c>
      <c r="AH8" s="4">
        <v>0.06</v>
      </c>
      <c r="AI8" s="4">
        <v>5.6000000000000001E-2</v>
      </c>
      <c r="AJ8" s="5">
        <f>(AE8-R8)/R8</f>
        <v>2.4444444444444446</v>
      </c>
      <c r="AK8" s="5">
        <f>(AF8-S8)/S8</f>
        <v>2.488</v>
      </c>
      <c r="AL8" s="5">
        <f>(AG8-T8)/T8</f>
        <v>-0.20430107526881724</v>
      </c>
      <c r="AM8" s="5">
        <f>(AH8-U8)/U8</f>
        <v>-0.53846153846153855</v>
      </c>
      <c r="AN8" s="7">
        <v>8.4000000000000005E-2</v>
      </c>
      <c r="AO8" s="7">
        <v>0.22600000000000001</v>
      </c>
      <c r="AP8" s="7">
        <v>6.8000000000000005E-2</v>
      </c>
      <c r="AQ8" s="7">
        <v>0.126</v>
      </c>
      <c r="AR8" s="4">
        <v>3.4000000000000002E-2</v>
      </c>
      <c r="AS8" s="4">
        <v>0.16700000000000001</v>
      </c>
      <c r="AT8" s="4">
        <v>7.1999999999999995E-2</v>
      </c>
      <c r="AU8" s="4">
        <v>0.109</v>
      </c>
      <c r="AV8" s="4">
        <v>0.3</v>
      </c>
      <c r="AW8" s="4">
        <v>0.67400000000000004</v>
      </c>
      <c r="AX8" s="4">
        <v>7.9000000000000001E-2</v>
      </c>
      <c r="AY8" s="4">
        <v>9.1999999999999998E-2</v>
      </c>
      <c r="AZ8" s="4">
        <v>0.183</v>
      </c>
      <c r="BA8" s="6">
        <f>(AV8-AN8)/AN8</f>
        <v>2.5714285714285707</v>
      </c>
      <c r="BB8" s="6">
        <f>(AW8-AO8)/AO8</f>
        <v>1.9823008849557524</v>
      </c>
      <c r="BC8" s="6">
        <f>(AX8-AP8)/AP8</f>
        <v>0.16176470588235287</v>
      </c>
      <c r="BD8" s="6">
        <f>(AY8-AQ8)/AQ8</f>
        <v>-0.26984126984126988</v>
      </c>
      <c r="BE8" s="4">
        <v>0.24399999999999999</v>
      </c>
      <c r="BF8" s="4">
        <v>0.54200000000000004</v>
      </c>
      <c r="BG8" s="4">
        <v>5.2999999999999999E-2</v>
      </c>
      <c r="BH8" s="4">
        <v>0.08</v>
      </c>
      <c r="BI8" s="4">
        <v>0.17599999999999999</v>
      </c>
      <c r="BJ8" s="5">
        <f>(BE8-AN8)/AN8</f>
        <v>1.9047619047619044</v>
      </c>
      <c r="BK8" s="5">
        <f>(BF8-AO8)/AO8</f>
        <v>1.3982300884955754</v>
      </c>
      <c r="BL8" s="5">
        <f>(BG8-AP8)/AP8</f>
        <v>-0.22058823529411772</v>
      </c>
      <c r="BM8" s="5">
        <f>(BH8-AQ8)/AQ8</f>
        <v>-0.36507936507936506</v>
      </c>
      <c r="BN8" s="4">
        <v>0.23699999999999999</v>
      </c>
      <c r="BO8" s="4">
        <v>0.53100000000000003</v>
      </c>
      <c r="BP8" s="4">
        <v>5.3999999999999999E-2</v>
      </c>
      <c r="BQ8" s="4">
        <v>9.1999999999999998E-2</v>
      </c>
      <c r="BR8" s="5">
        <f>(BN8-AR8)/AR8</f>
        <v>5.9705882352941169</v>
      </c>
      <c r="BS8" s="5">
        <f>(BO8-AS8)/AS8</f>
        <v>2.1796407185628741</v>
      </c>
      <c r="BT8" s="5">
        <f>(BP8-AT8)/AT8</f>
        <v>-0.24999999999999994</v>
      </c>
      <c r="BU8" s="5">
        <f>(BQ8-AU8)/AU8</f>
        <v>-0.15596330275229359</v>
      </c>
      <c r="BV8" s="4">
        <f>(BN8-BE8)/BE8</f>
        <v>-2.8688524590163959E-2</v>
      </c>
      <c r="BW8" s="4">
        <f>(BO8-BF8)/BF8</f>
        <v>-2.0295202952029537E-2</v>
      </c>
      <c r="BX8" s="4">
        <f>(BP8-BG8)/BG8</f>
        <v>1.8867924528301903E-2</v>
      </c>
      <c r="BY8" s="4">
        <f>(BQ8-BH8)/BH8</f>
        <v>0.14999999999999997</v>
      </c>
      <c r="BZ8" s="4">
        <v>0.26200000000000001</v>
      </c>
      <c r="CA8" s="4">
        <v>0.6</v>
      </c>
      <c r="CB8" s="4">
        <v>0.05</v>
      </c>
      <c r="CC8" s="4">
        <v>7.5999999999999998E-2</v>
      </c>
      <c r="CD8" s="4">
        <f>(BZ8-AR8)/AR8</f>
        <v>6.7058823529411766</v>
      </c>
      <c r="CE8" s="4">
        <f>(CA8-AS8)/AS8</f>
        <v>2.5928143712574845</v>
      </c>
      <c r="CF8" s="4">
        <f>(CB8-AT8)/AT8</f>
        <v>-0.30555555555555547</v>
      </c>
      <c r="CG8" s="4">
        <f>(CC8-AU8)/AU8</f>
        <v>-0.30275229357798167</v>
      </c>
      <c r="CH8" s="4">
        <f>(BZ8-BN8)/BN8</f>
        <v>0.10548523206751065</v>
      </c>
      <c r="CI8" s="4">
        <f>(CA8-BO8)/BO8</f>
        <v>0.12994350282485867</v>
      </c>
      <c r="CJ8" s="4">
        <f>(CB8-BP8)/BP8</f>
        <v>-7.4074074074074014E-2</v>
      </c>
      <c r="CK8" s="4">
        <f>(CC8-BQ8)/BQ8</f>
        <v>-0.17391304347826086</v>
      </c>
      <c r="CL8" s="4">
        <v>0.26400000000000001</v>
      </c>
      <c r="CM8" s="4">
        <v>0.78100000000000003</v>
      </c>
      <c r="CN8" s="4">
        <f>CL8/CM8</f>
        <v>0.3380281690140845</v>
      </c>
    </row>
    <row r="9" spans="1:92" x14ac:dyDescent="0.3">
      <c r="A9" s="1" t="s">
        <v>8</v>
      </c>
      <c r="B9">
        <v>1370</v>
      </c>
      <c r="C9">
        <v>33</v>
      </c>
      <c r="D9">
        <v>5</v>
      </c>
      <c r="E9">
        <v>4</v>
      </c>
      <c r="F9">
        <v>4</v>
      </c>
      <c r="G9" s="3" t="s">
        <v>9</v>
      </c>
      <c r="H9" s="4">
        <v>6.34</v>
      </c>
      <c r="I9" s="4">
        <v>1.87</v>
      </c>
      <c r="J9" s="4">
        <v>8.24</v>
      </c>
      <c r="K9" s="4">
        <v>2.16</v>
      </c>
      <c r="L9" s="4">
        <f>(H9-I9)/(H9+I9)</f>
        <v>0.54445797807551755</v>
      </c>
      <c r="M9" s="4">
        <f>(J9-K9)/(J9+K9)</f>
        <v>0.58461538461538465</v>
      </c>
      <c r="N9" s="4">
        <v>0.19</v>
      </c>
      <c r="O9" s="4">
        <v>0.57499999999999996</v>
      </c>
      <c r="P9" s="4">
        <v>8.2000000000000003E-2</v>
      </c>
      <c r="Q9" s="4">
        <v>0.08</v>
      </c>
      <c r="R9" s="4">
        <v>0.25</v>
      </c>
      <c r="S9" s="4">
        <v>0.55200000000000005</v>
      </c>
      <c r="T9" s="4">
        <v>0.104</v>
      </c>
      <c r="U9" s="4">
        <v>0.1</v>
      </c>
      <c r="V9" s="4">
        <v>0.33</v>
      </c>
      <c r="W9" s="4">
        <v>0.873</v>
      </c>
      <c r="X9" s="4">
        <v>4.4999999999999998E-2</v>
      </c>
      <c r="Y9" s="4">
        <v>0.03</v>
      </c>
      <c r="Z9" s="4">
        <v>0.16</v>
      </c>
      <c r="AA9" s="5">
        <f>(V9-N9)/N9</f>
        <v>0.73684210526315796</v>
      </c>
      <c r="AB9" s="5">
        <f>(W9-O9)/O9</f>
        <v>0.51826086956521755</v>
      </c>
      <c r="AC9" s="5">
        <f>(X9-P9)/P9</f>
        <v>-0.45121951219512202</v>
      </c>
      <c r="AD9" s="5">
        <f>(Y9-Q9)/Q9</f>
        <v>-0.625</v>
      </c>
      <c r="AE9" s="4">
        <v>0.41</v>
      </c>
      <c r="AF9" s="4">
        <v>0.82099999999999995</v>
      </c>
      <c r="AG9" s="4">
        <v>6.6000000000000003E-2</v>
      </c>
      <c r="AH9" s="4">
        <v>0.04</v>
      </c>
      <c r="AI9" s="4">
        <v>0.17799999999999999</v>
      </c>
      <c r="AJ9" s="5">
        <f>(AE9-R9)/R9</f>
        <v>0.6399999999999999</v>
      </c>
      <c r="AK9" s="5">
        <f>(AF9-S9)/S9</f>
        <v>0.48731884057970992</v>
      </c>
      <c r="AL9" s="5">
        <f>(AG9-T9)/T9</f>
        <v>-0.36538461538461531</v>
      </c>
      <c r="AM9" s="5">
        <f>(AH9-U9)/U9</f>
        <v>-0.6</v>
      </c>
      <c r="AN9" s="4">
        <v>0.254</v>
      </c>
      <c r="AO9" s="4">
        <v>0.72299999999999998</v>
      </c>
      <c r="AP9" s="4">
        <v>0.10100000000000001</v>
      </c>
      <c r="AQ9" s="4">
        <v>9.6000000000000002E-2</v>
      </c>
      <c r="AR9" s="4">
        <v>0.186</v>
      </c>
      <c r="AS9" s="4">
        <v>0.56999999999999995</v>
      </c>
      <c r="AT9" s="4">
        <v>7.4999999999999997E-2</v>
      </c>
      <c r="AU9" s="4">
        <v>8.2000000000000003E-2</v>
      </c>
      <c r="AV9" s="4">
        <v>0.35399999999999998</v>
      </c>
      <c r="AW9" s="4">
        <v>0.79500000000000004</v>
      </c>
      <c r="AX9" s="4">
        <v>8.6999999999999994E-2</v>
      </c>
      <c r="AY9" s="4">
        <v>8.4000000000000005E-2</v>
      </c>
      <c r="AZ9" s="4">
        <v>0.63300000000000001</v>
      </c>
      <c r="BA9" s="6">
        <f>(AV9-AN9)/AN9</f>
        <v>0.39370078740157471</v>
      </c>
      <c r="BB9" s="6">
        <f>(AW9-AO9)/AO9</f>
        <v>9.9585062240663991E-2</v>
      </c>
      <c r="BC9" s="6">
        <f>(AX9-AP9)/AP9</f>
        <v>-0.13861386138613874</v>
      </c>
      <c r="BD9" s="6">
        <f>(AY9-AQ9)/AQ9</f>
        <v>-0.12499999999999996</v>
      </c>
      <c r="BE9" s="4">
        <v>0.25700000000000001</v>
      </c>
      <c r="BF9" s="4">
        <v>0.69599999999999995</v>
      </c>
      <c r="BG9" s="4">
        <v>6.3E-2</v>
      </c>
      <c r="BH9" s="4">
        <v>7.4999999999999997E-2</v>
      </c>
      <c r="BI9" s="4">
        <v>0.55900000000000005</v>
      </c>
      <c r="BJ9" s="5">
        <f>(BE9-AN9)/AN9</f>
        <v>1.1811023622047254E-2</v>
      </c>
      <c r="BK9" s="5">
        <f>(BF9-AO9)/AO9</f>
        <v>-3.7344398340248997E-2</v>
      </c>
      <c r="BL9" s="5">
        <f>(BG9-AP9)/AP9</f>
        <v>-0.37623762376237629</v>
      </c>
      <c r="BM9" s="5">
        <f>(BH9-AQ9)/AQ9</f>
        <v>-0.21875000000000006</v>
      </c>
      <c r="BN9" s="4">
        <v>0.26100000000000001</v>
      </c>
      <c r="BO9" s="4">
        <v>0.59299999999999997</v>
      </c>
      <c r="BP9" s="4">
        <v>7.2999999999999995E-2</v>
      </c>
      <c r="BQ9" s="4">
        <v>0.152</v>
      </c>
      <c r="BR9" s="5">
        <f>(BN9-AR9)/AR9</f>
        <v>0.40322580645161299</v>
      </c>
      <c r="BS9" s="5">
        <f>(BO9-AS9)/AS9</f>
        <v>4.0350877192982498E-2</v>
      </c>
      <c r="BT9" s="5">
        <f>(BP9-AT9)/AT9</f>
        <v>-2.6666666666666693E-2</v>
      </c>
      <c r="BU9" s="5">
        <f>(BQ9-AU9)/AU9</f>
        <v>0.85365853658536572</v>
      </c>
      <c r="BV9" s="4">
        <f>(BN9-BE9)/BE9</f>
        <v>1.5564202334630364E-2</v>
      </c>
      <c r="BW9" s="4">
        <f>(BO9-BF9)/BF9</f>
        <v>-0.14798850574712641</v>
      </c>
      <c r="BX9" s="4">
        <f>(BP9-BG9)/BG9</f>
        <v>0.15873015873015864</v>
      </c>
      <c r="BY9" s="4">
        <f>(BQ9-BH9)/BH9</f>
        <v>1.0266666666666666</v>
      </c>
      <c r="BZ9" s="4">
        <v>0.314</v>
      </c>
      <c r="CA9" s="4">
        <v>0.77500000000000002</v>
      </c>
      <c r="CB9" s="4">
        <v>5.3999999999999999E-2</v>
      </c>
      <c r="CC9" s="4">
        <v>6.4000000000000001E-2</v>
      </c>
      <c r="CD9" s="4">
        <f>(BZ9-AR9)/AR9</f>
        <v>0.68817204301075274</v>
      </c>
      <c r="CE9" s="4">
        <f>(CA9-AS9)/AS9</f>
        <v>0.35964912280701772</v>
      </c>
      <c r="CF9" s="4">
        <f>(CB9-AT9)/AT9</f>
        <v>-0.27999999999999997</v>
      </c>
      <c r="CG9" s="4">
        <f>(CC9-AU9)/AU9</f>
        <v>-0.21951219512195125</v>
      </c>
      <c r="CH9" s="4">
        <f>(BZ9-BN9)/BN9</f>
        <v>0.20306513409961682</v>
      </c>
      <c r="CI9" s="4">
        <f>(CA9-BO9)/BO9</f>
        <v>0.30691399662731883</v>
      </c>
      <c r="CJ9" s="4">
        <f>(CB9-BP9)/BP9</f>
        <v>-0.26027397260273971</v>
      </c>
      <c r="CK9" s="4">
        <f>(CC9-BQ9)/BQ9</f>
        <v>-0.57894736842105265</v>
      </c>
      <c r="CL9" s="4">
        <v>0.52200000000000002</v>
      </c>
      <c r="CM9" s="4">
        <v>0.48899999999999999</v>
      </c>
      <c r="CN9" s="4">
        <f>CL9/CM9</f>
        <v>1.0674846625766872</v>
      </c>
    </row>
    <row r="10" spans="1:92" x14ac:dyDescent="0.3">
      <c r="A10" s="1" t="s">
        <v>10</v>
      </c>
      <c r="B10">
        <v>1000</v>
      </c>
      <c r="C10">
        <v>48</v>
      </c>
      <c r="D10">
        <v>6</v>
      </c>
      <c r="E10">
        <v>6</v>
      </c>
      <c r="F10">
        <v>6</v>
      </c>
      <c r="G10" s="3" t="s">
        <v>1</v>
      </c>
      <c r="H10" s="4">
        <v>9.11</v>
      </c>
      <c r="I10" s="4">
        <v>4.51</v>
      </c>
      <c r="J10" s="4">
        <v>10.83</v>
      </c>
      <c r="K10" s="4">
        <v>4.8899999999999997</v>
      </c>
      <c r="L10" s="4">
        <f>(H10-I10)/(H10+I10)</f>
        <v>0.33773861967694568</v>
      </c>
      <c r="M10" s="4">
        <f>(J10-K10)/(J10+K10)</f>
        <v>0.3778625954198474</v>
      </c>
      <c r="N10" s="4">
        <v>0.19</v>
      </c>
      <c r="O10" s="4">
        <v>0.29599999999999999</v>
      </c>
      <c r="P10" s="4">
        <v>0.121</v>
      </c>
      <c r="Q10" s="4">
        <v>0.14000000000000001</v>
      </c>
      <c r="R10" s="4">
        <v>0.23</v>
      </c>
      <c r="S10" s="4">
        <v>0.28399999999999997</v>
      </c>
      <c r="T10" s="4">
        <v>0.14000000000000001</v>
      </c>
      <c r="U10" s="4">
        <v>0.16</v>
      </c>
      <c r="V10" s="4">
        <v>0.49</v>
      </c>
      <c r="W10" s="4">
        <v>0.83199999999999996</v>
      </c>
      <c r="X10" s="4">
        <v>5.8999999999999997E-2</v>
      </c>
      <c r="Y10" s="4">
        <v>0.03</v>
      </c>
      <c r="Z10" s="4">
        <v>0.20899999999999999</v>
      </c>
      <c r="AA10" s="5">
        <f>(V10-N10)/N10</f>
        <v>1.5789473684210527</v>
      </c>
      <c r="AB10" s="5">
        <f>(W10-O10)/O10</f>
        <v>1.810810810810811</v>
      </c>
      <c r="AC10" s="5">
        <f>(X10-P10)/P10</f>
        <v>-0.51239669421487599</v>
      </c>
      <c r="AD10" s="5">
        <f>(Y10-Q10)/Q10</f>
        <v>-0.7857142857142857</v>
      </c>
      <c r="AE10" s="4">
        <v>0.55000000000000004</v>
      </c>
      <c r="AF10" s="4">
        <v>0.77800000000000002</v>
      </c>
      <c r="AG10" s="4">
        <v>7.8E-2</v>
      </c>
      <c r="AH10" s="4">
        <v>0.03</v>
      </c>
      <c r="AI10" s="4">
        <v>0.219</v>
      </c>
      <c r="AJ10" s="5">
        <f>(AE10-R10)/R10</f>
        <v>1.3913043478260871</v>
      </c>
      <c r="AK10" s="5">
        <f>(AF10-S10)/S10</f>
        <v>1.7394366197183102</v>
      </c>
      <c r="AL10" s="5">
        <f>(AG10-T10)/T10</f>
        <v>-0.44285714285714289</v>
      </c>
      <c r="AM10" s="5">
        <f>(AH10-U10)/U10</f>
        <v>-0.8125</v>
      </c>
      <c r="AN10" s="4">
        <v>0.26500000000000001</v>
      </c>
      <c r="AO10" s="4">
        <v>0.33900000000000002</v>
      </c>
      <c r="AP10" s="4">
        <v>0.153</v>
      </c>
      <c r="AQ10" s="4">
        <v>0.16600000000000001</v>
      </c>
      <c r="AR10" s="4">
        <v>0.151</v>
      </c>
      <c r="AS10" s="4">
        <v>0.29099999999999998</v>
      </c>
      <c r="AT10" s="4">
        <v>0.113</v>
      </c>
      <c r="AU10" s="4">
        <v>0.14099999999999999</v>
      </c>
      <c r="AV10" s="4">
        <v>0.55000000000000004</v>
      </c>
      <c r="AW10" s="4">
        <v>0.87</v>
      </c>
      <c r="AX10" s="4">
        <v>7.3999999999999996E-2</v>
      </c>
      <c r="AY10" s="4">
        <v>7.5999999999999998E-2</v>
      </c>
      <c r="AZ10" s="4">
        <v>0.34</v>
      </c>
      <c r="BA10" s="6">
        <f>(AV10-AN10)/AN10</f>
        <v>1.0754716981132075</v>
      </c>
      <c r="BB10" s="6">
        <f>(AW10-AO10)/AO10</f>
        <v>1.5663716814159288</v>
      </c>
      <c r="BC10" s="6">
        <f>(AX10-AP10)/AP10</f>
        <v>-0.5163398692810458</v>
      </c>
      <c r="BD10" s="6">
        <f>(AY10-AQ10)/AQ10</f>
        <v>-0.54216867469879526</v>
      </c>
      <c r="BE10" s="4">
        <v>0.48599999999999999</v>
      </c>
      <c r="BF10" s="4">
        <v>0.79600000000000004</v>
      </c>
      <c r="BG10" s="4">
        <v>6.0999999999999999E-2</v>
      </c>
      <c r="BH10" s="4">
        <v>6.9000000000000006E-2</v>
      </c>
      <c r="BI10" s="4">
        <v>0.27900000000000003</v>
      </c>
      <c r="BJ10" s="5">
        <f>(BE10-AN10)/AN10</f>
        <v>0.83396226415094321</v>
      </c>
      <c r="BK10" s="5">
        <f>(BF10-AO10)/AO10</f>
        <v>1.3480825958702065</v>
      </c>
      <c r="BL10" s="5">
        <f>(BG10-AP10)/AP10</f>
        <v>-0.60130718954248363</v>
      </c>
      <c r="BM10" s="5">
        <f>(BH10-AQ10)/AQ10</f>
        <v>-0.5843373493975903</v>
      </c>
      <c r="BN10" s="4">
        <v>0.48</v>
      </c>
      <c r="BO10" s="4">
        <v>0.75</v>
      </c>
      <c r="BP10" s="4">
        <v>6.7000000000000004E-2</v>
      </c>
      <c r="BQ10" s="4">
        <v>0.153</v>
      </c>
      <c r="BR10" s="5">
        <f>(BN10-AR10)/AR10</f>
        <v>2.1788079470198674</v>
      </c>
      <c r="BS10" s="5">
        <f>(BO10-AS10)/AS10</f>
        <v>1.5773195876288661</v>
      </c>
      <c r="BT10" s="5">
        <f>(BP10-AT10)/AT10</f>
        <v>-0.40707964601769908</v>
      </c>
      <c r="BU10" s="5">
        <f>(BQ10-AU10)/AU10</f>
        <v>8.5106382978723485E-2</v>
      </c>
      <c r="BV10" s="4">
        <f>(BN10-BE10)/BE10</f>
        <v>-1.234567901234569E-2</v>
      </c>
      <c r="BW10" s="4">
        <f>(BO10-BF10)/BF10</f>
        <v>-5.7788944723618139E-2</v>
      </c>
      <c r="BX10" s="4">
        <f>(BP10-BG10)/BG10</f>
        <v>9.8360655737705013E-2</v>
      </c>
      <c r="BY10" s="4">
        <f>(BQ10-BH10)/BH10</f>
        <v>1.2173913043478259</v>
      </c>
      <c r="BZ10" s="4">
        <v>0.49</v>
      </c>
      <c r="CA10" s="4">
        <v>0.79900000000000004</v>
      </c>
      <c r="CB10" s="4">
        <v>0.06</v>
      </c>
      <c r="CC10" s="4">
        <v>8.6999999999999994E-2</v>
      </c>
      <c r="CD10" s="4">
        <f>(BZ10-AR10)/AR10</f>
        <v>2.2450331125827812</v>
      </c>
      <c r="CE10" s="4">
        <f>(CA10-AS10)/AS10</f>
        <v>1.7457044673539521</v>
      </c>
      <c r="CF10" s="4">
        <f>(CB10-AT10)/AT10</f>
        <v>-0.46902654867256638</v>
      </c>
      <c r="CG10" s="4">
        <f>(CC10-AU10)/AU10</f>
        <v>-0.38297872340425532</v>
      </c>
      <c r="CH10" s="4">
        <f>(BZ10-BN10)/BN10</f>
        <v>2.0833333333333353E-2</v>
      </c>
      <c r="CI10" s="4">
        <f>(CA10-BO10)/BO10</f>
        <v>6.5333333333333396E-2</v>
      </c>
      <c r="CJ10" s="4">
        <f>(CB10-BP10)/BP10</f>
        <v>-0.1044776119402986</v>
      </c>
      <c r="CK10" s="4">
        <f>(CC10-BQ10)/BQ10</f>
        <v>-0.43137254901960786</v>
      </c>
      <c r="CL10" s="4">
        <v>0.29299999999999998</v>
      </c>
      <c r="CM10" s="4">
        <v>0.71599999999999997</v>
      </c>
      <c r="CN10" s="4">
        <f>CL10/CM10</f>
        <v>0.40921787709497204</v>
      </c>
    </row>
    <row r="11" spans="1:92" x14ac:dyDescent="0.3">
      <c r="A11" s="1" t="s">
        <v>11</v>
      </c>
      <c r="B11">
        <v>181</v>
      </c>
      <c r="C11">
        <v>20</v>
      </c>
      <c r="D11">
        <v>4</v>
      </c>
      <c r="E11">
        <v>1</v>
      </c>
      <c r="F11">
        <v>2</v>
      </c>
      <c r="G11" s="3" t="s">
        <v>9</v>
      </c>
      <c r="H11" s="4">
        <v>5.69</v>
      </c>
      <c r="I11" s="4">
        <v>0.82</v>
      </c>
      <c r="J11" s="4">
        <v>6.99</v>
      </c>
      <c r="K11" s="4">
        <v>0.99</v>
      </c>
      <c r="L11" s="4">
        <f>(H11-I11)/(H11+I11)</f>
        <v>0.74807987711213508</v>
      </c>
      <c r="M11" s="4">
        <f>(J11-K11)/(J11+K11)</f>
        <v>0.75187969924812026</v>
      </c>
      <c r="N11" s="4">
        <v>0.28000000000000003</v>
      </c>
      <c r="O11" s="4">
        <v>0.8</v>
      </c>
      <c r="P11" s="4">
        <v>7.3999999999999996E-2</v>
      </c>
      <c r="Q11" s="4">
        <v>7.0000000000000007E-2</v>
      </c>
      <c r="R11" s="4">
        <v>0.35</v>
      </c>
      <c r="S11" s="4">
        <v>0.64400000000000002</v>
      </c>
      <c r="T11" s="4">
        <v>0.127</v>
      </c>
      <c r="U11" s="4">
        <v>0.09</v>
      </c>
      <c r="V11" s="4">
        <v>0.34</v>
      </c>
      <c r="W11" s="4">
        <v>0.88900000000000001</v>
      </c>
      <c r="X11" s="4">
        <v>5.5E-2</v>
      </c>
      <c r="Y11" s="4">
        <v>0.06</v>
      </c>
      <c r="Z11" s="4">
        <v>0.52</v>
      </c>
      <c r="AA11" s="5">
        <f>(V11-N11)/N11</f>
        <v>0.21428571428571425</v>
      </c>
      <c r="AB11" s="5">
        <f>(W11-O11)/O11</f>
        <v>0.11124999999999996</v>
      </c>
      <c r="AC11" s="5">
        <f>(X11-P11)/P11</f>
        <v>-0.25675675675675674</v>
      </c>
      <c r="AD11" s="5">
        <f>(Y11-Q11)/Q11</f>
        <v>-0.14285714285714296</v>
      </c>
      <c r="AE11" s="4">
        <v>0.41</v>
      </c>
      <c r="AF11" s="4">
        <v>0.72</v>
      </c>
      <c r="AG11" s="4">
        <v>0.113</v>
      </c>
      <c r="AH11" s="4">
        <v>7.0000000000000007E-2</v>
      </c>
      <c r="AI11" s="4">
        <v>0.53</v>
      </c>
      <c r="AJ11" s="5">
        <f>(AE11-R11)/R11</f>
        <v>0.17142857142857143</v>
      </c>
      <c r="AK11" s="5">
        <f>(AF11-S11)/S11</f>
        <v>0.11801242236024838</v>
      </c>
      <c r="AL11" s="5">
        <f>(AG11-T11)/T11</f>
        <v>-0.11023622047244093</v>
      </c>
      <c r="AM11" s="5">
        <f>(AH11-U11)/U11</f>
        <v>-0.22222222222222213</v>
      </c>
      <c r="AN11" s="7">
        <v>0.39300000000000002</v>
      </c>
      <c r="AO11" s="7">
        <v>0.87</v>
      </c>
      <c r="AP11" s="7">
        <v>0.08</v>
      </c>
      <c r="AQ11" s="7">
        <v>8.6999999999999994E-2</v>
      </c>
      <c r="AR11" s="4">
        <v>0.313</v>
      </c>
      <c r="AS11" s="4">
        <v>0.79700000000000004</v>
      </c>
      <c r="AT11" s="4">
        <v>7.2999999999999995E-2</v>
      </c>
      <c r="AU11" s="4">
        <v>6.9000000000000006E-2</v>
      </c>
      <c r="AV11" s="7">
        <v>0.437</v>
      </c>
      <c r="AW11" s="7">
        <v>0.90700000000000003</v>
      </c>
      <c r="AX11" s="7">
        <v>6.8000000000000005E-2</v>
      </c>
      <c r="AY11" s="7">
        <v>0.08</v>
      </c>
      <c r="AZ11" s="7">
        <v>0.79600000000000004</v>
      </c>
      <c r="BA11" s="8">
        <f>(AV11-AN11)/AN11</f>
        <v>0.11195928753180658</v>
      </c>
      <c r="BB11" s="8">
        <f>(AW11-AO11)/AO11</f>
        <v>4.2528735632183949E-2</v>
      </c>
      <c r="BC11" s="8">
        <f>(AX11-AP11)/AP11</f>
        <v>-0.14999999999999997</v>
      </c>
      <c r="BD11" s="8">
        <f>(AY11-AQ11)/AQ11</f>
        <v>-8.0459770114942444E-2</v>
      </c>
      <c r="BE11" s="4">
        <v>0.34</v>
      </c>
      <c r="BF11" s="4">
        <v>0.85199999999999998</v>
      </c>
      <c r="BG11" s="4">
        <v>6.2E-2</v>
      </c>
      <c r="BH11" s="4">
        <v>6.6000000000000003E-2</v>
      </c>
      <c r="BI11" s="4">
        <v>0.77500000000000002</v>
      </c>
      <c r="BJ11" s="5">
        <f>(BE11-AN11)/AN11</f>
        <v>-0.13486005089058523</v>
      </c>
      <c r="BK11" s="5">
        <f>(BF11-AO11)/AO11</f>
        <v>-2.068965517241381E-2</v>
      </c>
      <c r="BL11" s="5">
        <f>(BG11-AP11)/AP11</f>
        <v>-0.22500000000000003</v>
      </c>
      <c r="BM11" s="5">
        <f>(BH11-AQ11)/AQ11</f>
        <v>-0.24137931034482749</v>
      </c>
      <c r="BN11" s="4">
        <v>0.31</v>
      </c>
      <c r="BO11" s="4">
        <v>0.745</v>
      </c>
      <c r="BP11" s="4">
        <v>8.2000000000000003E-2</v>
      </c>
      <c r="BQ11" s="4">
        <v>0.187</v>
      </c>
      <c r="BR11" s="5">
        <f>(BN11-AR11)/AR11</f>
        <v>-9.5846645367412223E-3</v>
      </c>
      <c r="BS11" s="5">
        <f>(BO11-AS11)/AS11</f>
        <v>-6.5244667503136816E-2</v>
      </c>
      <c r="BT11" s="5">
        <f>(BP11-AT11)/AT11</f>
        <v>0.12328767123287683</v>
      </c>
      <c r="BU11" s="5">
        <f>(BQ11-AU11)/AU11</f>
        <v>1.7101449275362317</v>
      </c>
      <c r="BV11" s="4">
        <f>(BN11-BE11)/BE11</f>
        <v>-8.8235294117647134E-2</v>
      </c>
      <c r="BW11" s="4">
        <f>(BO11-BF11)/BF11</f>
        <v>-0.12558685446009388</v>
      </c>
      <c r="BX11" s="4">
        <f>(BP11-BG11)/BG11</f>
        <v>0.32258064516129037</v>
      </c>
      <c r="BY11" s="4">
        <f>(BQ11-BH11)/BH11</f>
        <v>1.8333333333333333</v>
      </c>
      <c r="BZ11" s="4">
        <v>0.42</v>
      </c>
      <c r="CA11" s="4">
        <v>0.80300000000000005</v>
      </c>
      <c r="CB11" s="4">
        <v>5.7000000000000002E-2</v>
      </c>
      <c r="CC11" s="4">
        <v>9.2999999999999999E-2</v>
      </c>
      <c r="CD11" s="4">
        <f>(BZ11-AR11)/AR11</f>
        <v>0.34185303514376991</v>
      </c>
      <c r="CE11" s="4">
        <f>(CA11-AS11)/AS11</f>
        <v>7.5282308657465555E-3</v>
      </c>
      <c r="CF11" s="4">
        <f>(CB11-AT11)/AT11</f>
        <v>-0.21917808219178075</v>
      </c>
      <c r="CG11" s="4">
        <f>(CC11-AU11)/AU11</f>
        <v>0.34782608695652162</v>
      </c>
      <c r="CH11" s="4">
        <f>(BZ11-BN11)/BN11</f>
        <v>0.35483870967741932</v>
      </c>
      <c r="CI11" s="4">
        <f>(CA11-BO11)/BO11</f>
        <v>7.7852348993288661E-2</v>
      </c>
      <c r="CJ11" s="4">
        <f>(CB11-BP11)/BP11</f>
        <v>-0.3048780487804878</v>
      </c>
      <c r="CK11" s="4">
        <f>(CC11-BQ11)/BQ11</f>
        <v>-0.50267379679144386</v>
      </c>
      <c r="CL11" s="4">
        <v>0.745</v>
      </c>
      <c r="CM11" s="4">
        <v>0.26</v>
      </c>
      <c r="CN11" s="4">
        <f>CL11/CM11</f>
        <v>2.8653846153846154</v>
      </c>
    </row>
    <row r="12" spans="1:92" x14ac:dyDescent="0.3">
      <c r="A12" s="1" t="s">
        <v>12</v>
      </c>
      <c r="B12">
        <v>410</v>
      </c>
      <c r="C12">
        <v>20</v>
      </c>
      <c r="D12">
        <v>4</v>
      </c>
      <c r="E12">
        <v>1</v>
      </c>
      <c r="F12">
        <v>2</v>
      </c>
      <c r="G12" s="3" t="s">
        <v>9</v>
      </c>
      <c r="H12" s="4">
        <v>7.41</v>
      </c>
      <c r="I12" s="4">
        <v>1.1000000000000001</v>
      </c>
      <c r="J12" s="4">
        <v>9.06</v>
      </c>
      <c r="K12" s="4">
        <v>1.28</v>
      </c>
      <c r="L12" s="4">
        <f>(H12-I12)/(H12+I12)</f>
        <v>0.74148061104582852</v>
      </c>
      <c r="M12" s="4">
        <f>(J12-K12)/(J12+K12)</f>
        <v>0.75241779497098649</v>
      </c>
      <c r="N12" s="4">
        <v>0.37</v>
      </c>
      <c r="O12" s="4">
        <v>0.74099999999999999</v>
      </c>
      <c r="P12" s="4">
        <v>0.109</v>
      </c>
      <c r="Q12" s="4">
        <v>0.08</v>
      </c>
      <c r="R12" s="4">
        <v>0.45</v>
      </c>
      <c r="S12" s="4">
        <v>0.63500000000000001</v>
      </c>
      <c r="T12" s="4">
        <v>0.16300000000000001</v>
      </c>
      <c r="U12" s="4">
        <v>0.09</v>
      </c>
      <c r="V12" s="4">
        <v>0.43</v>
      </c>
      <c r="W12" s="4">
        <v>0.85299999999999998</v>
      </c>
      <c r="X12" s="4">
        <v>8.2000000000000003E-2</v>
      </c>
      <c r="Y12" s="4">
        <v>0.05</v>
      </c>
      <c r="Z12" s="4">
        <v>0.64</v>
      </c>
      <c r="AA12" s="5">
        <f>(V12-N12)/N12</f>
        <v>0.16216216216216217</v>
      </c>
      <c r="AB12" s="5">
        <f>(W12-O12)/O12</f>
        <v>0.15114709851551955</v>
      </c>
      <c r="AC12" s="5">
        <f>(X12-P12)/P12</f>
        <v>-0.24770642201834858</v>
      </c>
      <c r="AD12" s="5">
        <f>(Y12-Q12)/Q12</f>
        <v>-0.375</v>
      </c>
      <c r="AE12" s="4">
        <v>0.53</v>
      </c>
      <c r="AF12" s="4">
        <v>0.75</v>
      </c>
      <c r="AG12" s="4">
        <v>0.13500000000000001</v>
      </c>
      <c r="AH12" s="4">
        <v>0.06</v>
      </c>
      <c r="AI12" s="4">
        <v>0.65</v>
      </c>
      <c r="AJ12" s="5">
        <f>(AE12-R12)/R12</f>
        <v>0.17777777777777781</v>
      </c>
      <c r="AK12" s="5">
        <f>(AF12-S12)/S12</f>
        <v>0.18110236220472439</v>
      </c>
      <c r="AL12" s="5">
        <f>(AG12-T12)/T12</f>
        <v>-0.17177914110429446</v>
      </c>
      <c r="AM12" s="5">
        <f>(AH12-U12)/U12</f>
        <v>-0.33333333333333331</v>
      </c>
      <c r="AN12" s="4">
        <v>0.48699999999999999</v>
      </c>
      <c r="AO12" s="4">
        <v>0.89200000000000002</v>
      </c>
      <c r="AP12" s="4">
        <v>0.112</v>
      </c>
      <c r="AQ12" s="4">
        <v>9.1999999999999998E-2</v>
      </c>
      <c r="AR12" s="4">
        <v>0.36</v>
      </c>
      <c r="AS12" s="4">
        <v>0.74099999999999999</v>
      </c>
      <c r="AT12" s="4">
        <v>0.105</v>
      </c>
      <c r="AU12" s="4">
        <v>7.3999999999999996E-2</v>
      </c>
      <c r="AV12" s="4">
        <v>0.53700000000000003</v>
      </c>
      <c r="AW12" s="4">
        <v>0.94599999999999995</v>
      </c>
      <c r="AX12" s="4">
        <v>8.2000000000000003E-2</v>
      </c>
      <c r="AY12" s="4">
        <v>6.4000000000000001E-2</v>
      </c>
      <c r="AZ12" s="4">
        <v>0.748</v>
      </c>
      <c r="BA12" s="6">
        <f>(AV12-AN12)/AN12</f>
        <v>0.10266940451745389</v>
      </c>
      <c r="BB12" s="6">
        <f>(AW12-AO12)/AO12</f>
        <v>6.0538116591928176E-2</v>
      </c>
      <c r="BC12" s="6">
        <f>(AX12-AP12)/AP12</f>
        <v>-0.26785714285714285</v>
      </c>
      <c r="BD12" s="6">
        <f>(AY12-AQ12)/AQ12</f>
        <v>-0.30434782608695649</v>
      </c>
      <c r="BE12" s="4">
        <v>0.41</v>
      </c>
      <c r="BF12" s="4">
        <v>0.84699999999999998</v>
      </c>
      <c r="BG12" s="4">
        <v>8.3000000000000004E-2</v>
      </c>
      <c r="BH12" s="4">
        <v>5.5E-2</v>
      </c>
      <c r="BI12" s="4">
        <v>0.73799999999999999</v>
      </c>
      <c r="BJ12" s="5">
        <f>(BE12-AN12)/AN12</f>
        <v>-0.15811088295687889</v>
      </c>
      <c r="BK12" s="5">
        <f>(BF12-AO12)/AO12</f>
        <v>-5.0448430493273584E-2</v>
      </c>
      <c r="BL12" s="5">
        <f>(BG12-AP12)/AP12</f>
        <v>-0.2589285714285714</v>
      </c>
      <c r="BM12" s="5">
        <f>(BH12-AQ12)/AQ12</f>
        <v>-0.40217391304347827</v>
      </c>
      <c r="BN12" s="4">
        <v>0.434</v>
      </c>
      <c r="BO12" s="4">
        <v>0.77200000000000002</v>
      </c>
      <c r="BP12" s="4">
        <v>0.10100000000000001</v>
      </c>
      <c r="BQ12" s="4">
        <v>0.22700000000000001</v>
      </c>
      <c r="BR12" s="5">
        <f>(BN12-AR12)/AR12</f>
        <v>0.2055555555555556</v>
      </c>
      <c r="BS12" s="5">
        <f>(BO12-AS12)/AS12</f>
        <v>4.183535762483135E-2</v>
      </c>
      <c r="BT12" s="5">
        <f>(BP12-AT12)/AT12</f>
        <v>-3.8095238095238002E-2</v>
      </c>
      <c r="BU12" s="5">
        <f>(BQ12-AU12)/AU12</f>
        <v>2.067567567567568</v>
      </c>
      <c r="BV12" s="4">
        <f>(BN12-BE12)/BE12</f>
        <v>5.8536585365853717E-2</v>
      </c>
      <c r="BW12" s="4">
        <f>(BO12-BF12)/BF12</f>
        <v>-8.8547815820543038E-2</v>
      </c>
      <c r="BX12" s="4">
        <f>(BP12-BG12)/BG12</f>
        <v>0.21686746987951808</v>
      </c>
      <c r="BY12" s="4">
        <f>(BQ12-BH12)/BH12</f>
        <v>3.1272727272727274</v>
      </c>
      <c r="BZ12" s="4">
        <v>0.44400000000000001</v>
      </c>
      <c r="CA12" s="4">
        <v>0.88400000000000001</v>
      </c>
      <c r="CB12" s="4">
        <v>7.1999999999999995E-2</v>
      </c>
      <c r="CC12" s="4">
        <v>4.4999999999999998E-2</v>
      </c>
      <c r="CD12" s="4">
        <f>(BZ12-AR12)/AR12</f>
        <v>0.23333333333333339</v>
      </c>
      <c r="CE12" s="4">
        <f>(CA12-AS12)/AS12</f>
        <v>0.19298245614035089</v>
      </c>
      <c r="CF12" s="4">
        <f>(CB12-AT12)/AT12</f>
        <v>-0.31428571428571433</v>
      </c>
      <c r="CG12" s="4">
        <f>(CC12-AU12)/AU12</f>
        <v>-0.39189189189189189</v>
      </c>
      <c r="CH12" s="4">
        <f>(BZ12-BN12)/BN12</f>
        <v>2.3041474654377902E-2</v>
      </c>
      <c r="CI12" s="4">
        <f>(CA12-BO12)/BO12</f>
        <v>0.14507772020725387</v>
      </c>
      <c r="CJ12" s="4">
        <f>(CB12-BP12)/BP12</f>
        <v>-0.28712871287128722</v>
      </c>
      <c r="CK12" s="4">
        <f>(CC12-BQ12)/BQ12</f>
        <v>-0.80176211453744484</v>
      </c>
      <c r="CL12" s="4">
        <v>0.69299999999999995</v>
      </c>
      <c r="CM12" s="4">
        <v>0.29499999999999998</v>
      </c>
      <c r="CN12" s="4">
        <f>CL12/CM12</f>
        <v>2.3491525423728814</v>
      </c>
    </row>
    <row r="13" spans="1:92" x14ac:dyDescent="0.3">
      <c r="A13" s="1" t="s">
        <v>13</v>
      </c>
      <c r="B13">
        <v>1147</v>
      </c>
      <c r="C13">
        <v>21</v>
      </c>
      <c r="D13">
        <v>5</v>
      </c>
      <c r="E13">
        <v>1</v>
      </c>
      <c r="F13">
        <v>3</v>
      </c>
      <c r="G13" s="3" t="s">
        <v>9</v>
      </c>
      <c r="H13" s="4">
        <v>4.3099999999999996</v>
      </c>
      <c r="I13" s="4">
        <v>1.1499999999999999</v>
      </c>
      <c r="J13" s="4">
        <v>5.01</v>
      </c>
      <c r="K13" s="4">
        <v>1.37</v>
      </c>
      <c r="L13" s="4">
        <f>(H13-I13)/(H13+I13)</f>
        <v>0.57875457875457881</v>
      </c>
      <c r="M13" s="4">
        <f>(J13-K13)/(J13+K13)</f>
        <v>0.57053291536050155</v>
      </c>
      <c r="N13" s="4">
        <v>0.21</v>
      </c>
      <c r="O13" s="4">
        <v>0.66900000000000004</v>
      </c>
      <c r="P13" s="4">
        <v>8.5999999999999993E-2</v>
      </c>
      <c r="Q13" s="4">
        <v>0.08</v>
      </c>
      <c r="R13" s="4">
        <v>0.24</v>
      </c>
      <c r="S13" s="4">
        <v>0.61099999999999999</v>
      </c>
      <c r="T13" s="4">
        <v>0.108</v>
      </c>
      <c r="U13" s="4">
        <v>0.1</v>
      </c>
      <c r="V13" s="4">
        <v>0.32</v>
      </c>
      <c r="W13" s="4">
        <v>0.90900000000000003</v>
      </c>
      <c r="X13" s="4">
        <v>4.4999999999999998E-2</v>
      </c>
      <c r="Y13" s="4">
        <v>0.03</v>
      </c>
      <c r="Z13" s="4">
        <v>0.21</v>
      </c>
      <c r="AA13" s="5">
        <f>(V13-N13)/N13</f>
        <v>0.52380952380952395</v>
      </c>
      <c r="AB13" s="5">
        <f>(W13-O13)/O13</f>
        <v>0.35874439461883406</v>
      </c>
      <c r="AC13" s="5">
        <f>(X13-P13)/P13</f>
        <v>-0.47674418604651159</v>
      </c>
      <c r="AD13" s="5">
        <f>(Y13-Q13)/Q13</f>
        <v>-0.625</v>
      </c>
      <c r="AE13" s="4">
        <v>0.38</v>
      </c>
      <c r="AF13" s="4">
        <v>0.879</v>
      </c>
      <c r="AG13" s="4">
        <v>0.06</v>
      </c>
      <c r="AH13" s="4">
        <v>0.04</v>
      </c>
      <c r="AI13" s="4">
        <v>0.23</v>
      </c>
      <c r="AJ13" s="5">
        <f>(AE13-R13)/R13</f>
        <v>0.58333333333333337</v>
      </c>
      <c r="AK13" s="5">
        <f>(AF13-S13)/S13</f>
        <v>0.43862520458265142</v>
      </c>
      <c r="AL13" s="5">
        <f>(AG13-T13)/T13</f>
        <v>-0.44444444444444448</v>
      </c>
      <c r="AM13" s="5">
        <f>(AH13-U13)/U13</f>
        <v>-0.6</v>
      </c>
      <c r="AN13" s="4">
        <v>0.17</v>
      </c>
      <c r="AO13" s="4">
        <v>0.78700000000000003</v>
      </c>
      <c r="AP13" s="4">
        <v>0.104</v>
      </c>
      <c r="AQ13" s="4">
        <v>9.1999999999999998E-2</v>
      </c>
      <c r="AR13" s="4">
        <v>0.114</v>
      </c>
      <c r="AS13" s="4">
        <v>0.67500000000000004</v>
      </c>
      <c r="AT13" s="4">
        <v>7.8E-2</v>
      </c>
      <c r="AU13" s="4">
        <v>7.8E-2</v>
      </c>
      <c r="AV13" s="4">
        <v>0.26</v>
      </c>
      <c r="AW13" s="4">
        <v>0.876</v>
      </c>
      <c r="AX13" s="4">
        <v>7.9000000000000001E-2</v>
      </c>
      <c r="AY13" s="4">
        <v>7.2999999999999995E-2</v>
      </c>
      <c r="AZ13" s="4">
        <v>0.48699999999999999</v>
      </c>
      <c r="BA13" s="6">
        <f>(AV13-AN13)/AN13</f>
        <v>0.52941176470588225</v>
      </c>
      <c r="BB13" s="6">
        <f>(AW13-AO13)/AO13</f>
        <v>0.11308767471410415</v>
      </c>
      <c r="BC13" s="6">
        <f>(AX13-AP13)/AP13</f>
        <v>-0.24038461538461534</v>
      </c>
      <c r="BD13" s="6">
        <f>(AY13-AQ13)/AQ13</f>
        <v>-0.20652173913043481</v>
      </c>
      <c r="BE13" s="4">
        <v>0.30499999999999999</v>
      </c>
      <c r="BF13" s="4">
        <v>0.81499999999999995</v>
      </c>
      <c r="BG13" s="4">
        <v>5.8999999999999997E-2</v>
      </c>
      <c r="BH13" s="4">
        <v>6.7000000000000004E-2</v>
      </c>
      <c r="BI13" s="4">
        <v>0.41399999999999998</v>
      </c>
      <c r="BJ13" s="5">
        <f>(BE13-AN13)/AN13</f>
        <v>0.79411764705882337</v>
      </c>
      <c r="BK13" s="5">
        <f>(BF13-AO13)/AO13</f>
        <v>3.5578144853875365E-2</v>
      </c>
      <c r="BL13" s="5">
        <f>(BG13-AP13)/AP13</f>
        <v>-0.43269230769230771</v>
      </c>
      <c r="BM13" s="5">
        <f>(BH13-AQ13)/AQ13</f>
        <v>-0.27173913043478254</v>
      </c>
      <c r="BN13" s="4">
        <v>0.27700000000000002</v>
      </c>
      <c r="BO13" s="4">
        <v>0.72099999999999997</v>
      </c>
      <c r="BP13" s="4">
        <v>7.1999999999999995E-2</v>
      </c>
      <c r="BQ13" s="4">
        <v>0.13600000000000001</v>
      </c>
      <c r="BR13" s="5">
        <f>(BN13-AR13)/AR13</f>
        <v>1.429824561403509</v>
      </c>
      <c r="BS13" s="5">
        <f>(BO13-AS13)/AS13</f>
        <v>6.8148148148148041E-2</v>
      </c>
      <c r="BT13" s="5">
        <f>(BP13-AT13)/AT13</f>
        <v>-7.6923076923076997E-2</v>
      </c>
      <c r="BU13" s="5">
        <f>(BQ13-AU13)/AU13</f>
        <v>0.74358974358974372</v>
      </c>
      <c r="BV13" s="4">
        <f>(BN13-BE13)/BE13</f>
        <v>-9.1803278688524489E-2</v>
      </c>
      <c r="BW13" s="4">
        <f>(BO13-BF13)/BF13</f>
        <v>-0.11533742331288341</v>
      </c>
      <c r="BX13" s="4">
        <f>(BP13-BG13)/BG13</f>
        <v>0.22033898305084743</v>
      </c>
      <c r="BY13" s="4">
        <f>(BQ13-BH13)/BH13</f>
        <v>1.0298507462686568</v>
      </c>
      <c r="BZ13" s="4">
        <v>0.30499999999999999</v>
      </c>
      <c r="CA13" s="4">
        <v>0.86599999999999999</v>
      </c>
      <c r="CB13" s="4">
        <v>0.05</v>
      </c>
      <c r="CC13" s="4">
        <v>4.7E-2</v>
      </c>
      <c r="CD13" s="4">
        <f>(BZ13-AR13)/AR13</f>
        <v>1.6754385964912279</v>
      </c>
      <c r="CE13" s="4">
        <f>(CA13-AS13)/AS13</f>
        <v>0.28296296296296286</v>
      </c>
      <c r="CF13" s="4">
        <f>(CB13-AT13)/AT13</f>
        <v>-0.35897435897435892</v>
      </c>
      <c r="CG13" s="4">
        <f>(CC13-AU13)/AU13</f>
        <v>-0.39743589743589741</v>
      </c>
      <c r="CH13" s="4">
        <f>(BZ13-BN13)/BN13</f>
        <v>0.10108303249097461</v>
      </c>
      <c r="CI13" s="4">
        <f>(CA13-BO13)/BO13</f>
        <v>0.2011095700416089</v>
      </c>
      <c r="CJ13" s="4">
        <f>(CB13-BP13)/BP13</f>
        <v>-0.30555555555555547</v>
      </c>
      <c r="CK13" s="4">
        <f>(CC13-BQ13)/BQ13</f>
        <v>-0.65441176470588236</v>
      </c>
      <c r="CL13" s="4">
        <v>0.57699999999999996</v>
      </c>
      <c r="CM13" s="4">
        <v>0.503</v>
      </c>
      <c r="CN13" s="4">
        <f>CL13/CM13</f>
        <v>1.1471172962226639</v>
      </c>
    </row>
    <row r="14" spans="1:92" x14ac:dyDescent="0.3">
      <c r="A14" s="1" t="s">
        <v>14</v>
      </c>
      <c r="B14">
        <v>502</v>
      </c>
      <c r="C14">
        <v>50</v>
      </c>
      <c r="D14">
        <v>5</v>
      </c>
      <c r="E14">
        <v>2</v>
      </c>
      <c r="F14">
        <v>3</v>
      </c>
      <c r="G14" s="3" t="s">
        <v>9</v>
      </c>
      <c r="H14" s="4">
        <v>14.8</v>
      </c>
      <c r="I14" s="4">
        <v>3.5</v>
      </c>
      <c r="J14" s="4">
        <v>19.02</v>
      </c>
      <c r="K14" s="4">
        <v>3.84</v>
      </c>
      <c r="L14" s="4">
        <f>(H14-I14)/(H14+I14)</f>
        <v>0.61748633879781423</v>
      </c>
      <c r="M14" s="4">
        <f>(J14-K14)/(J14+K14)</f>
        <v>0.66404199475065617</v>
      </c>
      <c r="N14" s="4">
        <v>0.3</v>
      </c>
      <c r="O14" s="4">
        <v>0.57699999999999996</v>
      </c>
      <c r="P14" s="4">
        <v>9.0999999999999998E-2</v>
      </c>
      <c r="Q14" s="4">
        <v>0.09</v>
      </c>
      <c r="R14" s="4">
        <v>0.38</v>
      </c>
      <c r="S14" s="4">
        <v>0.47599999999999998</v>
      </c>
      <c r="T14" s="4">
        <v>0.13300000000000001</v>
      </c>
      <c r="U14" s="4">
        <v>0.1</v>
      </c>
      <c r="V14" s="4">
        <v>0.41</v>
      </c>
      <c r="W14" s="4">
        <v>0.79</v>
      </c>
      <c r="X14" s="4">
        <v>6.4000000000000001E-2</v>
      </c>
      <c r="Y14" s="4">
        <v>0.05</v>
      </c>
      <c r="Z14" s="4">
        <v>0.41299999999999998</v>
      </c>
      <c r="AA14" s="5">
        <f>(V14-N14)/N14</f>
        <v>0.36666666666666664</v>
      </c>
      <c r="AB14" s="5">
        <f>(W14-O14)/O14</f>
        <v>0.36915077989601403</v>
      </c>
      <c r="AC14" s="5">
        <f>(X14-P14)/P14</f>
        <v>-0.29670329670329665</v>
      </c>
      <c r="AD14" s="5">
        <f>(Y14-Q14)/Q14</f>
        <v>-0.44444444444444442</v>
      </c>
      <c r="AE14" s="4">
        <v>0.51</v>
      </c>
      <c r="AF14" s="4">
        <v>0.63500000000000001</v>
      </c>
      <c r="AG14" s="4">
        <v>0.111</v>
      </c>
      <c r="AH14" s="4">
        <v>0.05</v>
      </c>
      <c r="AI14" s="4">
        <v>0.41299999999999998</v>
      </c>
      <c r="AJ14" s="5">
        <f>(AE14-R14)/R14</f>
        <v>0.34210526315789475</v>
      </c>
      <c r="AK14" s="5">
        <f>(AF14-S14)/S14</f>
        <v>0.33403361344537824</v>
      </c>
      <c r="AL14" s="5">
        <f>(AG14-T14)/T14</f>
        <v>-0.16541353383458651</v>
      </c>
      <c r="AM14" s="5">
        <f>(AH14-U14)/U14</f>
        <v>-0.5</v>
      </c>
      <c r="AN14" s="4">
        <v>0.42</v>
      </c>
      <c r="AO14" s="4">
        <v>0.81100000000000005</v>
      </c>
      <c r="AP14" s="4">
        <v>8.1000000000000003E-2</v>
      </c>
      <c r="AQ14" s="4">
        <v>0.11</v>
      </c>
      <c r="AR14" s="4">
        <v>0.42</v>
      </c>
      <c r="AS14" s="4">
        <v>0.81100000000000005</v>
      </c>
      <c r="AT14" s="4">
        <v>8.1000000000000003E-2</v>
      </c>
      <c r="AU14" s="4">
        <v>0.11</v>
      </c>
      <c r="AV14" s="4">
        <v>0.51</v>
      </c>
      <c r="AW14" s="4">
        <v>0.90600000000000003</v>
      </c>
      <c r="AX14" s="4">
        <v>5.7000000000000002E-2</v>
      </c>
      <c r="AY14" s="4">
        <v>0.08</v>
      </c>
      <c r="AZ14" s="4">
        <v>0.68500000000000005</v>
      </c>
      <c r="BA14" s="6">
        <f>(AV14-AN14)/AN14</f>
        <v>0.21428571428571436</v>
      </c>
      <c r="BB14" s="6">
        <f>(AW14-AO14)/AO14</f>
        <v>0.11713933415536371</v>
      </c>
      <c r="BC14" s="6">
        <f>(AX14-AP14)/AP14</f>
        <v>-0.29629629629629628</v>
      </c>
      <c r="BD14" s="6">
        <f>(AY14-AQ14)/AQ14</f>
        <v>-0.27272727272727271</v>
      </c>
      <c r="BE14" s="4">
        <v>0.51</v>
      </c>
      <c r="BF14" s="4">
        <v>0.90600000000000003</v>
      </c>
      <c r="BG14" s="4">
        <v>5.7000000000000002E-2</v>
      </c>
      <c r="BH14" s="4">
        <v>0.08</v>
      </c>
      <c r="BI14" s="4">
        <v>0.68500000000000005</v>
      </c>
      <c r="BJ14" s="5">
        <f>(BE14-AN14)/AN14</f>
        <v>0.21428571428571436</v>
      </c>
      <c r="BK14" s="5">
        <f>(BF14-AO14)/AO14</f>
        <v>0.11713933415536371</v>
      </c>
      <c r="BL14" s="5">
        <f>(BG14-AP14)/AP14</f>
        <v>-0.29629629629629628</v>
      </c>
      <c r="BM14" s="5">
        <f>(BH14-AQ14)/AQ14</f>
        <v>-0.27272727272727271</v>
      </c>
      <c r="BN14" s="4">
        <v>0.49</v>
      </c>
      <c r="BO14" s="4">
        <v>0.435</v>
      </c>
      <c r="BP14" s="4">
        <v>0.14000000000000001</v>
      </c>
      <c r="BQ14" s="4">
        <v>0.27</v>
      </c>
      <c r="BR14" s="5">
        <f>(BN14-AR14)/AR14</f>
        <v>0.16666666666666669</v>
      </c>
      <c r="BS14" s="5">
        <f>(BO14-AS14)/AS14</f>
        <v>-0.46362515413070288</v>
      </c>
      <c r="BT14" s="5">
        <f>(BP14-AT14)/AT14</f>
        <v>0.72839506172839519</v>
      </c>
      <c r="BU14" s="5">
        <f>(BQ14-AU14)/AU14</f>
        <v>1.4545454545454548</v>
      </c>
      <c r="BV14" s="4">
        <f>(BN14-BE14)/BE14</f>
        <v>-3.9215686274509838E-2</v>
      </c>
      <c r="BW14" s="4">
        <f>(BO14-BF14)/BF14</f>
        <v>-0.51986754966887416</v>
      </c>
      <c r="BX14" s="4">
        <f>(BP14-BG14)/BG14</f>
        <v>1.4561403508771933</v>
      </c>
      <c r="BY14" s="4">
        <f>(BQ14-BH14)/BH14</f>
        <v>2.375</v>
      </c>
      <c r="BZ14" s="4">
        <v>0.55000000000000004</v>
      </c>
      <c r="CA14" s="4">
        <v>0.93799999999999994</v>
      </c>
      <c r="CB14" s="4">
        <v>4.5999999999999999E-2</v>
      </c>
      <c r="CC14" s="4">
        <v>6.5000000000000002E-2</v>
      </c>
      <c r="CD14" s="4">
        <f>(BZ14-AR14)/AR14</f>
        <v>0.3095238095238097</v>
      </c>
      <c r="CE14" s="4">
        <f>(CA14-AS14)/AS14</f>
        <v>0.15659679408138086</v>
      </c>
      <c r="CF14" s="4">
        <f>(CB14-AT14)/AT14</f>
        <v>-0.4320987654320988</v>
      </c>
      <c r="CG14" s="4">
        <f>(CC14-AU14)/AU14</f>
        <v>-0.40909090909090906</v>
      </c>
      <c r="CH14" s="4">
        <f>(BZ14-BN14)/BN14</f>
        <v>0.12244897959183684</v>
      </c>
      <c r="CI14" s="4">
        <f>(CA14-BO14)/BO14</f>
        <v>1.1563218390804595</v>
      </c>
      <c r="CJ14" s="4">
        <f>(CB14-BP14)/BP14</f>
        <v>-0.67142857142857149</v>
      </c>
      <c r="CK14" s="4">
        <f>(CC14-BQ14)/BQ14</f>
        <v>-0.7592592592592593</v>
      </c>
      <c r="CL14" s="4">
        <v>0.64</v>
      </c>
      <c r="CM14" s="4">
        <v>0.35799999999999998</v>
      </c>
      <c r="CN14" s="4">
        <f>CL14/CM14</f>
        <v>1.787709497206704</v>
      </c>
    </row>
    <row r="15" spans="1:92" x14ac:dyDescent="0.3">
      <c r="A15" s="1" t="s">
        <v>15</v>
      </c>
      <c r="B15">
        <v>514</v>
      </c>
      <c r="C15">
        <v>18</v>
      </c>
      <c r="D15">
        <v>5</v>
      </c>
      <c r="E15">
        <v>6</v>
      </c>
      <c r="F15">
        <v>6</v>
      </c>
      <c r="G15" s="3" t="s">
        <v>9</v>
      </c>
      <c r="H15" s="4">
        <v>3.89</v>
      </c>
      <c r="I15" s="4">
        <v>0.78</v>
      </c>
      <c r="J15" s="4">
        <v>4.7300000000000004</v>
      </c>
      <c r="K15" s="4">
        <v>0.85</v>
      </c>
      <c r="L15" s="4">
        <f>(H15-I15)/(H15+I15)</f>
        <v>0.66595289079229125</v>
      </c>
      <c r="M15" s="4">
        <f>(J15-K15)/(J15+K15)</f>
        <v>0.69534050179211471</v>
      </c>
      <c r="N15" s="4">
        <v>0.22</v>
      </c>
      <c r="O15" s="4">
        <v>0.69399999999999995</v>
      </c>
      <c r="P15" s="4">
        <v>8.3000000000000004E-2</v>
      </c>
      <c r="Q15" s="4">
        <v>7.0000000000000007E-2</v>
      </c>
      <c r="R15" s="4">
        <v>0.26</v>
      </c>
      <c r="S15" s="4">
        <v>0.64400000000000002</v>
      </c>
      <c r="T15" s="4">
        <v>0.108</v>
      </c>
      <c r="U15" s="4">
        <v>0.08</v>
      </c>
      <c r="V15" s="4">
        <v>0.4</v>
      </c>
      <c r="W15" s="4">
        <v>0.91500000000000004</v>
      </c>
      <c r="X15" s="4">
        <v>4.3999999999999997E-2</v>
      </c>
      <c r="Y15" s="4">
        <v>0.03</v>
      </c>
      <c r="Z15" s="4">
        <v>0.33100000000000002</v>
      </c>
      <c r="AA15" s="5">
        <f>(V15-N15)/N15</f>
        <v>0.81818181818181823</v>
      </c>
      <c r="AB15" s="5">
        <f>(W15-O15)/O15</f>
        <v>0.31844380403458228</v>
      </c>
      <c r="AC15" s="5">
        <f>(X15-P15)/P15</f>
        <v>-0.46987951807228923</v>
      </c>
      <c r="AD15" s="5">
        <f>(Y15-Q15)/Q15</f>
        <v>-0.57142857142857151</v>
      </c>
      <c r="AE15" s="4">
        <v>0.45</v>
      </c>
      <c r="AF15" s="4">
        <v>0.84699999999999998</v>
      </c>
      <c r="AG15" s="4">
        <v>7.0999999999999994E-2</v>
      </c>
      <c r="AH15" s="4">
        <v>0.03</v>
      </c>
      <c r="AI15" s="4">
        <v>0.48599999999999999</v>
      </c>
      <c r="AJ15" s="5">
        <f>(AE15-R15)/R15</f>
        <v>0.73076923076923073</v>
      </c>
      <c r="AK15" s="5">
        <f>(AF15-S15)/S15</f>
        <v>0.31521739130434773</v>
      </c>
      <c r="AL15" s="5">
        <f>(AG15-T15)/T15</f>
        <v>-0.34259259259259267</v>
      </c>
      <c r="AM15" s="5">
        <f>(AH15-U15)/U15</f>
        <v>-0.625</v>
      </c>
      <c r="AN15" s="4">
        <v>0.21</v>
      </c>
      <c r="AO15" s="4">
        <v>0.71</v>
      </c>
      <c r="AP15" s="4">
        <v>7.2999999999999995E-2</v>
      </c>
      <c r="AQ15" s="4">
        <v>6.7000000000000004E-2</v>
      </c>
      <c r="AR15" s="4">
        <v>0.21</v>
      </c>
      <c r="AS15" s="4">
        <v>0.71</v>
      </c>
      <c r="AT15" s="4">
        <v>7.2999999999999995E-2</v>
      </c>
      <c r="AU15" s="4">
        <v>6.7000000000000004E-2</v>
      </c>
      <c r="AV15" s="4">
        <v>0.29499999999999998</v>
      </c>
      <c r="AW15" s="4">
        <v>0.86599999999999999</v>
      </c>
      <c r="AX15" s="4">
        <v>0.05</v>
      </c>
      <c r="AY15" s="4">
        <v>5.0999999999999997E-2</v>
      </c>
      <c r="AZ15" s="4">
        <v>0.625</v>
      </c>
      <c r="BA15" s="6">
        <f>(AV15-AN15)/AN15</f>
        <v>0.40476190476190477</v>
      </c>
      <c r="BB15" s="6">
        <f>(AW15-AO15)/AO15</f>
        <v>0.21971830985915497</v>
      </c>
      <c r="BC15" s="6">
        <f>(AX15-AP15)/AP15</f>
        <v>-0.31506849315068486</v>
      </c>
      <c r="BD15" s="6">
        <f>(AY15-AQ15)/AQ15</f>
        <v>-0.23880597014925384</v>
      </c>
      <c r="BE15" s="4">
        <v>0.29499999999999998</v>
      </c>
      <c r="BF15" s="4">
        <v>0.86599999999999999</v>
      </c>
      <c r="BG15" s="4">
        <v>0.05</v>
      </c>
      <c r="BH15" s="4">
        <v>5.0999999999999997E-2</v>
      </c>
      <c r="BI15" s="4">
        <v>0.625</v>
      </c>
      <c r="BJ15" s="5">
        <f>(BE15-AN15)/AN15</f>
        <v>0.40476190476190477</v>
      </c>
      <c r="BK15" s="5">
        <f>(BF15-AO15)/AO15</f>
        <v>0.21971830985915497</v>
      </c>
      <c r="BL15" s="5">
        <f>(BG15-AP15)/AP15</f>
        <v>-0.31506849315068486</v>
      </c>
      <c r="BM15" s="5">
        <f>(BH15-AQ15)/AQ15</f>
        <v>-0.23880597014925384</v>
      </c>
      <c r="BN15" s="4">
        <v>0.32100000000000001</v>
      </c>
      <c r="BO15" s="4">
        <v>0.44700000000000001</v>
      </c>
      <c r="BP15" s="4">
        <v>9.8000000000000004E-2</v>
      </c>
      <c r="BQ15" s="4">
        <v>0.186</v>
      </c>
      <c r="BR15" s="5">
        <f>(BN15-AR15)/AR15</f>
        <v>0.52857142857142869</v>
      </c>
      <c r="BS15" s="5">
        <f>(BO15-AS15)/AS15</f>
        <v>-0.37042253521126756</v>
      </c>
      <c r="BT15" s="5">
        <f>(BP15-AT15)/AT15</f>
        <v>0.34246575342465768</v>
      </c>
      <c r="BU15" s="5">
        <f>(BQ15-AU15)/AU15</f>
        <v>1.7761194029850744</v>
      </c>
      <c r="BV15" s="4">
        <f>(BN15-BE15)/BE15</f>
        <v>8.8135593220339065E-2</v>
      </c>
      <c r="BW15" s="4">
        <f>(BO15-BF15)/BF15</f>
        <v>-0.4838337182448037</v>
      </c>
      <c r="BX15" s="4">
        <f>(BP15-BG15)/BG15</f>
        <v>0.96</v>
      </c>
      <c r="BY15" s="4">
        <f>(BQ15-BH15)/BH15</f>
        <v>2.6470588235294121</v>
      </c>
      <c r="BZ15" s="4">
        <v>0.316</v>
      </c>
      <c r="CA15" s="4">
        <v>0.87</v>
      </c>
      <c r="CB15" s="4">
        <v>4.9000000000000002E-2</v>
      </c>
      <c r="CC15" s="4">
        <v>0.05</v>
      </c>
      <c r="CD15" s="4">
        <f>(BZ15-AR15)/AR15</f>
        <v>0.50476190476190486</v>
      </c>
      <c r="CE15" s="4">
        <f>(CA15-AS15)/AS15</f>
        <v>0.2253521126760564</v>
      </c>
      <c r="CF15" s="4">
        <f>(CB15-AT15)/AT15</f>
        <v>-0.32876712328767116</v>
      </c>
      <c r="CG15" s="4">
        <f>(CC15-AU15)/AU15</f>
        <v>-0.2537313432835821</v>
      </c>
      <c r="CH15" s="4">
        <f>(BZ15-BN15)/BN15</f>
        <v>-1.5576323987538955E-2</v>
      </c>
      <c r="CI15" s="4">
        <f>(CA15-BO15)/BO15</f>
        <v>0.94630872483221473</v>
      </c>
      <c r="CJ15" s="4">
        <f>(CB15-BP15)/BP15</f>
        <v>-0.5</v>
      </c>
      <c r="CK15" s="4">
        <f>(CC15-BQ15)/BQ15</f>
        <v>-0.73118279569892475</v>
      </c>
      <c r="CL15" s="4">
        <v>0.45500000000000002</v>
      </c>
      <c r="CM15" s="4">
        <v>0.498</v>
      </c>
      <c r="CN15" s="4">
        <f>CL15/CM15</f>
        <v>0.91365461847389562</v>
      </c>
    </row>
    <row r="16" spans="1:92" x14ac:dyDescent="0.3">
      <c r="A16" s="1" t="s">
        <v>16</v>
      </c>
      <c r="B16">
        <v>483</v>
      </c>
      <c r="C16">
        <v>21</v>
      </c>
      <c r="D16">
        <v>4</v>
      </c>
      <c r="E16">
        <v>3</v>
      </c>
      <c r="F16">
        <v>3</v>
      </c>
      <c r="G16" s="3" t="s">
        <v>9</v>
      </c>
      <c r="H16" s="4">
        <v>8.5</v>
      </c>
      <c r="I16" s="4">
        <v>0.59</v>
      </c>
      <c r="J16" s="4">
        <v>10.45</v>
      </c>
      <c r="K16" s="4">
        <v>0.68</v>
      </c>
      <c r="L16" s="4">
        <f>(H16-I16)/(H16+I16)</f>
        <v>0.87018701870187021</v>
      </c>
      <c r="M16" s="4">
        <f>(J16-K16)/(J16+K16)</f>
        <v>0.87780772686433073</v>
      </c>
      <c r="N16" s="4">
        <v>0.4</v>
      </c>
      <c r="O16" s="4">
        <v>0.874</v>
      </c>
      <c r="P16" s="4">
        <v>7.3999999999999996E-2</v>
      </c>
      <c r="Q16" s="4">
        <v>0.05</v>
      </c>
      <c r="R16" s="4">
        <v>0.5</v>
      </c>
      <c r="S16" s="4">
        <v>0.80600000000000005</v>
      </c>
      <c r="T16" s="4">
        <v>0.114</v>
      </c>
      <c r="U16" s="4">
        <v>0.06</v>
      </c>
      <c r="V16" s="4">
        <v>0.47</v>
      </c>
      <c r="W16" s="4">
        <v>0.94</v>
      </c>
      <c r="X16" s="4">
        <v>5.0999999999999997E-2</v>
      </c>
      <c r="Y16" s="4">
        <v>0.03</v>
      </c>
      <c r="Z16" s="4">
        <v>0.52500000000000002</v>
      </c>
      <c r="AA16" s="5">
        <f>(V16-N16)/N16</f>
        <v>0.17499999999999988</v>
      </c>
      <c r="AB16" s="5">
        <f>(W16-O16)/O16</f>
        <v>7.5514874141876367E-2</v>
      </c>
      <c r="AC16" s="5">
        <f>(X16-P16)/P16</f>
        <v>-0.3108108108108108</v>
      </c>
      <c r="AD16" s="5">
        <f>(Y16-Q16)/Q16</f>
        <v>-0.40000000000000008</v>
      </c>
      <c r="AE16" s="4">
        <v>0.56999999999999995</v>
      </c>
      <c r="AF16" s="4">
        <v>0.874</v>
      </c>
      <c r="AG16" s="4">
        <v>9.0999999999999998E-2</v>
      </c>
      <c r="AH16" s="4">
        <v>0.04</v>
      </c>
      <c r="AI16" s="4">
        <v>0.5</v>
      </c>
      <c r="AJ16" s="5">
        <f>(AE16-R16)/R16</f>
        <v>0.1399999999999999</v>
      </c>
      <c r="AK16" s="5">
        <f>(AF16-S16)/S16</f>
        <v>8.4367245657568174E-2</v>
      </c>
      <c r="AL16" s="5">
        <f>(AG16-T16)/T16</f>
        <v>-0.20175438596491233</v>
      </c>
      <c r="AM16" s="5">
        <f>(AH16-U16)/U16</f>
        <v>-0.33333333333333331</v>
      </c>
      <c r="AN16" s="4">
        <v>0.5</v>
      </c>
      <c r="AO16" s="4">
        <v>0.95299999999999996</v>
      </c>
      <c r="AP16" s="4">
        <v>6.8000000000000005E-2</v>
      </c>
      <c r="AQ16" s="4">
        <v>5.8000000000000003E-2</v>
      </c>
      <c r="AR16" s="4">
        <v>0.4</v>
      </c>
      <c r="AS16" s="4">
        <v>0.88700000000000001</v>
      </c>
      <c r="AT16" s="4">
        <v>0.06</v>
      </c>
      <c r="AU16" s="4">
        <v>0.05</v>
      </c>
      <c r="AV16" s="4">
        <v>0.53</v>
      </c>
      <c r="AW16" s="4">
        <v>0.95599999999999996</v>
      </c>
      <c r="AX16" s="4">
        <v>6.6000000000000003E-2</v>
      </c>
      <c r="AY16" s="4">
        <v>5.5E-2</v>
      </c>
      <c r="AZ16" s="4">
        <v>0.93300000000000005</v>
      </c>
      <c r="BA16" s="6">
        <f>(AV16-AN16)/AN16</f>
        <v>6.0000000000000053E-2</v>
      </c>
      <c r="BB16" s="6">
        <f>(AW16-AO16)/AO16</f>
        <v>3.1479538300104963E-3</v>
      </c>
      <c r="BC16" s="6">
        <f>(AX16-AP16)/AP16</f>
        <v>-2.9411764705882377E-2</v>
      </c>
      <c r="BD16" s="6">
        <f>(AY16-AQ16)/AQ16</f>
        <v>-5.1724137931034524E-2</v>
      </c>
      <c r="BE16" s="4">
        <v>0.432</v>
      </c>
      <c r="BF16" s="4">
        <v>0.89200000000000002</v>
      </c>
      <c r="BG16" s="4">
        <v>5.8999999999999997E-2</v>
      </c>
      <c r="BH16" s="4">
        <v>4.9000000000000002E-2</v>
      </c>
      <c r="BI16" s="4">
        <v>0.94499999999999995</v>
      </c>
      <c r="BJ16" s="5">
        <f>(BE16-AN16)/AN16</f>
        <v>-0.13600000000000001</v>
      </c>
      <c r="BK16" s="5">
        <f>(BF16-AO16)/AO16</f>
        <v>-6.4008394543546634E-2</v>
      </c>
      <c r="BL16" s="5">
        <f>(BG16-AP16)/AP16</f>
        <v>-0.1323529411764707</v>
      </c>
      <c r="BM16" s="5">
        <f>(BH16-AQ16)/AQ16</f>
        <v>-0.15517241379310345</v>
      </c>
      <c r="BN16" s="4">
        <v>0.45</v>
      </c>
      <c r="BO16" s="4">
        <v>0.625</v>
      </c>
      <c r="BP16" s="4">
        <v>0.109</v>
      </c>
      <c r="BQ16" s="4">
        <v>0.32</v>
      </c>
      <c r="BR16" s="5">
        <f>(BN16-AR16)/AR16</f>
        <v>0.12499999999999997</v>
      </c>
      <c r="BS16" s="5">
        <f>(BO16-AS16)/AS16</f>
        <v>-0.29537767756482525</v>
      </c>
      <c r="BT16" s="5">
        <f>(BP16-AT16)/AT16</f>
        <v>0.81666666666666676</v>
      </c>
      <c r="BU16" s="5">
        <f>(BQ16-AU16)/AU16</f>
        <v>5.4</v>
      </c>
      <c r="BV16" s="4">
        <f>(BN16-BE16)/BE16</f>
        <v>4.1666666666666706E-2</v>
      </c>
      <c r="BW16" s="4">
        <f>(BO16-BF16)/BF16</f>
        <v>-0.29932735426008972</v>
      </c>
      <c r="BX16" s="4">
        <f>(BP16-BG16)/BG16</f>
        <v>0.84745762711864414</v>
      </c>
      <c r="BY16" s="4">
        <f>(BQ16-BH16)/BH16</f>
        <v>5.5306122448979593</v>
      </c>
      <c r="BZ16" s="4">
        <v>0.46899999999999997</v>
      </c>
      <c r="CA16" s="4">
        <v>0.91400000000000003</v>
      </c>
      <c r="CB16" s="4">
        <v>5.1999999999999998E-2</v>
      </c>
      <c r="CC16" s="4">
        <v>4.3999999999999997E-2</v>
      </c>
      <c r="CD16" s="4">
        <f>(BZ16-AR16)/AR16</f>
        <v>0.17249999999999988</v>
      </c>
      <c r="CE16" s="4">
        <f>(CA16-AS16)/AS16</f>
        <v>3.0439684329199575E-2</v>
      </c>
      <c r="CF16" s="4">
        <f>(CB16-AT16)/AT16</f>
        <v>-0.13333333333333333</v>
      </c>
      <c r="CG16" s="4">
        <f>(CC16-AU16)/AU16</f>
        <v>-0.12000000000000011</v>
      </c>
      <c r="CH16" s="4">
        <f>(BZ16-BN16)/BN16</f>
        <v>4.2222222222222133E-2</v>
      </c>
      <c r="CI16" s="4">
        <f>(CA16-BO16)/BO16</f>
        <v>0.46240000000000003</v>
      </c>
      <c r="CJ16" s="4">
        <f>(CB16-BP16)/BP16</f>
        <v>-0.52293577981651373</v>
      </c>
      <c r="CK16" s="4">
        <f>(CC16-BQ16)/BQ16</f>
        <v>-0.86250000000000004</v>
      </c>
      <c r="CL16" s="4">
        <v>0.84899999999999998</v>
      </c>
      <c r="CM16" s="4">
        <v>0.151</v>
      </c>
      <c r="CN16" s="4">
        <f>CL16/CM16</f>
        <v>5.6225165562913908</v>
      </c>
    </row>
    <row r="17" spans="1:92" x14ac:dyDescent="0.3">
      <c r="A17" s="1" t="s">
        <v>17</v>
      </c>
      <c r="B17">
        <v>971</v>
      </c>
      <c r="C17">
        <v>21</v>
      </c>
      <c r="D17">
        <v>4</v>
      </c>
      <c r="E17">
        <v>3</v>
      </c>
      <c r="F17">
        <v>3</v>
      </c>
      <c r="G17" s="3" t="s">
        <v>9</v>
      </c>
      <c r="H17" s="4">
        <v>11.17</v>
      </c>
      <c r="I17" s="4">
        <v>0.67</v>
      </c>
      <c r="J17" s="4">
        <v>12.74</v>
      </c>
      <c r="K17" s="4">
        <v>0.7</v>
      </c>
      <c r="L17" s="4">
        <f>(H17-I17)/(H17+I17)</f>
        <v>0.88682432432432434</v>
      </c>
      <c r="M17" s="4">
        <f>(J17-K17)/(J17+K17)</f>
        <v>0.89583333333333348</v>
      </c>
      <c r="N17" s="4">
        <v>0.53</v>
      </c>
      <c r="O17" s="4">
        <v>0.88900000000000001</v>
      </c>
      <c r="P17" s="4">
        <v>8.7999999999999995E-2</v>
      </c>
      <c r="Q17" s="4">
        <v>0.04</v>
      </c>
      <c r="R17" s="4">
        <v>0.61</v>
      </c>
      <c r="S17" s="4">
        <v>0.85799999999999998</v>
      </c>
      <c r="T17" s="4">
        <v>0.113</v>
      </c>
      <c r="U17" s="4">
        <v>0.05</v>
      </c>
      <c r="V17" s="4">
        <v>0.53</v>
      </c>
      <c r="W17" s="4">
        <v>0.95299999999999996</v>
      </c>
      <c r="X17" s="4">
        <v>5.7000000000000002E-2</v>
      </c>
      <c r="Y17" s="4">
        <v>0.02</v>
      </c>
      <c r="Z17" s="4">
        <v>0.6</v>
      </c>
      <c r="AA17" s="5">
        <f>(V17-N17)/N17</f>
        <v>0</v>
      </c>
      <c r="AB17" s="5">
        <f>(W17-O17)/O17</f>
        <v>7.199100112485933E-2</v>
      </c>
      <c r="AC17" s="5">
        <f>(X17-P17)/P17</f>
        <v>-0.35227272727272724</v>
      </c>
      <c r="AD17" s="5">
        <f>(Y17-Q17)/Q17</f>
        <v>-0.5</v>
      </c>
      <c r="AE17" s="4">
        <v>0.67</v>
      </c>
      <c r="AF17" s="4">
        <v>0.92900000000000005</v>
      </c>
      <c r="AG17" s="4">
        <v>0.08</v>
      </c>
      <c r="AH17" s="4">
        <v>0.02</v>
      </c>
      <c r="AI17" s="4">
        <v>0.6</v>
      </c>
      <c r="AJ17" s="5">
        <f>(AE17-R17)/R17</f>
        <v>9.8360655737705013E-2</v>
      </c>
      <c r="AK17" s="5">
        <f>(AF17-S17)/S17</f>
        <v>8.2750582750582821E-2</v>
      </c>
      <c r="AL17" s="5">
        <f>(AG17-T17)/T17</f>
        <v>-0.29203539823008851</v>
      </c>
      <c r="AM17" s="5">
        <f>(AH17-U17)/U17</f>
        <v>-0.6</v>
      </c>
      <c r="AN17" s="4">
        <v>0.66</v>
      </c>
      <c r="AO17" s="4">
        <v>0.95799999999999996</v>
      </c>
      <c r="AP17" s="4">
        <v>9.1999999999999998E-2</v>
      </c>
      <c r="AQ17" s="4">
        <v>4.7E-2</v>
      </c>
      <c r="AR17" s="4">
        <v>0.57099999999999995</v>
      </c>
      <c r="AS17" s="4">
        <v>0.89100000000000001</v>
      </c>
      <c r="AT17" s="4">
        <v>7.5999999999999998E-2</v>
      </c>
      <c r="AU17" s="4">
        <v>4.2999999999999997E-2</v>
      </c>
      <c r="AV17" s="4">
        <v>0.68700000000000006</v>
      </c>
      <c r="AW17" s="4">
        <v>0.96899999999999997</v>
      </c>
      <c r="AX17" s="4">
        <v>7.8E-2</v>
      </c>
      <c r="AY17" s="4">
        <v>3.7999999999999999E-2</v>
      </c>
      <c r="AZ17" s="4">
        <v>0.93799999999999994</v>
      </c>
      <c r="BA17" s="6">
        <f>(AV17-AN17)/AN17</f>
        <v>4.0909090909090944E-2</v>
      </c>
      <c r="BB17" s="6">
        <f>(AW17-AO17)/AO17</f>
        <v>1.1482254697286023E-2</v>
      </c>
      <c r="BC17" s="6">
        <f>(AX17-AP17)/AP17</f>
        <v>-0.15217391304347824</v>
      </c>
      <c r="BD17" s="6">
        <f>(AY17-AQ17)/AQ17</f>
        <v>-0.19148936170212769</v>
      </c>
      <c r="BE17" s="4">
        <v>0.58799999999999997</v>
      </c>
      <c r="BF17" s="4">
        <v>0.92300000000000004</v>
      </c>
      <c r="BG17" s="4">
        <v>6.4000000000000001E-2</v>
      </c>
      <c r="BH17" s="4">
        <v>3.6999999999999998E-2</v>
      </c>
      <c r="BI17" s="4">
        <v>0.875</v>
      </c>
      <c r="BJ17" s="5">
        <f>(BE17-AN17)/AN17</f>
        <v>-0.10909090909090918</v>
      </c>
      <c r="BK17" s="5">
        <f>(BF17-AO17)/AO17</f>
        <v>-3.6534446764091774E-2</v>
      </c>
      <c r="BL17" s="5">
        <f>(BG17-AP17)/AP17</f>
        <v>-0.30434782608695649</v>
      </c>
      <c r="BM17" s="5">
        <f>(BH17-AQ17)/AQ17</f>
        <v>-0.21276595744680854</v>
      </c>
      <c r="BN17" s="4">
        <v>0.58399999999999996</v>
      </c>
      <c r="BO17" s="4">
        <v>0.70799999999999996</v>
      </c>
      <c r="BP17" s="4">
        <v>0.125</v>
      </c>
      <c r="BQ17" s="4">
        <v>0.41499999999999998</v>
      </c>
      <c r="BR17" s="5">
        <f>(BN17-AR17)/AR17</f>
        <v>2.2767075306479881E-2</v>
      </c>
      <c r="BS17" s="5">
        <f>(BO17-AS17)/AS17</f>
        <v>-0.20538720538720545</v>
      </c>
      <c r="BT17" s="5">
        <f>(BP17-AT17)/AT17</f>
        <v>0.64473684210526316</v>
      </c>
      <c r="BU17" s="5">
        <f>(BQ17-AU17)/AU17</f>
        <v>8.6511627906976756</v>
      </c>
      <c r="BV17" s="4">
        <f>(BN17-BE17)/BE17</f>
        <v>-6.8027210884353808E-3</v>
      </c>
      <c r="BW17" s="4">
        <f>(BO17-BF17)/BF17</f>
        <v>-0.23293607800650062</v>
      </c>
      <c r="BX17" s="4">
        <f>(BP17-BG17)/BG17</f>
        <v>0.953125</v>
      </c>
      <c r="BY17" s="4">
        <f>(BQ17-BH17)/BH17</f>
        <v>10.216216216216218</v>
      </c>
      <c r="BZ17" s="7">
        <v>0.58799999999999997</v>
      </c>
      <c r="CA17" s="7">
        <v>0.94399999999999995</v>
      </c>
      <c r="CB17" s="7">
        <v>5.5E-2</v>
      </c>
      <c r="CC17" s="7">
        <v>2.9000000000000001E-2</v>
      </c>
      <c r="CD17" s="4">
        <f>(BZ17-AR17)/AR17</f>
        <v>2.9772329246935229E-2</v>
      </c>
      <c r="CE17" s="4">
        <f>(CA17-AS17)/AS17</f>
        <v>5.9483726150392748E-2</v>
      </c>
      <c r="CF17" s="4">
        <f>(CB17-AT17)/AT17</f>
        <v>-0.27631578947368418</v>
      </c>
      <c r="CG17" s="4">
        <f>(CC17-AU17)/AU17</f>
        <v>-0.32558139534883712</v>
      </c>
      <c r="CH17" s="4">
        <f>(BZ17-BN17)/BN17</f>
        <v>6.8493150684931572E-3</v>
      </c>
      <c r="CI17" s="4">
        <f>(CA17-BO17)/BO17</f>
        <v>0.33333333333333331</v>
      </c>
      <c r="CJ17" s="4">
        <f>(CB17-BP17)/BP17</f>
        <v>-0.56000000000000005</v>
      </c>
      <c r="CK17" s="4">
        <f>(CC17-BQ17)/BQ17</f>
        <v>-0.9301204819277108</v>
      </c>
      <c r="CL17" s="4">
        <v>0.879</v>
      </c>
      <c r="CM17" s="4">
        <v>0.11700000000000001</v>
      </c>
      <c r="CN17" s="4">
        <f>CL17/CM17</f>
        <v>7.5128205128205128</v>
      </c>
    </row>
    <row r="18" spans="1:92" x14ac:dyDescent="0.3">
      <c r="A18" s="1" t="s">
        <v>18</v>
      </c>
      <c r="B18">
        <v>720</v>
      </c>
      <c r="C18">
        <v>20</v>
      </c>
      <c r="D18">
        <v>5</v>
      </c>
      <c r="E18">
        <v>5</v>
      </c>
      <c r="F18">
        <v>5</v>
      </c>
      <c r="G18" s="3" t="s">
        <v>1</v>
      </c>
      <c r="H18" s="4">
        <v>3.38</v>
      </c>
      <c r="I18" s="4">
        <v>2.62</v>
      </c>
      <c r="J18" s="4">
        <v>3.95</v>
      </c>
      <c r="K18" s="4">
        <v>2.62</v>
      </c>
      <c r="L18" s="4">
        <f>(H18-I18)/(H18+I18)</f>
        <v>0.12666666666666662</v>
      </c>
      <c r="M18" s="4">
        <f>(J18-K18)/(J18+K18)</f>
        <v>0.20243531202435311</v>
      </c>
      <c r="N18" s="4">
        <v>0.17</v>
      </c>
      <c r="O18" s="4">
        <v>0.25700000000000001</v>
      </c>
      <c r="P18" s="4">
        <v>0.159</v>
      </c>
      <c r="Q18" s="4">
        <v>0.17</v>
      </c>
      <c r="R18" s="4">
        <v>0.2</v>
      </c>
      <c r="S18" s="4">
        <v>0.248</v>
      </c>
      <c r="T18" s="4">
        <v>0.185</v>
      </c>
      <c r="U18" s="4">
        <v>0.19</v>
      </c>
      <c r="V18" s="4">
        <v>0.46</v>
      </c>
      <c r="W18" s="4">
        <v>0.88200000000000001</v>
      </c>
      <c r="X18" s="4">
        <v>6.3E-2</v>
      </c>
      <c r="Y18" s="4">
        <v>0.03</v>
      </c>
      <c r="Z18" s="4">
        <v>0.17199999999999999</v>
      </c>
      <c r="AA18" s="5">
        <f>(V18-N18)/N18</f>
        <v>1.7058823529411766</v>
      </c>
      <c r="AB18" s="5">
        <f>(W18-O18)/O18</f>
        <v>2.431906614785992</v>
      </c>
      <c r="AC18" s="5">
        <f>(X18-P18)/P18</f>
        <v>-0.60377358490566035</v>
      </c>
      <c r="AD18" s="5">
        <f>(Y18-Q18)/Q18</f>
        <v>-0.82352941176470595</v>
      </c>
      <c r="AE18" s="4">
        <v>0.53</v>
      </c>
      <c r="AF18" s="4">
        <v>0.83799999999999997</v>
      </c>
      <c r="AG18" s="4">
        <v>8.5999999999999993E-2</v>
      </c>
      <c r="AH18" s="4">
        <v>0.04</v>
      </c>
      <c r="AI18" s="4">
        <v>0.17</v>
      </c>
      <c r="AJ18" s="5">
        <f>(AE18-R18)/R18</f>
        <v>1.65</v>
      </c>
      <c r="AK18" s="5">
        <f>(AF18-S18)/S18</f>
        <v>2.379032258064516</v>
      </c>
      <c r="AL18" s="5">
        <f>(AG18-T18)/T18</f>
        <v>-0.53513513513513522</v>
      </c>
      <c r="AM18" s="5">
        <f>(AH18-U18)/U18</f>
        <v>-0.78947368421052633</v>
      </c>
      <c r="AN18" s="4">
        <v>0.223</v>
      </c>
      <c r="AO18" s="4">
        <v>0.20100000000000001</v>
      </c>
      <c r="AP18" s="4">
        <v>0.23899999999999999</v>
      </c>
      <c r="AQ18" s="4">
        <v>0.192</v>
      </c>
      <c r="AR18" s="4">
        <v>0.156</v>
      </c>
      <c r="AS18" s="4">
        <v>0.20100000000000001</v>
      </c>
      <c r="AT18" s="4">
        <v>0.14299999999999999</v>
      </c>
      <c r="AU18" s="4">
        <v>0.161</v>
      </c>
      <c r="AV18" s="4">
        <v>0.54600000000000004</v>
      </c>
      <c r="AW18" s="4">
        <v>0.88800000000000001</v>
      </c>
      <c r="AX18" s="4">
        <v>8.8999999999999996E-2</v>
      </c>
      <c r="AY18" s="4">
        <v>7.3999999999999996E-2</v>
      </c>
      <c r="AZ18" s="4">
        <v>0.22900000000000001</v>
      </c>
      <c r="BA18" s="6">
        <f>(AV18-AN18)/AN18</f>
        <v>1.4484304932735428</v>
      </c>
      <c r="BB18" s="6">
        <f>(AW18-AO18)/AO18</f>
        <v>3.4179104477611939</v>
      </c>
      <c r="BC18" s="6">
        <f>(AX18-AP18)/AP18</f>
        <v>-0.62761506276150625</v>
      </c>
      <c r="BD18" s="6">
        <f>(AY18-AQ18)/AQ18</f>
        <v>-0.61458333333333337</v>
      </c>
      <c r="BE18" s="4">
        <v>0.45100000000000001</v>
      </c>
      <c r="BF18" s="4">
        <v>0.85799999999999998</v>
      </c>
      <c r="BG18" s="4">
        <v>0.06</v>
      </c>
      <c r="BH18" s="4">
        <v>6.4000000000000001E-2</v>
      </c>
      <c r="BI18" s="4">
        <v>0.22900000000000001</v>
      </c>
      <c r="BJ18" s="5">
        <f>(BE18-AN18)/AN18</f>
        <v>1.0224215246636772</v>
      </c>
      <c r="BK18" s="5">
        <f>(BF18-AO18)/AO18</f>
        <v>3.2686567164179103</v>
      </c>
      <c r="BL18" s="5">
        <f>(BG18-AP18)/AP18</f>
        <v>-0.7489539748953975</v>
      </c>
      <c r="BM18" s="5">
        <f>(BH18-AQ18)/AQ18</f>
        <v>-0.66666666666666663</v>
      </c>
      <c r="BN18" s="4">
        <v>0.45</v>
      </c>
      <c r="BO18" s="4">
        <v>0.80600000000000005</v>
      </c>
      <c r="BP18" s="4">
        <v>7.0000000000000007E-2</v>
      </c>
      <c r="BQ18" s="4">
        <v>0.11700000000000001</v>
      </c>
      <c r="BR18" s="5">
        <f>(BN18-AR18)/AR18</f>
        <v>1.8846153846153848</v>
      </c>
      <c r="BS18" s="5">
        <f>(BO18-AS18)/AS18</f>
        <v>3.0099502487562186</v>
      </c>
      <c r="BT18" s="5">
        <f>(BP18-AT18)/AT18</f>
        <v>-0.51048951048951041</v>
      </c>
      <c r="BU18" s="5">
        <f>(BQ18-AU18)/AU18</f>
        <v>-0.27329192546583847</v>
      </c>
      <c r="BV18" s="4">
        <f>(BN18-BE18)/BE18</f>
        <v>-2.2172949002217312E-3</v>
      </c>
      <c r="BW18" s="4">
        <f>(BO18-BF18)/BF18</f>
        <v>-6.0606060606060531E-2</v>
      </c>
      <c r="BX18" s="4">
        <f>(BP18-BG18)/BG18</f>
        <v>0.16666666666666682</v>
      </c>
      <c r="BY18" s="4">
        <f>(BQ18-BH18)/BH18</f>
        <v>0.82812500000000011</v>
      </c>
      <c r="BZ18" s="4">
        <v>0.46400000000000002</v>
      </c>
      <c r="CA18" s="4">
        <v>0.871</v>
      </c>
      <c r="CB18" s="4">
        <v>5.7000000000000002E-2</v>
      </c>
      <c r="CC18" s="4">
        <v>6.7000000000000004E-2</v>
      </c>
      <c r="CD18" s="4">
        <f>(BZ18-AR18)/AR18</f>
        <v>1.9743589743589747</v>
      </c>
      <c r="CE18" s="4">
        <f>(CA18-AS18)/AS18</f>
        <v>3.3333333333333326</v>
      </c>
      <c r="CF18" s="4">
        <f>(CB18-AT18)/AT18</f>
        <v>-0.60139860139860135</v>
      </c>
      <c r="CG18" s="4">
        <f>(CC18-AU18)/AU18</f>
        <v>-0.58385093167701863</v>
      </c>
      <c r="CH18" s="4">
        <f>(BZ18-BN18)/BN18</f>
        <v>3.1111111111111138E-2</v>
      </c>
      <c r="CI18" s="4">
        <f>(CA18-BO18)/BO18</f>
        <v>8.0645161290322509E-2</v>
      </c>
      <c r="CJ18" s="4">
        <f>(CB18-BP18)/BP18</f>
        <v>-0.18571428571428578</v>
      </c>
      <c r="CK18" s="4">
        <f>(CC18-BQ18)/BQ18</f>
        <v>-0.42735042735042733</v>
      </c>
      <c r="CL18" s="4">
        <v>0.318</v>
      </c>
      <c r="CM18" s="4">
        <v>0.68300000000000005</v>
      </c>
      <c r="CN18" s="4">
        <f>CL18/CM18</f>
        <v>0.46559297218155193</v>
      </c>
    </row>
    <row r="19" spans="1:92" x14ac:dyDescent="0.3">
      <c r="A19" s="1" t="s">
        <v>19</v>
      </c>
      <c r="B19">
        <v>720</v>
      </c>
      <c r="C19">
        <v>29</v>
      </c>
      <c r="D19">
        <v>7</v>
      </c>
      <c r="E19">
        <v>3</v>
      </c>
      <c r="F19">
        <v>3</v>
      </c>
      <c r="G19" s="3" t="s">
        <v>9</v>
      </c>
      <c r="H19" s="4">
        <v>7.31</v>
      </c>
      <c r="I19" s="4">
        <v>2.4</v>
      </c>
      <c r="J19" s="4">
        <v>7.88</v>
      </c>
      <c r="K19" s="4">
        <v>2.56</v>
      </c>
      <c r="L19" s="4">
        <f>(H19-I19)/(H19+I19)</f>
        <v>0.50566426364572614</v>
      </c>
      <c r="M19" s="4">
        <f>(J19-K19)/(J19+K19)</f>
        <v>0.50957854406130276</v>
      </c>
      <c r="N19" s="4">
        <v>0.25</v>
      </c>
      <c r="O19" s="4">
        <v>0.57699999999999996</v>
      </c>
      <c r="P19" s="4">
        <v>0.104</v>
      </c>
      <c r="Q19" s="4">
        <v>0.1</v>
      </c>
      <c r="R19" s="4">
        <v>0.27</v>
      </c>
      <c r="S19" s="4">
        <v>0.55300000000000005</v>
      </c>
      <c r="T19" s="4">
        <v>0.115</v>
      </c>
      <c r="U19" s="4">
        <v>0.11</v>
      </c>
      <c r="V19" s="4">
        <v>0.39</v>
      </c>
      <c r="W19" s="4">
        <v>0.86299999999999999</v>
      </c>
      <c r="X19" s="4">
        <v>5.8999999999999997E-2</v>
      </c>
      <c r="Y19" s="4">
        <v>0.04</v>
      </c>
      <c r="Z19" s="4">
        <v>0.24</v>
      </c>
      <c r="AA19" s="5">
        <f>(V19-N19)/N19</f>
        <v>0.56000000000000005</v>
      </c>
      <c r="AB19" s="5">
        <f>(W19-O19)/O19</f>
        <v>0.49566724436741777</v>
      </c>
      <c r="AC19" s="5">
        <f>(X19-P19)/P19</f>
        <v>-0.43269230769230771</v>
      </c>
      <c r="AD19" s="5">
        <f>(Y19-Q19)/Q19</f>
        <v>-0.6</v>
      </c>
      <c r="AE19" s="4">
        <v>0.42</v>
      </c>
      <c r="AF19" s="4">
        <v>0.84199999999999997</v>
      </c>
      <c r="AG19" s="4">
        <v>6.8000000000000005E-2</v>
      </c>
      <c r="AH19" s="4">
        <v>0.04</v>
      </c>
      <c r="AI19" s="4">
        <v>0.24</v>
      </c>
      <c r="AJ19" s="5">
        <f>(AE19-R19)/R19</f>
        <v>0.55555555555555536</v>
      </c>
      <c r="AK19" s="5">
        <f>(AF19-S19)/S19</f>
        <v>0.52260397830018068</v>
      </c>
      <c r="AL19" s="5">
        <f>(AG19-T19)/T19</f>
        <v>-0.40869565217391302</v>
      </c>
      <c r="AM19" s="5">
        <f>(AH19-U19)/U19</f>
        <v>-0.63636363636363646</v>
      </c>
      <c r="AN19" s="4">
        <v>0.29699999999999999</v>
      </c>
      <c r="AO19" s="4">
        <v>0.70099999999999996</v>
      </c>
      <c r="AP19" s="4">
        <v>0.11799999999999999</v>
      </c>
      <c r="AQ19" s="4">
        <v>0.111</v>
      </c>
      <c r="AR19" s="4">
        <v>0.23699999999999999</v>
      </c>
      <c r="AS19" s="4">
        <v>0.58599999999999997</v>
      </c>
      <c r="AT19" s="4">
        <v>8.5999999999999993E-2</v>
      </c>
      <c r="AU19" s="4">
        <v>0.10199999999999999</v>
      </c>
      <c r="AV19" s="4">
        <v>0.42699999999999999</v>
      </c>
      <c r="AW19" s="4">
        <v>0.79500000000000004</v>
      </c>
      <c r="AX19" s="4">
        <v>9.8000000000000004E-2</v>
      </c>
      <c r="AY19" s="4">
        <v>8.2000000000000003E-2</v>
      </c>
      <c r="AZ19" s="4">
        <v>0.50900000000000001</v>
      </c>
      <c r="BA19" s="6">
        <f>(AV19-AN19)/AN19</f>
        <v>0.43771043771043777</v>
      </c>
      <c r="BB19" s="6">
        <f>(AW19-AO19)/AO19</f>
        <v>0.13409415121255364</v>
      </c>
      <c r="BC19" s="6">
        <f>(AX19-AP19)/AP19</f>
        <v>-0.16949152542372875</v>
      </c>
      <c r="BD19" s="6">
        <f>(AY19-AQ19)/AQ19</f>
        <v>-0.26126126126126126</v>
      </c>
      <c r="BE19" s="4">
        <v>0.39500000000000002</v>
      </c>
      <c r="BF19" s="4">
        <v>0.79</v>
      </c>
      <c r="BG19" s="4">
        <v>6.0999999999999999E-2</v>
      </c>
      <c r="BH19" s="4">
        <v>8.7999999999999995E-2</v>
      </c>
      <c r="BI19" s="4">
        <v>0.50900000000000001</v>
      </c>
      <c r="BJ19" s="5">
        <f>(BE19-AN19)/AN19</f>
        <v>0.32996632996633007</v>
      </c>
      <c r="BK19" s="5">
        <f>(BF19-AO19)/AO19</f>
        <v>0.12696148359486459</v>
      </c>
      <c r="BL19" s="5">
        <f>(BG19-AP19)/AP19</f>
        <v>-0.48305084745762711</v>
      </c>
      <c r="BM19" s="5">
        <f>(BH19-AQ19)/AQ19</f>
        <v>-0.20720720720720726</v>
      </c>
      <c r="BN19" s="4">
        <v>0.4</v>
      </c>
      <c r="BO19" s="4">
        <v>0.752</v>
      </c>
      <c r="BP19" s="4">
        <v>6.6000000000000003E-2</v>
      </c>
      <c r="BQ19" s="4">
        <v>0.16</v>
      </c>
      <c r="BR19" s="5">
        <f>(BN19-AR19)/AR19</f>
        <v>0.68776371308016893</v>
      </c>
      <c r="BS19" s="5">
        <f>(BO19-AS19)/AS19</f>
        <v>0.2832764505119455</v>
      </c>
      <c r="BT19" s="5">
        <f>(BP19-AT19)/AT19</f>
        <v>-0.23255813953488363</v>
      </c>
      <c r="BU19" s="5">
        <f>(BQ19-AU19)/AU19</f>
        <v>0.56862745098039225</v>
      </c>
      <c r="BV19" s="4">
        <f>(BN19-BE19)/BE19</f>
        <v>1.2658227848101276E-2</v>
      </c>
      <c r="BW19" s="4">
        <f>(BO19-BF19)/BF19</f>
        <v>-4.8101265822784851E-2</v>
      </c>
      <c r="BX19" s="4">
        <f>(BP19-BG19)/BG19</f>
        <v>8.1967213114754175E-2</v>
      </c>
      <c r="BY19" s="4">
        <f>(BQ19-BH19)/BH19</f>
        <v>0.81818181818181834</v>
      </c>
      <c r="BZ19" s="4">
        <v>0.40600000000000003</v>
      </c>
      <c r="CA19" s="4">
        <v>0.82599999999999996</v>
      </c>
      <c r="CB19" s="4">
        <v>5.6000000000000001E-2</v>
      </c>
      <c r="CC19" s="4">
        <v>6.3E-2</v>
      </c>
      <c r="CD19" s="4">
        <f>(BZ19-AR19)/AR19</f>
        <v>0.71308016877637148</v>
      </c>
      <c r="CE19" s="4">
        <f>(CA19-AS19)/AS19</f>
        <v>0.40955631399317405</v>
      </c>
      <c r="CF19" s="4">
        <f>(CB19-AT19)/AT19</f>
        <v>-0.34883720930232553</v>
      </c>
      <c r="CG19" s="4">
        <f>(CC19-AU19)/AU19</f>
        <v>-0.38235294117647056</v>
      </c>
      <c r="CH19" s="4">
        <f>(BZ19-BN19)/BN19</f>
        <v>1.5000000000000013E-2</v>
      </c>
      <c r="CI19" s="4">
        <f>(CA19-BO19)/BO19</f>
        <v>9.840425531914887E-2</v>
      </c>
      <c r="CJ19" s="4">
        <f>(CB19-BP19)/BP19</f>
        <v>-0.15151515151515155</v>
      </c>
      <c r="CK19" s="4">
        <f>(CC19-BQ19)/BQ19</f>
        <v>-0.60624999999999996</v>
      </c>
      <c r="CL19" s="4">
        <v>0.54300000000000004</v>
      </c>
      <c r="CM19" s="4">
        <v>0.52600000000000002</v>
      </c>
      <c r="CN19" s="4">
        <f>CL19/CM19</f>
        <v>1.0323193916349811</v>
      </c>
    </row>
    <row r="20" spans="1:92" x14ac:dyDescent="0.3">
      <c r="A20" s="1" t="s">
        <v>20</v>
      </c>
      <c r="B20">
        <v>409</v>
      </c>
      <c r="C20">
        <v>20</v>
      </c>
      <c r="D20">
        <v>4</v>
      </c>
      <c r="E20">
        <v>2</v>
      </c>
      <c r="F20">
        <v>2</v>
      </c>
      <c r="G20" s="3" t="s">
        <v>9</v>
      </c>
      <c r="H20" s="4">
        <v>3.94</v>
      </c>
      <c r="I20" s="4">
        <v>0.95</v>
      </c>
      <c r="J20" s="4">
        <v>4.6900000000000004</v>
      </c>
      <c r="K20" s="4">
        <v>1.1200000000000001</v>
      </c>
      <c r="L20" s="4">
        <f>(H20-I20)/(H20+I20)</f>
        <v>0.61145194274028636</v>
      </c>
      <c r="M20" s="4">
        <f>(J20-K20)/(J20+K20)</f>
        <v>0.61445783132530118</v>
      </c>
      <c r="N20" s="4">
        <v>0.2</v>
      </c>
      <c r="O20" s="4">
        <v>0.74099999999999999</v>
      </c>
      <c r="P20" s="4">
        <v>6.7000000000000004E-2</v>
      </c>
      <c r="Q20" s="4">
        <v>7.0000000000000007E-2</v>
      </c>
      <c r="R20" s="4">
        <v>0.19</v>
      </c>
      <c r="S20" s="4">
        <v>0.66800000000000004</v>
      </c>
      <c r="T20" s="4">
        <v>9.0999999999999998E-2</v>
      </c>
      <c r="U20" s="4">
        <v>0.08</v>
      </c>
      <c r="V20" s="4">
        <v>0.25</v>
      </c>
      <c r="W20" s="4">
        <v>0.87</v>
      </c>
      <c r="X20" s="4">
        <v>4.8000000000000001E-2</v>
      </c>
      <c r="Y20" s="4">
        <v>0.05</v>
      </c>
      <c r="Z20" s="4">
        <v>0.53</v>
      </c>
      <c r="AA20" s="5">
        <f>(V20-N20)/N20</f>
        <v>0.24999999999999994</v>
      </c>
      <c r="AB20" s="5">
        <f>(W20-O20)/O20</f>
        <v>0.17408906882591094</v>
      </c>
      <c r="AC20" s="5">
        <f>(X20-P20)/P20</f>
        <v>-0.28358208955223885</v>
      </c>
      <c r="AD20" s="5">
        <f>(Y20-Q20)/Q20</f>
        <v>-0.28571428571428575</v>
      </c>
      <c r="AE20" s="4">
        <v>0.3</v>
      </c>
      <c r="AF20" s="4">
        <v>0.79300000000000004</v>
      </c>
      <c r="AG20" s="4">
        <v>7.1999999999999995E-2</v>
      </c>
      <c r="AH20" s="4">
        <v>0.06</v>
      </c>
      <c r="AI20" s="4">
        <v>0.52</v>
      </c>
      <c r="AJ20" s="5">
        <f>(AE20-R20)/R20</f>
        <v>0.57894736842105254</v>
      </c>
      <c r="AK20" s="5">
        <f>(AF20-S20)/S20</f>
        <v>0.18712574850299399</v>
      </c>
      <c r="AL20" s="5">
        <f>(AG20-T20)/T20</f>
        <v>-0.20879120879120883</v>
      </c>
      <c r="AM20" s="5">
        <f>(AH20-U20)/U20</f>
        <v>-0.25000000000000006</v>
      </c>
      <c r="AN20" s="4">
        <v>0.24</v>
      </c>
      <c r="AO20" s="4">
        <v>0.82599999999999996</v>
      </c>
      <c r="AP20" s="4">
        <v>7.4999999999999997E-2</v>
      </c>
      <c r="AQ20" s="4">
        <v>7.8E-2</v>
      </c>
      <c r="AR20" s="4">
        <v>0.19</v>
      </c>
      <c r="AS20" s="4">
        <v>0.755</v>
      </c>
      <c r="AT20" s="4">
        <v>0.06</v>
      </c>
      <c r="AU20" s="4">
        <v>6.6000000000000003E-2</v>
      </c>
      <c r="AV20" s="4">
        <v>0.28999999999999998</v>
      </c>
      <c r="AW20" s="4">
        <v>0.84399999999999997</v>
      </c>
      <c r="AX20" s="4">
        <v>4.9000000000000002E-2</v>
      </c>
      <c r="AY20" s="4">
        <v>5.8999999999999997E-2</v>
      </c>
      <c r="AZ20" s="4">
        <v>0.626</v>
      </c>
      <c r="BA20" s="6">
        <f>(AV20-AN20)/AN20</f>
        <v>0.20833333333333329</v>
      </c>
      <c r="BB20" s="6">
        <f>(AW20-AO20)/AO20</f>
        <v>2.1791767554479438E-2</v>
      </c>
      <c r="BC20" s="6">
        <f>(AX20-AP20)/AP20</f>
        <v>-0.34666666666666662</v>
      </c>
      <c r="BD20" s="6">
        <f>(AY20-AQ20)/AQ20</f>
        <v>-0.24358974358974364</v>
      </c>
      <c r="BE20" s="4">
        <v>0.24099999999999999</v>
      </c>
      <c r="BF20" s="4">
        <v>0.89</v>
      </c>
      <c r="BG20" s="4">
        <v>0.04</v>
      </c>
      <c r="BH20" s="4">
        <v>0.05</v>
      </c>
      <c r="BI20" s="4">
        <v>0.62</v>
      </c>
      <c r="BJ20" s="5">
        <f>(BE20-AN20)/AN20</f>
        <v>4.1666666666666709E-3</v>
      </c>
      <c r="BK20" s="5">
        <f>(BF20-AO20)/AO20</f>
        <v>7.7481840193704674E-2</v>
      </c>
      <c r="BL20" s="5">
        <f>(BG20-AP20)/AP20</f>
        <v>-0.46666666666666662</v>
      </c>
      <c r="BM20" s="5">
        <f>(BH20-AQ20)/AQ20</f>
        <v>-0.35897435897435892</v>
      </c>
      <c r="BN20" s="4">
        <v>0.25</v>
      </c>
      <c r="BO20" s="4">
        <v>0.80300000000000005</v>
      </c>
      <c r="BP20" s="4">
        <v>5.3999999999999999E-2</v>
      </c>
      <c r="BQ20" s="4">
        <v>0.11700000000000001</v>
      </c>
      <c r="BR20" s="5">
        <f>(BN20-AR20)/AR20</f>
        <v>0.31578947368421051</v>
      </c>
      <c r="BS20" s="5">
        <f>(BO20-AS20)/AS20</f>
        <v>6.3576158940397406E-2</v>
      </c>
      <c r="BT20" s="5">
        <f>(BP20-AT20)/AT20</f>
        <v>-9.9999999999999978E-2</v>
      </c>
      <c r="BU20" s="5">
        <f>(BQ20-AU20)/AU20</f>
        <v>0.77272727272727271</v>
      </c>
      <c r="BV20" s="4">
        <f>(BN20-BE20)/BE20</f>
        <v>3.7344398340248997E-2</v>
      </c>
      <c r="BW20" s="4">
        <f>(BO20-BF20)/BF20</f>
        <v>-9.7752808988764012E-2</v>
      </c>
      <c r="BX20" s="4">
        <f>(BP20-BG20)/BG20</f>
        <v>0.35</v>
      </c>
      <c r="BY20" s="4">
        <f>(BQ20-BH20)/BH20</f>
        <v>1.34</v>
      </c>
      <c r="BZ20" s="4">
        <v>0.247</v>
      </c>
      <c r="CA20" s="4">
        <v>0.9</v>
      </c>
      <c r="CB20" s="4">
        <v>3.9E-2</v>
      </c>
      <c r="CC20" s="4">
        <v>4.3999999999999997E-2</v>
      </c>
      <c r="CD20" s="4">
        <f>(BZ20-AR20)/AR20</f>
        <v>0.3</v>
      </c>
      <c r="CE20" s="4">
        <f>(CA20-AS20)/AS20</f>
        <v>0.19205298013245034</v>
      </c>
      <c r="CF20" s="4">
        <f>(CB20-AT20)/AT20</f>
        <v>-0.35</v>
      </c>
      <c r="CG20" s="4">
        <f>(CC20-AU20)/AU20</f>
        <v>-0.33333333333333343</v>
      </c>
      <c r="CH20" s="4">
        <f>(BZ20-BN20)/BN20</f>
        <v>-1.2000000000000011E-2</v>
      </c>
      <c r="CI20" s="4">
        <f>(CA20-BO20)/BO20</f>
        <v>0.12079701120797007</v>
      </c>
      <c r="CJ20" s="4">
        <f>(CB20-BP20)/BP20</f>
        <v>-0.27777777777777779</v>
      </c>
      <c r="CK20" s="4">
        <f>(CC20-BQ20)/BQ20</f>
        <v>-0.62393162393162394</v>
      </c>
      <c r="CL20" s="4">
        <v>0.622</v>
      </c>
      <c r="CM20" s="4">
        <v>0.39500000000000002</v>
      </c>
      <c r="CN20" s="4">
        <f>CL20/CM20</f>
        <v>1.5746835443037974</v>
      </c>
    </row>
    <row r="21" spans="1:92" x14ac:dyDescent="0.3">
      <c r="A21" s="1" t="s">
        <v>21</v>
      </c>
      <c r="B21">
        <v>326</v>
      </c>
      <c r="C21">
        <v>29</v>
      </c>
      <c r="D21">
        <v>7</v>
      </c>
      <c r="E21">
        <v>3</v>
      </c>
      <c r="F21">
        <v>3</v>
      </c>
      <c r="G21" s="3" t="s">
        <v>9</v>
      </c>
      <c r="H21" s="4">
        <v>7.72</v>
      </c>
      <c r="I21" s="4">
        <v>1.91</v>
      </c>
      <c r="J21" s="4">
        <v>8.4700000000000006</v>
      </c>
      <c r="K21" s="4">
        <v>2.0099999999999998</v>
      </c>
      <c r="L21" s="4">
        <f>(H21-I21)/(H21+I21)</f>
        <v>0.60332294911734163</v>
      </c>
      <c r="M21" s="4">
        <f>(J21-K21)/(J21+K21)</f>
        <v>0.61641221374045807</v>
      </c>
      <c r="N21" s="4">
        <v>0.27</v>
      </c>
      <c r="O21" s="4">
        <v>0.66700000000000004</v>
      </c>
      <c r="P21" s="4">
        <v>8.8999999999999996E-2</v>
      </c>
      <c r="Q21" s="4">
        <v>0.09</v>
      </c>
      <c r="R21" s="4">
        <v>0.28999999999999998</v>
      </c>
      <c r="S21" s="4">
        <v>0.625</v>
      </c>
      <c r="T21" s="4">
        <v>0.104</v>
      </c>
      <c r="U21" s="4">
        <v>0.09</v>
      </c>
      <c r="V21" s="4">
        <v>0.37</v>
      </c>
      <c r="W21" s="4">
        <v>0.85899999999999999</v>
      </c>
      <c r="X21" s="4">
        <v>5.7000000000000002E-2</v>
      </c>
      <c r="Y21" s="4">
        <v>0.05</v>
      </c>
      <c r="Z21" s="4">
        <v>0.33</v>
      </c>
      <c r="AA21" s="5">
        <f>(V21-N21)/N21</f>
        <v>0.37037037037037024</v>
      </c>
      <c r="AB21" s="5">
        <f>(W21-O21)/O21</f>
        <v>0.28785607196401791</v>
      </c>
      <c r="AC21" s="5">
        <f>(X21-P21)/P21</f>
        <v>-0.35955056179775274</v>
      </c>
      <c r="AD21" s="5">
        <f>(Y21-Q21)/Q21</f>
        <v>-0.44444444444444442</v>
      </c>
      <c r="AE21" s="4">
        <v>0.41</v>
      </c>
      <c r="AF21" s="4">
        <v>0.80800000000000005</v>
      </c>
      <c r="AG21" s="4">
        <v>7.3999999999999996E-2</v>
      </c>
      <c r="AH21" s="4">
        <v>0.05</v>
      </c>
      <c r="AI21" s="4">
        <v>0.33700000000000002</v>
      </c>
      <c r="AJ21" s="5">
        <f>(AE21-R21)/R21</f>
        <v>0.41379310344827586</v>
      </c>
      <c r="AK21" s="5">
        <f>(AF21-S21)/S21</f>
        <v>0.29280000000000006</v>
      </c>
      <c r="AL21" s="5">
        <f>(AG21-T21)/T21</f>
        <v>-0.28846153846153849</v>
      </c>
      <c r="AM21" s="5">
        <f>(AH21-U21)/U21</f>
        <v>-0.44444444444444442</v>
      </c>
      <c r="AN21" s="4">
        <v>0.33</v>
      </c>
      <c r="AO21" s="4">
        <v>0.77400000000000002</v>
      </c>
      <c r="AP21" s="4">
        <v>0.104</v>
      </c>
      <c r="AQ21" s="4">
        <v>9.4E-2</v>
      </c>
      <c r="AR21" s="4">
        <v>0.307</v>
      </c>
      <c r="AS21" s="4">
        <v>0.66900000000000004</v>
      </c>
      <c r="AT21" s="4">
        <v>8.4000000000000005E-2</v>
      </c>
      <c r="AU21" s="4">
        <v>8.5999999999999993E-2</v>
      </c>
      <c r="AV21" s="4">
        <v>0.42</v>
      </c>
      <c r="AW21" s="4">
        <v>0.871</v>
      </c>
      <c r="AX21" s="4">
        <v>7.9000000000000001E-2</v>
      </c>
      <c r="AY21" s="4">
        <v>7.4999999999999997E-2</v>
      </c>
      <c r="AZ21" s="4">
        <v>0.56999999999999995</v>
      </c>
      <c r="BA21" s="6">
        <f>(AV21-AN21)/AN21</f>
        <v>0.2727272727272726</v>
      </c>
      <c r="BB21" s="6">
        <f>(AW21-AO21)/AO21</f>
        <v>0.12532299741602063</v>
      </c>
      <c r="BC21" s="6">
        <f>(AX21-AP21)/AP21</f>
        <v>-0.24038461538461534</v>
      </c>
      <c r="BD21" s="6">
        <f>(AY21-AQ21)/AQ21</f>
        <v>-0.20212765957446813</v>
      </c>
      <c r="BE21" s="4">
        <v>0.37</v>
      </c>
      <c r="BF21" s="4">
        <v>0.81599999999999995</v>
      </c>
      <c r="BG21" s="4">
        <v>6.3E-2</v>
      </c>
      <c r="BH21" s="4">
        <v>7.5999999999999998E-2</v>
      </c>
      <c r="BI21" s="4">
        <v>0.53</v>
      </c>
      <c r="BJ21" s="5">
        <f>(BE21-AN21)/AN21</f>
        <v>0.12121212121212115</v>
      </c>
      <c r="BK21" s="5">
        <f>(BF21-AO21)/AO21</f>
        <v>5.426356589147277E-2</v>
      </c>
      <c r="BL21" s="5">
        <f>(BG21-AP21)/AP21</f>
        <v>-0.39423076923076922</v>
      </c>
      <c r="BM21" s="5">
        <f>(BH21-AQ21)/AQ21</f>
        <v>-0.19148936170212769</v>
      </c>
      <c r="BN21" s="4">
        <v>0.35399999999999998</v>
      </c>
      <c r="BO21" s="4">
        <v>0.749</v>
      </c>
      <c r="BP21" s="4">
        <v>7.2999999999999995E-2</v>
      </c>
      <c r="BQ21" s="4">
        <v>0.17499999999999999</v>
      </c>
      <c r="BR21" s="5">
        <f>(BN21-AR21)/AR21</f>
        <v>0.15309446254071657</v>
      </c>
      <c r="BS21" s="5">
        <f>(BO21-AS21)/AS21</f>
        <v>0.11958146487294463</v>
      </c>
      <c r="BT21" s="5">
        <f>(BP21-AT21)/AT21</f>
        <v>-0.13095238095238107</v>
      </c>
      <c r="BU21" s="5">
        <f>(BQ21-AU21)/AU21</f>
        <v>1.0348837209302326</v>
      </c>
      <c r="BV21" s="4">
        <f>(BN21-BE21)/BE21</f>
        <v>-4.324324324324328E-2</v>
      </c>
      <c r="BW21" s="4">
        <f>(BO21-BF21)/BF21</f>
        <v>-8.2107843137254846E-2</v>
      </c>
      <c r="BX21" s="4">
        <f>(BP21-BG21)/BG21</f>
        <v>0.15873015873015864</v>
      </c>
      <c r="BY21" s="4">
        <f>(BQ21-BH21)/BH21</f>
        <v>1.3026315789473684</v>
      </c>
      <c r="BZ21" s="4">
        <v>0.377</v>
      </c>
      <c r="CA21" s="4">
        <v>0.86899999999999999</v>
      </c>
      <c r="CB21" s="4">
        <v>5.2999999999999999E-2</v>
      </c>
      <c r="CC21" s="4">
        <v>5.7000000000000002E-2</v>
      </c>
      <c r="CD21" s="4">
        <f>(BZ21-AR21)/AR21</f>
        <v>0.22801302931596093</v>
      </c>
      <c r="CE21" s="4">
        <f>(CA21-AS21)/AS21</f>
        <v>0.29895366218236163</v>
      </c>
      <c r="CF21" s="4">
        <f>(CB21-AT21)/AT21</f>
        <v>-0.36904761904761912</v>
      </c>
      <c r="CG21" s="4">
        <f>(CC21-AU21)/AU21</f>
        <v>-0.33720930232558133</v>
      </c>
      <c r="CH21" s="4">
        <f>(BZ21-BN21)/BN21</f>
        <v>6.4971751412429446E-2</v>
      </c>
      <c r="CI21" s="4">
        <f>(CA21-BO21)/BO21</f>
        <v>0.1602136181575434</v>
      </c>
      <c r="CJ21" s="4">
        <f>(CB21-BP21)/BP21</f>
        <v>-0.27397260273972601</v>
      </c>
      <c r="CK21" s="4">
        <f>(CC21-BQ21)/BQ21</f>
        <v>-0.67428571428571427</v>
      </c>
      <c r="CL21" s="4">
        <v>0.58699999999999997</v>
      </c>
      <c r="CM21" s="4">
        <v>0.46600000000000003</v>
      </c>
      <c r="CN21" s="4">
        <f>CL21/CM21</f>
        <v>1.2596566523605148</v>
      </c>
    </row>
    <row r="22" spans="1:92" x14ac:dyDescent="0.3">
      <c r="A22" s="1" t="s">
        <v>22</v>
      </c>
      <c r="B22">
        <v>212</v>
      </c>
      <c r="C22">
        <v>56</v>
      </c>
      <c r="D22">
        <v>5</v>
      </c>
      <c r="E22">
        <v>5</v>
      </c>
      <c r="F22">
        <v>5</v>
      </c>
      <c r="G22" s="3" t="s">
        <v>1</v>
      </c>
      <c r="H22" s="4">
        <v>6.34</v>
      </c>
      <c r="I22" s="4">
        <v>4.1900000000000004</v>
      </c>
      <c r="J22" s="4">
        <v>7.06</v>
      </c>
      <c r="K22" s="4">
        <v>4.7300000000000004</v>
      </c>
      <c r="L22" s="4">
        <f>(H22-I22)/(H22+I22)</f>
        <v>0.20417853751187076</v>
      </c>
      <c r="M22" s="4">
        <f>(J22-K22)/(J22+K22)</f>
        <v>0.19762510602205252</v>
      </c>
      <c r="N22" s="4">
        <v>0.11</v>
      </c>
      <c r="O22" s="4">
        <v>0.27500000000000002</v>
      </c>
      <c r="P22" s="4">
        <v>8.1000000000000003E-2</v>
      </c>
      <c r="Q22" s="4">
        <v>0.12</v>
      </c>
      <c r="R22" s="4">
        <v>0.13</v>
      </c>
      <c r="S22" s="4">
        <v>0.17</v>
      </c>
      <c r="T22" s="4">
        <v>0.115</v>
      </c>
      <c r="U22" s="4">
        <v>0.14000000000000001</v>
      </c>
      <c r="V22" s="4">
        <v>0.32</v>
      </c>
      <c r="W22" s="4">
        <v>0.75</v>
      </c>
      <c r="X22" s="4">
        <v>4.7E-2</v>
      </c>
      <c r="Y22" s="4">
        <v>0.05</v>
      </c>
      <c r="Z22" s="4">
        <v>0.13100000000000001</v>
      </c>
      <c r="AA22" s="5">
        <f>(V22-N22)/N22</f>
        <v>1.9090909090909092</v>
      </c>
      <c r="AB22" s="5">
        <f>(W22-O22)/O22</f>
        <v>1.7272727272727271</v>
      </c>
      <c r="AC22" s="5">
        <f>(X22-P22)/P22</f>
        <v>-0.41975308641975312</v>
      </c>
      <c r="AD22" s="5">
        <f>(Y22-Q22)/Q22</f>
        <v>-0.58333333333333326</v>
      </c>
      <c r="AE22" s="4">
        <v>0.37</v>
      </c>
      <c r="AF22" s="4">
        <v>0.48299999999999998</v>
      </c>
      <c r="AG22" s="4">
        <v>4.7E-2</v>
      </c>
      <c r="AH22" s="4">
        <v>0.05</v>
      </c>
      <c r="AI22" s="4">
        <v>0.127</v>
      </c>
      <c r="AJ22" s="5">
        <f>(AE22-R22)/R22</f>
        <v>1.846153846153846</v>
      </c>
      <c r="AK22" s="5">
        <f>(AF22-S22)/S22</f>
        <v>1.8411764705882347</v>
      </c>
      <c r="AL22" s="5">
        <f>(AG22-T22)/T22</f>
        <v>-0.59130434782608698</v>
      </c>
      <c r="AM22" s="5">
        <f>(AH22-U22)/U22</f>
        <v>-0.6428571428571429</v>
      </c>
      <c r="AN22" s="7">
        <v>9.6000000000000002E-2</v>
      </c>
      <c r="AO22" s="7">
        <v>0.38800000000000001</v>
      </c>
      <c r="AP22" s="7">
        <v>8.2000000000000003E-2</v>
      </c>
      <c r="AQ22" s="7">
        <v>0.13600000000000001</v>
      </c>
      <c r="AR22" s="4">
        <v>0.04</v>
      </c>
      <c r="AS22" s="4">
        <v>0.26200000000000001</v>
      </c>
      <c r="AT22" s="4">
        <v>8.4000000000000005E-2</v>
      </c>
      <c r="AU22" s="4">
        <v>0.11899999999999999</v>
      </c>
      <c r="AV22" s="4">
        <v>0.254</v>
      </c>
      <c r="AW22" s="4">
        <v>0.65</v>
      </c>
      <c r="AX22" s="4">
        <v>6.2E-2</v>
      </c>
      <c r="AY22" s="4">
        <v>0.115</v>
      </c>
      <c r="AZ22" s="4">
        <v>0.30499999999999999</v>
      </c>
      <c r="BA22" s="6">
        <f>(AV22-AN22)/AN22</f>
        <v>1.6458333333333333</v>
      </c>
      <c r="BB22" s="6">
        <f>(AW22-AO22)/AO22</f>
        <v>0.67525773195876293</v>
      </c>
      <c r="BC22" s="6">
        <f>(AX22-AP22)/AP22</f>
        <v>-0.24390243902439029</v>
      </c>
      <c r="BD22" s="6">
        <f>(AY22-AQ22)/AQ22</f>
        <v>-0.15441176470588239</v>
      </c>
      <c r="BE22" s="4">
        <v>0.23</v>
      </c>
      <c r="BF22" s="4">
        <v>0.55100000000000005</v>
      </c>
      <c r="BG22" s="4">
        <v>6.6000000000000003E-2</v>
      </c>
      <c r="BH22" s="4">
        <v>0.10100000000000001</v>
      </c>
      <c r="BI22" s="4">
        <v>0.27700000000000002</v>
      </c>
      <c r="BJ22" s="5">
        <f>(BE22-AN22)/AN22</f>
        <v>1.3958333333333335</v>
      </c>
      <c r="BK22" s="5">
        <f>(BF22-AO22)/AO22</f>
        <v>0.42010309278350522</v>
      </c>
      <c r="BL22" s="5">
        <f>(BG22-AP22)/AP22</f>
        <v>-0.1951219512195122</v>
      </c>
      <c r="BM22" s="5">
        <f>(BH22-AQ22)/AQ22</f>
        <v>-0.25735294117647062</v>
      </c>
      <c r="BN22" s="4">
        <v>0.25</v>
      </c>
      <c r="BO22" s="4">
        <v>0.52500000000000002</v>
      </c>
      <c r="BP22" s="4">
        <v>6.7000000000000004E-2</v>
      </c>
      <c r="BQ22" s="4">
        <v>0.12</v>
      </c>
      <c r="BR22" s="5">
        <f>(BN22-AR22)/AR22</f>
        <v>5.25</v>
      </c>
      <c r="BS22" s="5">
        <f>(BO22-AS22)/AS22</f>
        <v>1.0038167938931297</v>
      </c>
      <c r="BT22" s="5">
        <f>(BP22-AT22)/AT22</f>
        <v>-0.20238095238095238</v>
      </c>
      <c r="BU22" s="5">
        <f>(BQ22-AU22)/AU22</f>
        <v>8.4033613445378234E-3</v>
      </c>
      <c r="BV22" s="4">
        <f>(BN22-BE22)/BE22</f>
        <v>8.6956521739130391E-2</v>
      </c>
      <c r="BW22" s="4">
        <f>(BO22-BF22)/BF22</f>
        <v>-4.7186932849364829E-2</v>
      </c>
      <c r="BX22" s="4">
        <f>(BP22-BG22)/BG22</f>
        <v>1.5151515151515164E-2</v>
      </c>
      <c r="BY22" s="4">
        <f>(BQ22-BH22)/BH22</f>
        <v>0.18811881188118801</v>
      </c>
      <c r="BZ22" s="4">
        <v>0.29199999999999998</v>
      </c>
      <c r="CA22" s="4">
        <v>0.60799999999999998</v>
      </c>
      <c r="CB22" s="4">
        <v>6.0999999999999999E-2</v>
      </c>
      <c r="CC22" s="4">
        <v>9.4E-2</v>
      </c>
      <c r="CD22" s="4">
        <f>(BZ22-AR22)/AR22</f>
        <v>6.3</v>
      </c>
      <c r="CE22" s="4">
        <f>(CA22-AS22)/AS22</f>
        <v>1.3206106870229006</v>
      </c>
      <c r="CF22" s="4">
        <f>(CB22-AT22)/AT22</f>
        <v>-0.27380952380952389</v>
      </c>
      <c r="CG22" s="4">
        <f>(CC22-AU22)/AU22</f>
        <v>-0.21008403361344535</v>
      </c>
      <c r="CH22" s="4">
        <f>(BZ22-BN22)/BN22</f>
        <v>0.16799999999999993</v>
      </c>
      <c r="CI22" s="4">
        <f>(CA22-BO22)/BO22</f>
        <v>0.15809523809523801</v>
      </c>
      <c r="CJ22" s="4">
        <f>(CB22-BP22)/BP22</f>
        <v>-8.9552238805970227E-2</v>
      </c>
      <c r="CK22" s="4">
        <f>(CC22-BQ22)/BQ22</f>
        <v>-0.21666666666666665</v>
      </c>
      <c r="CL22" s="4">
        <v>0.35199999999999998</v>
      </c>
      <c r="CM22" s="4">
        <v>0.69799999999999995</v>
      </c>
      <c r="CN22" s="4">
        <f>CL22/CM22</f>
        <v>0.50429799426934097</v>
      </c>
    </row>
    <row r="23" spans="1:92" x14ac:dyDescent="0.3">
      <c r="A23" s="1" t="s">
        <v>23</v>
      </c>
      <c r="B23">
        <v>428</v>
      </c>
      <c r="C23">
        <v>39</v>
      </c>
      <c r="D23">
        <v>6</v>
      </c>
      <c r="E23">
        <v>5</v>
      </c>
      <c r="F23">
        <v>5</v>
      </c>
      <c r="G23" s="3" t="s">
        <v>1</v>
      </c>
      <c r="H23" s="4">
        <v>7.07</v>
      </c>
      <c r="I23" s="4">
        <v>3.33</v>
      </c>
      <c r="J23" s="4">
        <v>8.02</v>
      </c>
      <c r="K23" s="4">
        <v>3.73</v>
      </c>
      <c r="L23" s="4">
        <f>(H23-I23)/(H23+I23)</f>
        <v>0.35961538461538461</v>
      </c>
      <c r="M23" s="4">
        <f>(J23-K23)/(J23+K23)</f>
        <v>0.36510638297872333</v>
      </c>
      <c r="N23" s="4">
        <v>0.18</v>
      </c>
      <c r="O23" s="4">
        <v>0.42199999999999999</v>
      </c>
      <c r="P23" s="4">
        <v>0.10199999999999999</v>
      </c>
      <c r="Q23" s="4">
        <v>0.12</v>
      </c>
      <c r="R23" s="4">
        <v>0.21</v>
      </c>
      <c r="S23" s="4">
        <v>0.36799999999999999</v>
      </c>
      <c r="T23" s="4">
        <v>0.124</v>
      </c>
      <c r="U23" s="4">
        <v>0.14000000000000001</v>
      </c>
      <c r="V23" s="4">
        <v>0.4</v>
      </c>
      <c r="W23" s="4">
        <v>0.84599999999999997</v>
      </c>
      <c r="X23" s="4">
        <v>0.05</v>
      </c>
      <c r="Y23" s="4">
        <v>0.04</v>
      </c>
      <c r="Z23" s="4">
        <v>0.13100000000000001</v>
      </c>
      <c r="AA23" s="5">
        <f>(V23-N23)/N23</f>
        <v>1.2222222222222223</v>
      </c>
      <c r="AB23" s="5">
        <f>(W23-O23)/O23</f>
        <v>1.0047393364928909</v>
      </c>
      <c r="AC23" s="5">
        <f>(X23-P23)/P23</f>
        <v>-0.50980392156862742</v>
      </c>
      <c r="AD23" s="5">
        <f>(Y23-Q23)/Q23</f>
        <v>-0.66666666666666663</v>
      </c>
      <c r="AE23" s="4">
        <v>0.46</v>
      </c>
      <c r="AF23" s="4">
        <v>0.752</v>
      </c>
      <c r="AG23" s="4">
        <v>7.8E-2</v>
      </c>
      <c r="AH23" s="4">
        <v>0.04</v>
      </c>
      <c r="AI23" s="4">
        <v>0.13900000000000001</v>
      </c>
      <c r="AJ23" s="5">
        <f>(AE23-R23)/R23</f>
        <v>1.1904761904761905</v>
      </c>
      <c r="AK23" s="5">
        <f>(AF23-S23)/S23</f>
        <v>1.0434782608695652</v>
      </c>
      <c r="AL23" s="5">
        <f>(AG23-T23)/T23</f>
        <v>-0.37096774193548387</v>
      </c>
      <c r="AM23" s="5">
        <f>(AH23-U23)/U23</f>
        <v>-0.7142857142857143</v>
      </c>
      <c r="AN23" s="4">
        <v>0.17</v>
      </c>
      <c r="AO23" s="4">
        <v>0.52100000000000002</v>
      </c>
      <c r="AP23" s="4">
        <v>0.11700000000000001</v>
      </c>
      <c r="AQ23" s="4">
        <v>0.13700000000000001</v>
      </c>
      <c r="AR23" s="4">
        <v>0.11700000000000001</v>
      </c>
      <c r="AS23" s="4">
        <v>0.41699999999999998</v>
      </c>
      <c r="AT23" s="4">
        <v>9.8000000000000004E-2</v>
      </c>
      <c r="AU23" s="4">
        <v>0.121</v>
      </c>
      <c r="AV23" s="4">
        <v>0.42</v>
      </c>
      <c r="AW23" s="4">
        <v>0.69599999999999995</v>
      </c>
      <c r="AX23" s="4">
        <v>9.5000000000000001E-2</v>
      </c>
      <c r="AY23" s="4">
        <v>0.11700000000000001</v>
      </c>
      <c r="AZ23" s="4">
        <v>0.34699999999999998</v>
      </c>
      <c r="BA23" s="6">
        <f>(AV23-AN23)/AN23</f>
        <v>1.4705882352941173</v>
      </c>
      <c r="BB23" s="6">
        <f>(AW23-AO23)/AO23</f>
        <v>0.33589251439539336</v>
      </c>
      <c r="BC23" s="6">
        <f>(AX23-AP23)/AP23</f>
        <v>-0.18803418803418806</v>
      </c>
      <c r="BD23" s="6">
        <f>(AY23-AQ23)/AQ23</f>
        <v>-0.14598540145985403</v>
      </c>
      <c r="BE23" s="4">
        <v>0.32900000000000001</v>
      </c>
      <c r="BF23" s="4">
        <v>0.66700000000000004</v>
      </c>
      <c r="BG23" s="4">
        <v>7.4999999999999997E-2</v>
      </c>
      <c r="BH23" s="4">
        <v>0.104</v>
      </c>
      <c r="BI23" s="4">
        <v>0.317</v>
      </c>
      <c r="BJ23" s="5">
        <f>(BE23-AN23)/AN23</f>
        <v>0.93529411764705872</v>
      </c>
      <c r="BK23" s="5">
        <f>(BF23-AO23)/AO23</f>
        <v>0.28023032629558542</v>
      </c>
      <c r="BL23" s="5">
        <f>(BG23-AP23)/AP23</f>
        <v>-0.35897435897435903</v>
      </c>
      <c r="BM23" s="5">
        <f>(BH23-AQ23)/AQ23</f>
        <v>-0.24087591240875922</v>
      </c>
      <c r="BN23" s="4">
        <v>0.32700000000000001</v>
      </c>
      <c r="BO23" s="4">
        <v>0.58099999999999996</v>
      </c>
      <c r="BP23" s="4">
        <v>8.4000000000000005E-2</v>
      </c>
      <c r="BQ23" s="4">
        <v>0.158</v>
      </c>
      <c r="BR23" s="5">
        <f>(BN23-AR23)/AR23</f>
        <v>1.7948717948717949</v>
      </c>
      <c r="BS23" s="5">
        <f>(BO23-AS23)/AS23</f>
        <v>0.39328537170263783</v>
      </c>
      <c r="BT23" s="5">
        <f>(BP23-AT23)/AT23</f>
        <v>-0.14285714285714285</v>
      </c>
      <c r="BU23" s="5">
        <f>(BQ23-AU23)/AU23</f>
        <v>0.30578512396694219</v>
      </c>
      <c r="BV23" s="4">
        <f>(BN23-BE23)/BE23</f>
        <v>-6.0790273556231055E-3</v>
      </c>
      <c r="BW23" s="4">
        <f>(BO23-BF23)/BF23</f>
        <v>-0.12893553223388315</v>
      </c>
      <c r="BX23" s="4">
        <f>(BP23-BG23)/BG23</f>
        <v>0.12000000000000011</v>
      </c>
      <c r="BY23" s="4">
        <f>(BQ23-BH23)/BH23</f>
        <v>0.51923076923076927</v>
      </c>
      <c r="BZ23" s="4">
        <v>0.36299999999999999</v>
      </c>
      <c r="CA23" s="4">
        <v>0.70499999999999996</v>
      </c>
      <c r="CB23" s="4">
        <v>7.0000000000000007E-2</v>
      </c>
      <c r="CC23" s="4">
        <v>8.6999999999999994E-2</v>
      </c>
      <c r="CD23" s="4">
        <f>(BZ23-AR23)/AR23</f>
        <v>2.1025641025641022</v>
      </c>
      <c r="CE23" s="4">
        <f>(CA23-AS23)/AS23</f>
        <v>0.69064748201438841</v>
      </c>
      <c r="CF23" s="4">
        <f>(CB23-AT23)/AT23</f>
        <v>-0.2857142857142857</v>
      </c>
      <c r="CG23" s="4">
        <f>(CC23-AU23)/AU23</f>
        <v>-0.28099173553719009</v>
      </c>
      <c r="CH23" s="4">
        <f>(BZ23-BN23)/BN23</f>
        <v>0.11009174311926598</v>
      </c>
      <c r="CI23" s="4">
        <f>(CA23-BO23)/BO23</f>
        <v>0.21342512908777969</v>
      </c>
      <c r="CJ23" s="4">
        <f>(CB23-BP23)/BP23</f>
        <v>-0.16666666666666663</v>
      </c>
      <c r="CK23" s="4">
        <f>(CC23-BQ23)/BQ23</f>
        <v>-0.449367088607595</v>
      </c>
      <c r="CL23" s="4">
        <v>0.45300000000000001</v>
      </c>
      <c r="CM23" s="4">
        <v>0.58799999999999997</v>
      </c>
      <c r="CN23" s="4">
        <f>CL23/CM23</f>
        <v>0.77040816326530615</v>
      </c>
    </row>
    <row r="24" spans="1:92" x14ac:dyDescent="0.3">
      <c r="A24" s="1" t="s">
        <v>24</v>
      </c>
      <c r="B24">
        <v>595</v>
      </c>
      <c r="C24">
        <v>20</v>
      </c>
      <c r="D24">
        <v>5</v>
      </c>
      <c r="E24">
        <v>2</v>
      </c>
      <c r="F24">
        <v>2</v>
      </c>
      <c r="G24" s="3" t="s">
        <v>1</v>
      </c>
      <c r="H24" s="4">
        <v>6.19</v>
      </c>
      <c r="I24" s="4">
        <v>2.86</v>
      </c>
      <c r="J24" s="4">
        <v>7.12</v>
      </c>
      <c r="K24" s="4">
        <v>3.1</v>
      </c>
      <c r="L24" s="4">
        <f>(H24-I24)/(H24+I24)</f>
        <v>0.36795580110497239</v>
      </c>
      <c r="M24" s="4">
        <f>(J24-K24)/(J24+K24)</f>
        <v>0.39334637964774943</v>
      </c>
      <c r="N24" s="4">
        <v>0.31</v>
      </c>
      <c r="O24" s="4">
        <v>0.47199999999999998</v>
      </c>
      <c r="P24" s="4">
        <v>0.16800000000000001</v>
      </c>
      <c r="Q24" s="4">
        <v>0.16</v>
      </c>
      <c r="R24" s="4">
        <v>0.36</v>
      </c>
      <c r="S24" s="4">
        <v>0.45700000000000002</v>
      </c>
      <c r="T24" s="4">
        <v>0.19600000000000001</v>
      </c>
      <c r="U24" s="4">
        <v>0.18</v>
      </c>
      <c r="V24" s="4">
        <v>0.47</v>
      </c>
      <c r="W24" s="4">
        <v>0.77200000000000002</v>
      </c>
      <c r="X24" s="4">
        <v>0.11</v>
      </c>
      <c r="Y24" s="4">
        <v>0.06</v>
      </c>
      <c r="Z24" s="4">
        <v>0.27</v>
      </c>
      <c r="AA24" s="5">
        <f>(V24-N24)/N24</f>
        <v>0.51612903225806439</v>
      </c>
      <c r="AB24" s="5">
        <f>(W24-O24)/O24</f>
        <v>0.63559322033898313</v>
      </c>
      <c r="AC24" s="5">
        <f>(X24-P24)/P24</f>
        <v>-0.34523809523809529</v>
      </c>
      <c r="AD24" s="5">
        <f>(Y24-Q24)/Q24</f>
        <v>-0.625</v>
      </c>
      <c r="AE24" s="4">
        <v>0.53</v>
      </c>
      <c r="AF24" s="4">
        <v>0.73199999999999998</v>
      </c>
      <c r="AG24" s="4">
        <v>0.13700000000000001</v>
      </c>
      <c r="AH24" s="4">
        <v>7.0000000000000007E-2</v>
      </c>
      <c r="AI24" s="4">
        <v>0.28999999999999998</v>
      </c>
      <c r="AJ24" s="5">
        <f>(AE24-R24)/R24</f>
        <v>0.47222222222222238</v>
      </c>
      <c r="AK24" s="5">
        <f>(AF24-S24)/S24</f>
        <v>0.60175054704595177</v>
      </c>
      <c r="AL24" s="5">
        <f>(AG24-T24)/T24</f>
        <v>-0.30102040816326525</v>
      </c>
      <c r="AM24" s="5">
        <f>(AH24-U24)/U24</f>
        <v>-0.61111111111111105</v>
      </c>
      <c r="AN24" s="4">
        <v>0.43</v>
      </c>
      <c r="AO24" s="4">
        <v>0.65</v>
      </c>
      <c r="AP24" s="4">
        <v>0.217</v>
      </c>
      <c r="AQ24" s="4">
        <v>0.20100000000000001</v>
      </c>
      <c r="AR24" s="4">
        <v>0.25900000000000001</v>
      </c>
      <c r="AS24" s="4">
        <v>0.47299999999999998</v>
      </c>
      <c r="AT24" s="4">
        <v>0.152</v>
      </c>
      <c r="AU24" s="4">
        <v>0.16600000000000001</v>
      </c>
      <c r="AV24" s="4">
        <v>0.55000000000000004</v>
      </c>
      <c r="AW24" s="4">
        <v>0.90700000000000003</v>
      </c>
      <c r="AX24" s="4">
        <v>0.112</v>
      </c>
      <c r="AY24" s="4">
        <v>0.09</v>
      </c>
      <c r="AZ24" s="4">
        <v>0.32800000000000001</v>
      </c>
      <c r="BA24" s="6">
        <f>(AV24-AN24)/AN24</f>
        <v>0.27906976744186057</v>
      </c>
      <c r="BB24" s="6">
        <f>(AW24-AO24)/AO24</f>
        <v>0.39538461538461539</v>
      </c>
      <c r="BC24" s="6">
        <f>(AX24-AP24)/AP24</f>
        <v>-0.48387096774193544</v>
      </c>
      <c r="BD24" s="6">
        <f>(AY24-AQ24)/AQ24</f>
        <v>-0.55223880597014929</v>
      </c>
      <c r="BE24" s="4">
        <v>0.439</v>
      </c>
      <c r="BF24" s="4">
        <v>0.77100000000000002</v>
      </c>
      <c r="BG24" s="4">
        <v>0.1</v>
      </c>
      <c r="BH24" s="4">
        <v>7.3999999999999996E-2</v>
      </c>
      <c r="BI24" s="4">
        <v>0.315</v>
      </c>
      <c r="BJ24" s="5">
        <f>(BE24-AN24)/AN24</f>
        <v>2.0930232558139555E-2</v>
      </c>
      <c r="BK24" s="5">
        <f>(BF24-AO24)/AO24</f>
        <v>0.18615384615384614</v>
      </c>
      <c r="BL24" s="5">
        <f>(BG24-AP24)/AP24</f>
        <v>-0.53917050691244239</v>
      </c>
      <c r="BM24" s="5">
        <f>(BH24-AQ24)/AQ24</f>
        <v>-0.63184079601990051</v>
      </c>
      <c r="BN24" s="4">
        <v>0.438</v>
      </c>
      <c r="BO24" s="4">
        <v>0.76300000000000001</v>
      </c>
      <c r="BP24" s="4">
        <v>0.10199999999999999</v>
      </c>
      <c r="BQ24" s="4">
        <v>0.13</v>
      </c>
      <c r="BR24" s="5">
        <f>(BN24-AR24)/AR24</f>
        <v>0.69111969111969107</v>
      </c>
      <c r="BS24" s="5">
        <f>(BO24-AS24)/AS24</f>
        <v>0.61310782241014805</v>
      </c>
      <c r="BT24" s="5">
        <f>(BP24-AT24)/AT24</f>
        <v>-0.32894736842105265</v>
      </c>
      <c r="BU24" s="5">
        <f>(BQ24-AU24)/AU24</f>
        <v>-0.21686746987951808</v>
      </c>
      <c r="BV24" s="4">
        <f>(BN24-BE24)/BE24</f>
        <v>-2.2779043280182253E-3</v>
      </c>
      <c r="BW24" s="4">
        <f>(BO24-BF24)/BF24</f>
        <v>-1.0376134889753575E-2</v>
      </c>
      <c r="BX24" s="4">
        <f>(BP24-BG24)/BG24</f>
        <v>1.9999999999999879E-2</v>
      </c>
      <c r="BY24" s="4">
        <f>(BQ24-BH24)/BH24</f>
        <v>0.75675675675675691</v>
      </c>
      <c r="BZ24" s="4">
        <v>0.504</v>
      </c>
      <c r="CA24" s="4">
        <v>0.84899999999999998</v>
      </c>
      <c r="CB24" s="4">
        <v>8.1000000000000003E-2</v>
      </c>
      <c r="CC24" s="4">
        <v>5.3999999999999999E-2</v>
      </c>
      <c r="CD24" s="4">
        <f>(BZ24-AR24)/AR24</f>
        <v>0.94594594594594594</v>
      </c>
      <c r="CE24" s="4">
        <f>(CA24-AS24)/AS24</f>
        <v>0.79492600422832982</v>
      </c>
      <c r="CF24" s="4">
        <f>(CB24-AT24)/AT24</f>
        <v>-0.46710526315789469</v>
      </c>
      <c r="CG24" s="4">
        <f>(CC24-AU24)/AU24</f>
        <v>-0.67469879518072295</v>
      </c>
      <c r="CH24" s="4">
        <f>(BZ24-BN24)/BN24</f>
        <v>0.15068493150684933</v>
      </c>
      <c r="CI24" s="4">
        <f>(CA24-BO24)/BO24</f>
        <v>0.11271297509829616</v>
      </c>
      <c r="CJ24" s="4">
        <f>(CB24-BP24)/BP24</f>
        <v>-0.20588235294117641</v>
      </c>
      <c r="CK24" s="4">
        <f>(CC24-BQ24)/BQ24</f>
        <v>-0.58461538461538465</v>
      </c>
      <c r="CL24" s="4">
        <v>0.45100000000000001</v>
      </c>
      <c r="CM24" s="4">
        <v>0.505</v>
      </c>
      <c r="CN24" s="4">
        <f>CL24/CM24</f>
        <v>0.89306930693069309</v>
      </c>
    </row>
    <row r="25" spans="1:92" x14ac:dyDescent="0.3">
      <c r="A25" s="1" t="s">
        <v>25</v>
      </c>
      <c r="B25">
        <v>3991</v>
      </c>
      <c r="C25">
        <v>18</v>
      </c>
      <c r="D25">
        <v>5</v>
      </c>
      <c r="E25">
        <v>5</v>
      </c>
      <c r="F25">
        <v>5</v>
      </c>
      <c r="G25" s="3" t="s">
        <v>1</v>
      </c>
      <c r="H25" s="4">
        <v>2.96</v>
      </c>
      <c r="I25" s="4">
        <v>1.34</v>
      </c>
      <c r="J25" s="4">
        <v>3.47</v>
      </c>
      <c r="K25" s="4">
        <v>1.59</v>
      </c>
      <c r="L25" s="4">
        <f>(H25-I25)/(H25+I25)</f>
        <v>0.37674418604651161</v>
      </c>
      <c r="M25" s="4">
        <f>(J25-K25)/(J25+K25)</f>
        <v>0.37154150197628455</v>
      </c>
      <c r="N25" s="4">
        <v>0.16</v>
      </c>
      <c r="O25" s="4">
        <v>0.46100000000000002</v>
      </c>
      <c r="P25" s="4">
        <v>0.111</v>
      </c>
      <c r="Q25" s="4">
        <v>0.11</v>
      </c>
      <c r="R25" s="4">
        <v>0.19</v>
      </c>
      <c r="S25" s="4">
        <v>0.42299999999999999</v>
      </c>
      <c r="T25" s="4">
        <v>0.13500000000000001</v>
      </c>
      <c r="U25" s="4">
        <v>0.13</v>
      </c>
      <c r="V25" s="4">
        <v>0.39</v>
      </c>
      <c r="W25" s="4">
        <v>0.93100000000000005</v>
      </c>
      <c r="X25" s="4">
        <v>0.04</v>
      </c>
      <c r="Y25" s="4">
        <v>0.02</v>
      </c>
      <c r="Z25" s="4">
        <v>0.17199999999999999</v>
      </c>
      <c r="AA25" s="5">
        <f>(V25-N25)/N25</f>
        <v>1.4375</v>
      </c>
      <c r="AB25" s="5">
        <f>(W25-O25)/O25</f>
        <v>1.0195227765726682</v>
      </c>
      <c r="AC25" s="5">
        <f>(X25-P25)/P25</f>
        <v>-0.63963963963963966</v>
      </c>
      <c r="AD25" s="5">
        <f>(Y25-Q25)/Q25</f>
        <v>-0.81818181818181812</v>
      </c>
      <c r="AE25" s="4">
        <v>0.46</v>
      </c>
      <c r="AF25" s="4">
        <v>0.91600000000000004</v>
      </c>
      <c r="AG25" s="4">
        <v>5.1999999999999998E-2</v>
      </c>
      <c r="AH25" s="4">
        <v>0.02</v>
      </c>
      <c r="AI25" s="4">
        <v>0.17699999999999999</v>
      </c>
      <c r="AJ25" s="5">
        <f>(AE25-R25)/R25</f>
        <v>1.4210526315789473</v>
      </c>
      <c r="AK25" s="5">
        <f>(AF25-S25)/S25</f>
        <v>1.1654846335697402</v>
      </c>
      <c r="AL25" s="5">
        <f>(AG25-T25)/T25</f>
        <v>-0.61481481481481493</v>
      </c>
      <c r="AM25" s="5">
        <f>(AH25-U25)/U25</f>
        <v>-0.84615384615384615</v>
      </c>
      <c r="AN25" s="4">
        <v>0.16300000000000001</v>
      </c>
      <c r="AO25" s="4">
        <v>0.46100000000000002</v>
      </c>
      <c r="AP25" s="4">
        <v>0.14699999999999999</v>
      </c>
      <c r="AQ25" s="4">
        <v>0.12</v>
      </c>
      <c r="AR25" s="4">
        <v>0.10199999999999999</v>
      </c>
      <c r="AS25" s="4">
        <v>0.45300000000000001</v>
      </c>
      <c r="AT25" s="4">
        <v>0.10299999999999999</v>
      </c>
      <c r="AU25" s="4">
        <v>0.10100000000000001</v>
      </c>
      <c r="AV25" s="4">
        <v>0.42599999999999999</v>
      </c>
      <c r="AW25" s="4">
        <v>0.76700000000000002</v>
      </c>
      <c r="AX25" s="4">
        <v>9.7000000000000003E-2</v>
      </c>
      <c r="AY25" s="4">
        <v>7.8E-2</v>
      </c>
      <c r="AZ25" s="4">
        <v>0.27100000000000002</v>
      </c>
      <c r="BA25" s="6">
        <f>(AV25-AN25)/AN25</f>
        <v>1.6134969325153374</v>
      </c>
      <c r="BB25" s="6">
        <f>(AW25-AO25)/AO25</f>
        <v>0.66377440347071581</v>
      </c>
      <c r="BC25" s="6">
        <f>(AX25-AP25)/AP25</f>
        <v>-0.34013605442176864</v>
      </c>
      <c r="BD25" s="6">
        <f>(AY25-AQ25)/AQ25</f>
        <v>-0.35</v>
      </c>
      <c r="BE25" s="4">
        <v>0.34799999999999998</v>
      </c>
      <c r="BF25" s="4">
        <v>0.77600000000000002</v>
      </c>
      <c r="BG25" s="4">
        <v>6.6000000000000003E-2</v>
      </c>
      <c r="BH25" s="4">
        <v>6.7000000000000004E-2</v>
      </c>
      <c r="BI25" s="4">
        <v>0.27100000000000002</v>
      </c>
      <c r="BJ25" s="5">
        <f>(BE25-AN25)/AN25</f>
        <v>1.1349693251533739</v>
      </c>
      <c r="BK25" s="5">
        <f>(BF25-AO25)/AO25</f>
        <v>0.68329718004338391</v>
      </c>
      <c r="BL25" s="5">
        <f>(BG25-AP25)/AP25</f>
        <v>-0.55102040816326525</v>
      </c>
      <c r="BM25" s="5">
        <f>(BH25-AQ25)/AQ25</f>
        <v>-0.4416666666666666</v>
      </c>
      <c r="BN25" s="4">
        <v>0.377</v>
      </c>
      <c r="BO25" s="4">
        <v>0.67500000000000004</v>
      </c>
      <c r="BP25" s="4">
        <v>7.9000000000000001E-2</v>
      </c>
      <c r="BQ25" s="4">
        <v>0.11899999999999999</v>
      </c>
      <c r="BR25" s="5">
        <f>(BN25-AR25)/AR25</f>
        <v>2.6960784313725492</v>
      </c>
      <c r="BS25" s="5">
        <f>(BO25-AS25)/AS25</f>
        <v>0.49006622516556297</v>
      </c>
      <c r="BT25" s="5">
        <f>(BP25-AT25)/AT25</f>
        <v>-0.23300970873786403</v>
      </c>
      <c r="BU25" s="5">
        <f>(BQ25-AU25)/AU25</f>
        <v>0.1782178217821781</v>
      </c>
      <c r="BV25" s="4">
        <f>(BN25-BE25)/BE25</f>
        <v>8.3333333333333412E-2</v>
      </c>
      <c r="BW25" s="4">
        <f>(BO25-BF25)/BF25</f>
        <v>-0.13015463917525771</v>
      </c>
      <c r="BX25" s="4">
        <f>(BP25-BG25)/BG25</f>
        <v>0.19696969696969693</v>
      </c>
      <c r="BY25" s="4">
        <f>(BQ25-BH25)/BH25</f>
        <v>0.77611940298507442</v>
      </c>
      <c r="BZ25" s="4">
        <v>0.38400000000000001</v>
      </c>
      <c r="CA25" s="4">
        <v>0.82399999999999995</v>
      </c>
      <c r="CB25" s="4">
        <v>5.8000000000000003E-2</v>
      </c>
      <c r="CC25" s="4">
        <v>5.8999999999999997E-2</v>
      </c>
      <c r="CD25" s="4">
        <f>(BZ25-AR25)/AR25</f>
        <v>2.7647058823529416</v>
      </c>
      <c r="CE25" s="4">
        <f>(CA25-AS25)/AS25</f>
        <v>0.81898454746136851</v>
      </c>
      <c r="CF25" s="4">
        <f>(CB25-AT25)/AT25</f>
        <v>-0.43689320388349506</v>
      </c>
      <c r="CG25" s="4">
        <f>(CC25-AU25)/AU25</f>
        <v>-0.41584158415841593</v>
      </c>
      <c r="CH25" s="4">
        <f>(BZ25-BN25)/BN25</f>
        <v>1.8567639257294447E-2</v>
      </c>
      <c r="CI25" s="4">
        <f>(CA25-BO25)/BO25</f>
        <v>0.2207407407407406</v>
      </c>
      <c r="CJ25" s="4">
        <f>(CB25-BP25)/BP25</f>
        <v>-0.26582278481012656</v>
      </c>
      <c r="CK25" s="4">
        <f>(CC25-BQ25)/BQ25</f>
        <v>-0.50420168067226889</v>
      </c>
      <c r="CL25" s="4">
        <v>0.35</v>
      </c>
      <c r="CM25" s="4">
        <v>0.72299999999999998</v>
      </c>
      <c r="CN25" s="4">
        <f>CL25/CM25</f>
        <v>0.48409405255878285</v>
      </c>
    </row>
    <row r="26" spans="1:92" x14ac:dyDescent="0.3">
      <c r="A26" s="1" t="s">
        <v>26</v>
      </c>
      <c r="B26">
        <v>2268</v>
      </c>
      <c r="C26">
        <v>30</v>
      </c>
      <c r="D26">
        <v>6</v>
      </c>
      <c r="E26">
        <v>5</v>
      </c>
      <c r="F26">
        <v>5</v>
      </c>
      <c r="G26" s="3" t="s">
        <v>1</v>
      </c>
      <c r="H26" s="4">
        <v>5.41</v>
      </c>
      <c r="I26" s="4">
        <v>3.09</v>
      </c>
      <c r="J26" s="4">
        <v>5.93</v>
      </c>
      <c r="K26" s="4">
        <v>3.58</v>
      </c>
      <c r="L26" s="4">
        <f>(H26-I26)/(H26+I26)</f>
        <v>0.27294117647058824</v>
      </c>
      <c r="M26" s="4">
        <f>(J26-K26)/(J26+K26)</f>
        <v>0.24710830704521553</v>
      </c>
      <c r="N26" s="4">
        <v>0.18</v>
      </c>
      <c r="O26" s="4">
        <v>0.45500000000000002</v>
      </c>
      <c r="P26" s="4">
        <v>0.10299999999999999</v>
      </c>
      <c r="Q26" s="4">
        <v>0.12</v>
      </c>
      <c r="R26" s="4">
        <v>0.2</v>
      </c>
      <c r="S26" s="4">
        <v>0.41699999999999998</v>
      </c>
      <c r="T26" s="4">
        <v>0.11899999999999999</v>
      </c>
      <c r="U26" s="4">
        <v>0.14000000000000001</v>
      </c>
      <c r="V26" s="4">
        <v>0.37</v>
      </c>
      <c r="W26" s="4">
        <v>0.85699999999999998</v>
      </c>
      <c r="X26" s="4">
        <v>5.2999999999999999E-2</v>
      </c>
      <c r="Y26" s="4">
        <v>0.03</v>
      </c>
      <c r="Z26" s="4">
        <v>0.19600000000000001</v>
      </c>
      <c r="AA26" s="5">
        <f>(V26-N26)/N26</f>
        <v>1.0555555555555556</v>
      </c>
      <c r="AB26" s="5">
        <f>(W26-O26)/O26</f>
        <v>0.88351648351648338</v>
      </c>
      <c r="AC26" s="5">
        <f>(X26-P26)/P26</f>
        <v>-0.4854368932038835</v>
      </c>
      <c r="AD26" s="5">
        <f>(Y26-Q26)/Q26</f>
        <v>-0.75</v>
      </c>
      <c r="AE26" s="4">
        <v>0.42</v>
      </c>
      <c r="AF26" s="4">
        <v>0.83099999999999996</v>
      </c>
      <c r="AG26" s="4">
        <v>6.4000000000000001E-2</v>
      </c>
      <c r="AH26" s="4">
        <v>0.03</v>
      </c>
      <c r="AI26" s="4">
        <v>0.19400000000000001</v>
      </c>
      <c r="AJ26" s="5">
        <f>(AE26-R26)/R26</f>
        <v>1.0999999999999999</v>
      </c>
      <c r="AK26" s="5">
        <f>(AF26-S26)/S26</f>
        <v>0.9928057553956835</v>
      </c>
      <c r="AL26" s="5">
        <f>(AG26-T26)/T26</f>
        <v>-0.4621848739495798</v>
      </c>
      <c r="AM26" s="5">
        <f>(AH26-U26)/U26</f>
        <v>-0.7857142857142857</v>
      </c>
      <c r="AN26" s="4">
        <v>0.17899999999999999</v>
      </c>
      <c r="AO26" s="4">
        <v>0.33500000000000002</v>
      </c>
      <c r="AP26" s="4">
        <v>0.14399999999999999</v>
      </c>
      <c r="AQ26" s="4">
        <v>0.13600000000000001</v>
      </c>
      <c r="AR26" s="4">
        <v>0.17899999999999999</v>
      </c>
      <c r="AS26" s="4">
        <v>0.44800000000000001</v>
      </c>
      <c r="AT26" s="4">
        <v>9.5000000000000001E-2</v>
      </c>
      <c r="AU26" s="4">
        <v>0.11600000000000001</v>
      </c>
      <c r="AV26" s="7">
        <v>0.38100000000000001</v>
      </c>
      <c r="AW26" s="7">
        <v>0.71699999999999997</v>
      </c>
      <c r="AX26" s="7">
        <v>9.4E-2</v>
      </c>
      <c r="AY26" s="7">
        <v>0.09</v>
      </c>
      <c r="AZ26" s="7">
        <v>0.47399999999999998</v>
      </c>
      <c r="BA26" s="8">
        <f>(AV26-AN26)/AN26</f>
        <v>1.1284916201117319</v>
      </c>
      <c r="BB26" s="8">
        <f>(AW26-AO26)/AO26</f>
        <v>1.1402985074626864</v>
      </c>
      <c r="BC26" s="8">
        <f>(AX26-AP26)/AP26</f>
        <v>-0.34722222222222215</v>
      </c>
      <c r="BD26" s="8">
        <f>(AY26-AQ26)/AQ26</f>
        <v>-0.33823529411764713</v>
      </c>
      <c r="BE26" s="4">
        <v>0.31</v>
      </c>
      <c r="BF26" s="4">
        <v>0.70599999999999996</v>
      </c>
      <c r="BG26" s="4">
        <v>7.0000000000000007E-2</v>
      </c>
      <c r="BH26" s="4">
        <v>7.8E-2</v>
      </c>
      <c r="BI26" s="4">
        <v>0.47199999999999998</v>
      </c>
      <c r="BJ26" s="5">
        <f>(BE26-AN26)/AN26</f>
        <v>0.73184357541899447</v>
      </c>
      <c r="BK26" s="5">
        <f>(BF26-AO26)/AO26</f>
        <v>1.107462686567164</v>
      </c>
      <c r="BL26" s="5">
        <f>(BG26-AP26)/AP26</f>
        <v>-0.51388888888888884</v>
      </c>
      <c r="BM26" s="5">
        <f>(BH26-AQ26)/AQ26</f>
        <v>-0.42647058823529416</v>
      </c>
      <c r="BN26" s="4">
        <v>0.28199999999999997</v>
      </c>
      <c r="BO26" s="4">
        <v>0.47799999999999998</v>
      </c>
      <c r="BP26" s="4">
        <v>9.2999999999999999E-2</v>
      </c>
      <c r="BQ26" s="4">
        <v>0.17199999999999999</v>
      </c>
      <c r="BR26" s="5">
        <f>(BN26-AR26)/AR26</f>
        <v>0.57541899441340771</v>
      </c>
      <c r="BS26" s="5">
        <f>(BO26-AS26)/AS26</f>
        <v>6.6964285714285643E-2</v>
      </c>
      <c r="BT26" s="5">
        <f>(BP26-AT26)/AT26</f>
        <v>-2.1052631578947385E-2</v>
      </c>
      <c r="BU26" s="5">
        <f>(BQ26-AU26)/AU26</f>
        <v>0.48275862068965497</v>
      </c>
      <c r="BV26" s="4">
        <f>(BN26-BE26)/BE26</f>
        <v>-9.0322580645161368E-2</v>
      </c>
      <c r="BW26" s="4">
        <f>(BO26-BF26)/BF26</f>
        <v>-0.32294617563739375</v>
      </c>
      <c r="BX26" s="4">
        <f>(BP26-BG26)/BG26</f>
        <v>0.32857142857142846</v>
      </c>
      <c r="BY26" s="4">
        <f>(BQ26-BH26)/BH26</f>
        <v>1.2051282051282051</v>
      </c>
      <c r="BZ26" s="4">
        <v>0.35299999999999998</v>
      </c>
      <c r="CA26" s="4">
        <v>0.61299999999999999</v>
      </c>
      <c r="CB26" s="4">
        <v>0.08</v>
      </c>
      <c r="CC26" s="4">
        <v>0.13600000000000001</v>
      </c>
      <c r="CD26" s="4">
        <f>(BZ26-AR26)/AR26</f>
        <v>0.97206703910614523</v>
      </c>
      <c r="CE26" s="4">
        <f>(CA26-AS26)/AS26</f>
        <v>0.3683035714285714</v>
      </c>
      <c r="CF26" s="4">
        <f>(CB26-AT26)/AT26</f>
        <v>-0.15789473684210525</v>
      </c>
      <c r="CG26" s="4">
        <f>(CC26-AU26)/AU26</f>
        <v>0.17241379310344829</v>
      </c>
      <c r="CH26" s="4">
        <f>(BZ26-BN26)/BN26</f>
        <v>0.2517730496453901</v>
      </c>
      <c r="CI26" s="4">
        <f>(CA26-BO26)/BO26</f>
        <v>0.28242677824267787</v>
      </c>
      <c r="CJ26" s="4">
        <f>(CB26-BP26)/BP26</f>
        <v>-0.13978494623655913</v>
      </c>
      <c r="CK26" s="4">
        <f>(CC26-BQ26)/BQ26</f>
        <v>-0.20930232558139522</v>
      </c>
      <c r="CL26" s="4">
        <v>0.52400000000000002</v>
      </c>
      <c r="CM26" s="4">
        <v>0.5</v>
      </c>
      <c r="CN26" s="4">
        <f>CL26/CM26</f>
        <v>1.048</v>
      </c>
    </row>
    <row r="27" spans="1:92" x14ac:dyDescent="0.3">
      <c r="A27" s="1" t="s">
        <v>27</v>
      </c>
      <c r="B27">
        <v>107</v>
      </c>
      <c r="C27">
        <v>20</v>
      </c>
      <c r="D27">
        <v>5</v>
      </c>
      <c r="E27">
        <v>2</v>
      </c>
      <c r="F27">
        <v>2</v>
      </c>
      <c r="G27" s="3" t="s">
        <v>1</v>
      </c>
      <c r="H27" s="4">
        <v>3.51</v>
      </c>
      <c r="I27" s="4">
        <v>2.4300000000000002</v>
      </c>
      <c r="J27" s="4">
        <v>4.47</v>
      </c>
      <c r="K27" s="4">
        <v>2.99</v>
      </c>
      <c r="L27" s="4">
        <f>(H27-I27)/(H27+I27)</f>
        <v>0.18181818181818177</v>
      </c>
      <c r="M27" s="4">
        <f>(J27-K27)/(J27+K27)</f>
        <v>0.19839142091152809</v>
      </c>
      <c r="N27" s="4">
        <v>0.18</v>
      </c>
      <c r="O27" s="4">
        <v>0.38700000000000001</v>
      </c>
      <c r="P27" s="4">
        <v>0.121</v>
      </c>
      <c r="Q27" s="4">
        <v>0.15</v>
      </c>
      <c r="R27" s="4">
        <v>0.22</v>
      </c>
      <c r="S27" s="4">
        <v>0.24</v>
      </c>
      <c r="T27" s="4">
        <v>0.19700000000000001</v>
      </c>
      <c r="U27" s="4">
        <v>0.19</v>
      </c>
      <c r="V27" s="4">
        <v>0.37</v>
      </c>
      <c r="W27" s="4">
        <v>0.81</v>
      </c>
      <c r="X27" s="4">
        <v>6.6000000000000003E-2</v>
      </c>
      <c r="Y27" s="4">
        <v>0.06</v>
      </c>
      <c r="Z27" s="4">
        <v>0.14000000000000001</v>
      </c>
      <c r="AA27" s="5">
        <f>(V27-N27)/N27</f>
        <v>1.0555555555555556</v>
      </c>
      <c r="AB27" s="5">
        <f>(W27-O27)/O27</f>
        <v>1.0930232558139537</v>
      </c>
      <c r="AC27" s="5">
        <f>(X27-P27)/P27</f>
        <v>-0.45454545454545453</v>
      </c>
      <c r="AD27" s="5">
        <f>(Y27-Q27)/Q27</f>
        <v>-0.6</v>
      </c>
      <c r="AE27" s="4">
        <v>0.47</v>
      </c>
      <c r="AF27" s="4">
        <v>0.48699999999999999</v>
      </c>
      <c r="AG27" s="4">
        <v>0.16</v>
      </c>
      <c r="AH27" s="4">
        <v>7.0000000000000007E-2</v>
      </c>
      <c r="AI27" s="4">
        <v>0.157</v>
      </c>
      <c r="AJ27" s="5">
        <f>(AE27-R27)/R27</f>
        <v>1.1363636363636362</v>
      </c>
      <c r="AK27" s="5">
        <f>(AF27-S27)/S27</f>
        <v>1.0291666666666668</v>
      </c>
      <c r="AL27" s="5">
        <f>(AG27-T27)/T27</f>
        <v>-0.18781725888324874</v>
      </c>
      <c r="AM27" s="5">
        <f>(AH27-U27)/U27</f>
        <v>-0.63157894736842102</v>
      </c>
      <c r="AN27" s="7">
        <v>0.218</v>
      </c>
      <c r="AO27" s="7">
        <v>0.53300000000000003</v>
      </c>
      <c r="AP27" s="7">
        <v>0.14799999999999999</v>
      </c>
      <c r="AQ27" s="7">
        <v>0.184</v>
      </c>
      <c r="AR27" s="4">
        <v>5.6000000000000001E-2</v>
      </c>
      <c r="AS27" s="4">
        <v>0.36899999999999999</v>
      </c>
      <c r="AT27" s="4">
        <v>0.125</v>
      </c>
      <c r="AU27" s="4">
        <v>0.14899999999999999</v>
      </c>
      <c r="AV27" s="7">
        <v>0.372</v>
      </c>
      <c r="AW27" s="7">
        <v>0.83499999999999996</v>
      </c>
      <c r="AX27" s="7">
        <v>8.7999999999999995E-2</v>
      </c>
      <c r="AY27" s="7">
        <v>0.13100000000000001</v>
      </c>
      <c r="AZ27" s="7">
        <v>0.19</v>
      </c>
      <c r="BA27" s="8">
        <f>(AV27-AN27)/AN27</f>
        <v>0.70642201834862384</v>
      </c>
      <c r="BB27" s="8">
        <f>(AW27-AO27)/AO27</f>
        <v>0.56660412757973722</v>
      </c>
      <c r="BC27" s="8">
        <f>(AX27-AP27)/AP27</f>
        <v>-0.40540540540540543</v>
      </c>
      <c r="BD27" s="8">
        <f>(AY27-AQ27)/AQ27</f>
        <v>-0.28804347826086951</v>
      </c>
      <c r="BE27" s="4">
        <v>0.32600000000000001</v>
      </c>
      <c r="BF27" s="4">
        <v>0.68799999999999994</v>
      </c>
      <c r="BG27" s="4">
        <v>8.7999999999999995E-2</v>
      </c>
      <c r="BH27" s="4">
        <v>0.106</v>
      </c>
      <c r="BI27" s="4">
        <v>0.158</v>
      </c>
      <c r="BJ27" s="5">
        <f>(BE27-AN27)/AN27</f>
        <v>0.49541284403669733</v>
      </c>
      <c r="BK27" s="5">
        <f>(BF27-AO27)/AO27</f>
        <v>0.29080675422138819</v>
      </c>
      <c r="BL27" s="5">
        <f>(BG27-AP27)/AP27</f>
        <v>-0.40540540540540543</v>
      </c>
      <c r="BM27" s="5">
        <f>(BH27-AQ27)/AQ27</f>
        <v>-0.42391304347826086</v>
      </c>
      <c r="BN27" s="4">
        <v>0.28499999999999998</v>
      </c>
      <c r="BO27" s="4">
        <v>0.68899999999999995</v>
      </c>
      <c r="BP27" s="4">
        <v>8.7999999999999995E-2</v>
      </c>
      <c r="BQ27" s="4">
        <v>0.111</v>
      </c>
      <c r="BR27" s="5">
        <f>(BN27-AR27)/AR27</f>
        <v>4.0892857142857135</v>
      </c>
      <c r="BS27" s="5">
        <f>(BO27-AS27)/AS27</f>
        <v>0.8672086720867207</v>
      </c>
      <c r="BT27" s="5">
        <f>(BP27-AT27)/AT27</f>
        <v>-0.29600000000000004</v>
      </c>
      <c r="BU27" s="5">
        <f>(BQ27-AU27)/AU27</f>
        <v>-0.25503355704697983</v>
      </c>
      <c r="BV27" s="4">
        <f>(BN27-BE27)/BE27</f>
        <v>-0.12576687116564428</v>
      </c>
      <c r="BW27" s="4">
        <f>(BO27-BF27)/BF27</f>
        <v>1.4534883720930248E-3</v>
      </c>
      <c r="BX27" s="4">
        <f>(BP27-BG27)/BG27</f>
        <v>0</v>
      </c>
      <c r="BY27" s="4">
        <f>(BQ27-BH27)/BH27</f>
        <v>4.7169811320754762E-2</v>
      </c>
      <c r="BZ27" s="4">
        <v>0.30399999999999999</v>
      </c>
      <c r="CA27" s="4">
        <v>0.77400000000000002</v>
      </c>
      <c r="CB27" s="4">
        <v>7.4999999999999997E-2</v>
      </c>
      <c r="CC27" s="4">
        <v>7.8E-2</v>
      </c>
      <c r="CD27" s="4">
        <f>(BZ27-AR27)/AR27</f>
        <v>4.4285714285714288</v>
      </c>
      <c r="CE27" s="4">
        <f>(CA27-AS27)/AS27</f>
        <v>1.0975609756097562</v>
      </c>
      <c r="CF27" s="4">
        <f>(CB27-AT27)/AT27</f>
        <v>-0.4</v>
      </c>
      <c r="CG27" s="4">
        <f>(CC27-AU27)/AU27</f>
        <v>-0.47651006711409394</v>
      </c>
      <c r="CH27" s="4">
        <f>(BZ27-BN27)/BN27</f>
        <v>6.6666666666666735E-2</v>
      </c>
      <c r="CI27" s="4">
        <f>(CA27-BO27)/BO27</f>
        <v>0.12336719883889707</v>
      </c>
      <c r="CJ27" s="4">
        <f>(CB27-BP27)/BP27</f>
        <v>-0.14772727272727271</v>
      </c>
      <c r="CK27" s="4">
        <f>(CC27-BQ27)/BQ27</f>
        <v>-0.29729729729729731</v>
      </c>
      <c r="CL27" s="4">
        <v>0.46200000000000002</v>
      </c>
      <c r="CM27" s="4">
        <v>0.56699999999999995</v>
      </c>
      <c r="CN27" s="4">
        <f>CL27/CM27</f>
        <v>0.81481481481481488</v>
      </c>
    </row>
    <row r="28" spans="1:92" x14ac:dyDescent="0.3">
      <c r="A28" s="1" t="s">
        <v>28</v>
      </c>
      <c r="B28">
        <v>390</v>
      </c>
      <c r="C28">
        <v>20</v>
      </c>
      <c r="D28">
        <v>4</v>
      </c>
      <c r="E28">
        <v>2</v>
      </c>
      <c r="F28">
        <v>2</v>
      </c>
      <c r="G28" s="3" t="s">
        <v>1</v>
      </c>
      <c r="H28" s="4">
        <v>2.84</v>
      </c>
      <c r="I28" s="4">
        <v>2.4500000000000002</v>
      </c>
      <c r="J28" s="7">
        <v>3.42</v>
      </c>
      <c r="K28" s="7">
        <v>3.01</v>
      </c>
      <c r="L28" s="4">
        <f>(H28-I28)/(H28+I28)</f>
        <v>7.3724007561436614E-2</v>
      </c>
      <c r="M28" s="7">
        <f>(J28-K28)/(J28+K28)</f>
        <v>6.3763608087091778E-2</v>
      </c>
      <c r="N28" s="4">
        <v>0.14000000000000001</v>
      </c>
      <c r="O28" s="4">
        <v>0.30499999999999999</v>
      </c>
      <c r="P28" s="4">
        <v>0.123</v>
      </c>
      <c r="Q28" s="4">
        <v>0.14000000000000001</v>
      </c>
      <c r="R28" s="7">
        <v>0.17</v>
      </c>
      <c r="S28" s="7">
        <v>0.26</v>
      </c>
      <c r="T28" s="7">
        <v>0.159</v>
      </c>
      <c r="U28" s="7">
        <v>0.18</v>
      </c>
      <c r="V28" s="4">
        <v>0.33</v>
      </c>
      <c r="W28" s="4">
        <v>0.84899999999999998</v>
      </c>
      <c r="X28" s="4">
        <v>5.7000000000000002E-2</v>
      </c>
      <c r="Y28" s="4">
        <v>0.04</v>
      </c>
      <c r="Z28" s="4">
        <v>0.11</v>
      </c>
      <c r="AA28" s="5">
        <f>(V28-N28)/N28</f>
        <v>1.357142857142857</v>
      </c>
      <c r="AB28" s="5">
        <f>(W28-O28)/O28</f>
        <v>1.7836065573770494</v>
      </c>
      <c r="AC28" s="5">
        <f>(X28-P28)/P28</f>
        <v>-0.53658536585365857</v>
      </c>
      <c r="AD28" s="5">
        <f>(Y28-Q28)/Q28</f>
        <v>-0.7142857142857143</v>
      </c>
      <c r="AE28" s="7">
        <v>0.4</v>
      </c>
      <c r="AF28" s="7">
        <v>0.747</v>
      </c>
      <c r="AG28" s="7">
        <v>9.2999999999999999E-2</v>
      </c>
      <c r="AH28" s="7">
        <v>0.05</v>
      </c>
      <c r="AI28" s="7">
        <v>0.08</v>
      </c>
      <c r="AJ28" s="8">
        <f>(AE28-R28)/R28</f>
        <v>1.3529411764705881</v>
      </c>
      <c r="AK28" s="8">
        <f>(AF28-S28)/S28</f>
        <v>1.8730769230769229</v>
      </c>
      <c r="AL28" s="8">
        <f>(AG28-T28)/T28</f>
        <v>-0.41509433962264153</v>
      </c>
      <c r="AM28" s="8">
        <f>(AH28-U28)/U28</f>
        <v>-0.72222222222222232</v>
      </c>
      <c r="AN28" s="4">
        <v>0.23899999999999999</v>
      </c>
      <c r="AO28" s="4">
        <v>0.38</v>
      </c>
      <c r="AP28" s="4">
        <v>0.152</v>
      </c>
      <c r="AQ28" s="4">
        <v>0.17499999999999999</v>
      </c>
      <c r="AR28" s="4">
        <v>0.27400000000000002</v>
      </c>
      <c r="AS28" s="4">
        <v>0.307</v>
      </c>
      <c r="AT28" s="4">
        <v>0.11700000000000001</v>
      </c>
      <c r="AU28" s="4">
        <v>0.14099999999999999</v>
      </c>
      <c r="AV28" s="4">
        <v>0.38</v>
      </c>
      <c r="AW28" s="4">
        <v>0.8</v>
      </c>
      <c r="AX28" s="4">
        <v>8.5999999999999993E-2</v>
      </c>
      <c r="AY28" s="4">
        <v>0.108</v>
      </c>
      <c r="AZ28" s="4">
        <v>0.08</v>
      </c>
      <c r="BA28" s="6">
        <f>(AV28-AN28)/AN28</f>
        <v>0.58995815899581594</v>
      </c>
      <c r="BB28" s="6">
        <f>(AW28-AO28)/AO28</f>
        <v>1.1052631578947369</v>
      </c>
      <c r="BC28" s="6">
        <f>(AX28-AP28)/AP28</f>
        <v>-0.43421052631578949</v>
      </c>
      <c r="BD28" s="6">
        <f>(AY28-AQ28)/AQ28</f>
        <v>-0.38285714285714284</v>
      </c>
      <c r="BE28" s="4">
        <v>0.28100000000000003</v>
      </c>
      <c r="BF28" s="4">
        <v>0.73299999999999998</v>
      </c>
      <c r="BG28" s="4">
        <v>7.2999999999999995E-2</v>
      </c>
      <c r="BH28" s="4">
        <v>8.3000000000000004E-2</v>
      </c>
      <c r="BI28" s="4">
        <v>6.2E-2</v>
      </c>
      <c r="BJ28" s="5">
        <f>(BE28-AN28)/AN28</f>
        <v>0.17573221757322191</v>
      </c>
      <c r="BK28" s="5">
        <f>(BF28-AO28)/AO28</f>
        <v>0.92894736842105252</v>
      </c>
      <c r="BL28" s="5">
        <f>(BG28-AP28)/AP28</f>
        <v>-0.51973684210526316</v>
      </c>
      <c r="BM28" s="5">
        <f>(BH28-AQ28)/AQ28</f>
        <v>-0.52571428571428569</v>
      </c>
      <c r="BN28" s="4">
        <v>0.28000000000000003</v>
      </c>
      <c r="BO28" s="4">
        <v>0.73499999999999999</v>
      </c>
      <c r="BP28" s="4">
        <v>7.1999999999999995E-2</v>
      </c>
      <c r="BQ28" s="4">
        <v>8.4000000000000005E-2</v>
      </c>
      <c r="BR28" s="5">
        <f>(BN28-AR28)/AR28</f>
        <v>2.1897810218978121E-2</v>
      </c>
      <c r="BS28" s="5">
        <f>(BO28-AS28)/AS28</f>
        <v>1.3941368078175895</v>
      </c>
      <c r="BT28" s="5">
        <f>(BP28-AT28)/AT28</f>
        <v>-0.38461538461538469</v>
      </c>
      <c r="BU28" s="5">
        <f>(BQ28-AU28)/AU28</f>
        <v>-0.40425531914893609</v>
      </c>
      <c r="BV28" s="4">
        <f>(BN28-BE28)/BE28</f>
        <v>-3.5587188612099673E-3</v>
      </c>
      <c r="BW28" s="4">
        <f>(BO28-BF28)/BF28</f>
        <v>2.7285129604365647E-3</v>
      </c>
      <c r="BX28" s="4">
        <f>(BP28-BG28)/BG28</f>
        <v>-1.3698630136986314E-2</v>
      </c>
      <c r="BY28" s="4">
        <f>(BQ28-BH28)/BH28</f>
        <v>1.2048192771084347E-2</v>
      </c>
      <c r="BZ28" s="4">
        <v>0.36899999999999999</v>
      </c>
      <c r="CA28" s="4">
        <v>0.8</v>
      </c>
      <c r="CB28" s="4">
        <v>6.3E-2</v>
      </c>
      <c r="CC28" s="4">
        <v>0.06</v>
      </c>
      <c r="CD28" s="4">
        <f>(BZ28-AR28)/AR28</f>
        <v>0.34671532846715314</v>
      </c>
      <c r="CE28" s="4">
        <f>(CA28-AS28)/AS28</f>
        <v>1.6058631921824107</v>
      </c>
      <c r="CF28" s="4">
        <f>(CB28-AT28)/AT28</f>
        <v>-0.46153846153846156</v>
      </c>
      <c r="CG28" s="4">
        <f>(CC28-AU28)/AU28</f>
        <v>-0.57446808510638292</v>
      </c>
      <c r="CH28" s="4">
        <f>(BZ28-BN28)/BN28</f>
        <v>0.31785714285714273</v>
      </c>
      <c r="CI28" s="4">
        <f>(CA28-BO28)/BO28</f>
        <v>8.8435374149659948E-2</v>
      </c>
      <c r="CJ28" s="4">
        <f>(CB28-BP28)/BP28</f>
        <v>-0.12499999999999993</v>
      </c>
      <c r="CK28" s="4">
        <f>(CC28-BQ28)/BQ28</f>
        <v>-0.28571428571428581</v>
      </c>
      <c r="CL28" s="4">
        <v>0.40500000000000003</v>
      </c>
      <c r="CM28" s="4">
        <v>0.6</v>
      </c>
      <c r="CN28" s="4">
        <f>CL28/CM28</f>
        <v>0.67500000000000004</v>
      </c>
    </row>
    <row r="29" spans="1:92" x14ac:dyDescent="0.3">
      <c r="A29" s="1" t="s">
        <v>29</v>
      </c>
      <c r="B29">
        <v>294</v>
      </c>
      <c r="C29">
        <v>20</v>
      </c>
      <c r="D29">
        <v>4</v>
      </c>
      <c r="E29">
        <v>2</v>
      </c>
      <c r="F29">
        <v>2</v>
      </c>
      <c r="G29" s="3" t="s">
        <v>1</v>
      </c>
      <c r="H29" s="4">
        <v>3.76</v>
      </c>
      <c r="I29" s="4">
        <v>2.38</v>
      </c>
      <c r="J29" s="4">
        <v>4.67</v>
      </c>
      <c r="K29" s="4">
        <v>2.95</v>
      </c>
      <c r="L29" s="4">
        <f>(H29-I29)/(H29+I29)</f>
        <v>0.22475570032573289</v>
      </c>
      <c r="M29" s="4">
        <f>(J29-K29)/(J29+K29)</f>
        <v>0.22572178477690286</v>
      </c>
      <c r="N29" s="4">
        <v>0.19</v>
      </c>
      <c r="O29" s="4">
        <v>0.41799999999999998</v>
      </c>
      <c r="P29" s="4">
        <v>0.126</v>
      </c>
      <c r="Q29" s="4">
        <v>0.15</v>
      </c>
      <c r="R29" s="4">
        <v>0.23</v>
      </c>
      <c r="S29" s="4">
        <v>0.33700000000000002</v>
      </c>
      <c r="T29" s="4">
        <v>0.17299999999999999</v>
      </c>
      <c r="U29" s="4">
        <v>0.18</v>
      </c>
      <c r="V29" s="4">
        <v>0.37</v>
      </c>
      <c r="W29" s="4">
        <v>0.72799999999999998</v>
      </c>
      <c r="X29" s="4">
        <v>6.8000000000000005E-2</v>
      </c>
      <c r="Y29" s="4">
        <v>0.05</v>
      </c>
      <c r="Z29" s="4">
        <v>0.17</v>
      </c>
      <c r="AA29" s="5">
        <f>(V29-N29)/N29</f>
        <v>0.94736842105263153</v>
      </c>
      <c r="AB29" s="5">
        <f>(W29-O29)/O29</f>
        <v>0.74162679425837319</v>
      </c>
      <c r="AC29" s="5">
        <f>(X29-P29)/P29</f>
        <v>-0.46031746031746029</v>
      </c>
      <c r="AD29" s="5">
        <f>(Y29-Q29)/Q29</f>
        <v>-0.66666666666666663</v>
      </c>
      <c r="AE29" s="4">
        <v>0.46</v>
      </c>
      <c r="AF29" s="4">
        <v>6.9099999999999995E-2</v>
      </c>
      <c r="AG29" s="4">
        <v>0.11799999999999999</v>
      </c>
      <c r="AH29" s="4">
        <v>0.06</v>
      </c>
      <c r="AI29" s="4">
        <v>0.19</v>
      </c>
      <c r="AJ29" s="5">
        <f>(AE29-R29)/R29</f>
        <v>1</v>
      </c>
      <c r="AK29" s="5">
        <f>(AF29-S29)/S29</f>
        <v>-0.79495548961424334</v>
      </c>
      <c r="AL29" s="5">
        <f>(AG29-T29)/T29</f>
        <v>-0.31791907514450868</v>
      </c>
      <c r="AM29" s="5">
        <f>(AH29-U29)/U29</f>
        <v>-0.66666666666666663</v>
      </c>
      <c r="AN29" s="4">
        <v>0.28299999999999997</v>
      </c>
      <c r="AO29" s="4">
        <v>0.32300000000000001</v>
      </c>
      <c r="AP29" s="4">
        <v>0.17899999999999999</v>
      </c>
      <c r="AQ29" s="4">
        <v>0.17499999999999999</v>
      </c>
      <c r="AR29" s="4">
        <v>0.18099999999999999</v>
      </c>
      <c r="AS29" s="4">
        <v>0.40100000000000002</v>
      </c>
      <c r="AT29" s="4">
        <v>0.127</v>
      </c>
      <c r="AU29" s="4">
        <v>0.13900000000000001</v>
      </c>
      <c r="AV29" s="4">
        <v>0.45200000000000001</v>
      </c>
      <c r="AW29" s="4">
        <v>0.75</v>
      </c>
      <c r="AX29" s="4">
        <v>0.109</v>
      </c>
      <c r="AY29" s="4">
        <v>0.126</v>
      </c>
      <c r="AZ29" s="4">
        <v>3.0000000000000001E-3</v>
      </c>
      <c r="BA29" s="6">
        <f>(AV29-AN29)/AN29</f>
        <v>0.59717314487632533</v>
      </c>
      <c r="BB29" s="6">
        <f>(AW29-AO29)/AO29</f>
        <v>1.3219814241486068</v>
      </c>
      <c r="BC29" s="6">
        <f>(AX29-AP29)/AP29</f>
        <v>-0.39106145251396646</v>
      </c>
      <c r="BD29" s="6">
        <f>(AY29-AQ29)/AQ29</f>
        <v>-0.27999999999999997</v>
      </c>
      <c r="BE29" s="4">
        <v>0.33500000000000002</v>
      </c>
      <c r="BF29" s="4">
        <v>0.69499999999999995</v>
      </c>
      <c r="BG29" s="4">
        <v>8.7999999999999995E-2</v>
      </c>
      <c r="BH29" s="4">
        <v>0.10100000000000001</v>
      </c>
      <c r="BI29" s="4">
        <v>1.7000000000000001E-2</v>
      </c>
      <c r="BJ29" s="5">
        <f>(BE29-AN29)/AN29</f>
        <v>0.18374558303886943</v>
      </c>
      <c r="BK29" s="5">
        <f>(BF29-AO29)/AO29</f>
        <v>1.1517027863777087</v>
      </c>
      <c r="BL29" s="5">
        <f>(BG29-AP29)/AP29</f>
        <v>-0.50837988826815639</v>
      </c>
      <c r="BM29" s="5">
        <f>(BH29-AQ29)/AQ29</f>
        <v>-0.42285714285714276</v>
      </c>
      <c r="BN29" s="4">
        <v>0.33600000000000002</v>
      </c>
      <c r="BO29" s="4">
        <v>0.69799999999999995</v>
      </c>
      <c r="BP29" s="4">
        <v>8.6999999999999994E-2</v>
      </c>
      <c r="BQ29" s="4">
        <v>0.1</v>
      </c>
      <c r="BR29" s="5">
        <f>(BN29-AR29)/AR29</f>
        <v>0.85635359116022114</v>
      </c>
      <c r="BS29" s="5">
        <f>(BO29-AS29)/AS29</f>
        <v>0.74064837905236891</v>
      </c>
      <c r="BT29" s="5">
        <f>(BP29-AT29)/AT29</f>
        <v>-0.31496062992125989</v>
      </c>
      <c r="BU29" s="5">
        <f>(BQ29-AU29)/AU29</f>
        <v>-0.28057553956834536</v>
      </c>
      <c r="BV29" s="4">
        <f>(BN29-BE29)/BE29</f>
        <v>2.9850746268656743E-3</v>
      </c>
      <c r="BW29" s="4">
        <f>(BO29-BF29)/BF29</f>
        <v>4.3165467625899323E-3</v>
      </c>
      <c r="BX29" s="4">
        <f>(BP29-BG29)/BG29</f>
        <v>-1.1363636363636374E-2</v>
      </c>
      <c r="BY29" s="4">
        <f>(BQ29-BH29)/BH29</f>
        <v>-9.9009900990099098E-3</v>
      </c>
      <c r="BZ29" s="4">
        <v>0.40699999999999997</v>
      </c>
      <c r="CA29" s="4">
        <v>0.747</v>
      </c>
      <c r="CB29" s="4">
        <v>0.08</v>
      </c>
      <c r="CC29" s="4">
        <v>7.1999999999999995E-2</v>
      </c>
      <c r="CD29" s="4">
        <f>(BZ29-AR29)/AR29</f>
        <v>1.2486187845303867</v>
      </c>
      <c r="CE29" s="4">
        <f>(CA29-AS29)/AS29</f>
        <v>0.86284289276807968</v>
      </c>
      <c r="CF29" s="4">
        <f>(CB29-AT29)/AT29</f>
        <v>-0.37007874015748032</v>
      </c>
      <c r="CG29" s="4">
        <f>(CC29-AU29)/AU29</f>
        <v>-0.48201438848920874</v>
      </c>
      <c r="CH29" s="4">
        <f>(BZ29-BN29)/BN29</f>
        <v>0.21130952380952364</v>
      </c>
      <c r="CI29" s="4">
        <f>(CA29-BO29)/BO29</f>
        <v>7.0200573065902647E-2</v>
      </c>
      <c r="CJ29" s="4">
        <f>(CB29-BP29)/BP29</f>
        <v>-8.0459770114942444E-2</v>
      </c>
      <c r="CK29" s="4">
        <f>(CC29-BQ29)/BQ29</f>
        <v>-0.28000000000000008</v>
      </c>
      <c r="CL29" s="4">
        <v>0.50700000000000001</v>
      </c>
      <c r="CM29" s="4">
        <v>0.57499999999999996</v>
      </c>
      <c r="CN29" s="4">
        <f>CL29/CM29</f>
        <v>0.88173913043478269</v>
      </c>
    </row>
    <row r="30" spans="1:92" x14ac:dyDescent="0.3">
      <c r="A30" s="1" t="s">
        <v>30</v>
      </c>
      <c r="B30">
        <v>1048</v>
      </c>
      <c r="C30">
        <v>20</v>
      </c>
      <c r="D30">
        <v>4</v>
      </c>
      <c r="E30">
        <v>2</v>
      </c>
      <c r="F30">
        <v>2</v>
      </c>
      <c r="G30" s="3" t="s">
        <v>1</v>
      </c>
      <c r="H30" s="4">
        <v>5.07</v>
      </c>
      <c r="I30" s="4">
        <v>2.5299999999999998</v>
      </c>
      <c r="J30" s="4">
        <v>6.01</v>
      </c>
      <c r="K30" s="4">
        <v>2.97</v>
      </c>
      <c r="L30" s="4">
        <f>(H30-I30)/(H30+I30)</f>
        <v>0.33421052631578957</v>
      </c>
      <c r="M30" s="4">
        <f>(J30-K30)/(J30+K30)</f>
        <v>0.33853006681514469</v>
      </c>
      <c r="N30" s="4">
        <v>0.25</v>
      </c>
      <c r="O30" s="4">
        <v>0.50600000000000001</v>
      </c>
      <c r="P30" s="4">
        <v>0.13500000000000001</v>
      </c>
      <c r="Q30" s="4">
        <v>0.14000000000000001</v>
      </c>
      <c r="R30" s="4">
        <v>0.3</v>
      </c>
      <c r="S30" s="4">
        <v>0.46800000000000003</v>
      </c>
      <c r="T30" s="4">
        <v>0.16600000000000001</v>
      </c>
      <c r="U30" s="4">
        <v>0.17</v>
      </c>
      <c r="V30" s="4">
        <v>0.44</v>
      </c>
      <c r="W30" s="4">
        <v>0.90600000000000003</v>
      </c>
      <c r="X30" s="4">
        <v>5.8999999999999997E-2</v>
      </c>
      <c r="Y30" s="4">
        <v>0.03</v>
      </c>
      <c r="Z30" s="4">
        <v>0.24</v>
      </c>
      <c r="AA30" s="5">
        <f>(V30-N30)/N30</f>
        <v>0.76</v>
      </c>
      <c r="AB30" s="5">
        <f>(W30-O30)/O30</f>
        <v>0.79051383399209485</v>
      </c>
      <c r="AC30" s="5">
        <f>(X30-P30)/P30</f>
        <v>-0.562962962962963</v>
      </c>
      <c r="AD30" s="5">
        <f>(Y30-Q30)/Q30</f>
        <v>-0.7857142857142857</v>
      </c>
      <c r="AE30" s="4">
        <v>0.52</v>
      </c>
      <c r="AF30" s="4">
        <v>0.873</v>
      </c>
      <c r="AG30" s="4">
        <v>8.1000000000000003E-2</v>
      </c>
      <c r="AH30" s="4">
        <v>0.04</v>
      </c>
      <c r="AI30" s="4">
        <v>0.24</v>
      </c>
      <c r="AJ30" s="5">
        <f>(AE30-R30)/R30</f>
        <v>0.7333333333333335</v>
      </c>
      <c r="AK30" s="5">
        <f>(AF30-S30)/S30</f>
        <v>0.86538461538461531</v>
      </c>
      <c r="AL30" s="5">
        <f>(AG30-T30)/T30</f>
        <v>-0.51204819277108438</v>
      </c>
      <c r="AM30" s="5">
        <f>(AH30-U30)/U30</f>
        <v>-0.76470588235294112</v>
      </c>
      <c r="AN30" s="4">
        <v>0.35</v>
      </c>
      <c r="AO30" s="4">
        <v>0.19800000000000001</v>
      </c>
      <c r="AP30" s="4">
        <v>0.21099999999999999</v>
      </c>
      <c r="AQ30" s="4">
        <v>0.16500000000000001</v>
      </c>
      <c r="AR30" s="4">
        <v>0.26100000000000001</v>
      </c>
      <c r="AS30" s="4">
        <v>0.503</v>
      </c>
      <c r="AT30" s="4">
        <v>0.115</v>
      </c>
      <c r="AU30" s="4">
        <v>0.13800000000000001</v>
      </c>
      <c r="AV30" s="4">
        <v>0.40699999999999997</v>
      </c>
      <c r="AW30" s="4">
        <v>0.25900000000000001</v>
      </c>
      <c r="AX30" s="4">
        <v>0.20200000000000001</v>
      </c>
      <c r="AY30" s="4">
        <v>0.153</v>
      </c>
      <c r="AZ30" s="4">
        <v>0.627</v>
      </c>
      <c r="BA30" s="6">
        <f>(AV30-AN30)/AN30</f>
        <v>0.16285714285714287</v>
      </c>
      <c r="BB30" s="6">
        <f>(AW30-AO30)/AO30</f>
        <v>0.30808080808080807</v>
      </c>
      <c r="BC30" s="6">
        <f>(AX30-AP30)/AP30</f>
        <v>-4.2654028436018863E-2</v>
      </c>
      <c r="BD30" s="6">
        <f>(AY30-AQ30)/AQ30</f>
        <v>-7.2727272727272793E-2</v>
      </c>
      <c r="BE30" s="4">
        <v>0.33400000000000002</v>
      </c>
      <c r="BF30" s="4">
        <v>0.626</v>
      </c>
      <c r="BG30" s="4">
        <v>0.1</v>
      </c>
      <c r="BH30" s="4">
        <v>0.13500000000000001</v>
      </c>
      <c r="BI30" s="4">
        <v>0.54200000000000004</v>
      </c>
      <c r="BJ30" s="5">
        <f>(BE30-AN30)/AN30</f>
        <v>-4.5714285714285596E-2</v>
      </c>
      <c r="BK30" s="5">
        <f>(BF30-AO30)/AO30</f>
        <v>2.1616161616161613</v>
      </c>
      <c r="BL30" s="5">
        <f>(BG30-AP30)/AP30</f>
        <v>-0.52606635071090047</v>
      </c>
      <c r="BM30" s="5">
        <f>(BH30-AQ30)/AQ30</f>
        <v>-0.1818181818181818</v>
      </c>
      <c r="BN30" s="4">
        <v>0.34</v>
      </c>
      <c r="BO30" s="4">
        <v>0.69599999999999995</v>
      </c>
      <c r="BP30" s="4">
        <v>0.104</v>
      </c>
      <c r="BQ30" s="4">
        <v>0.17199999999999999</v>
      </c>
      <c r="BR30" s="5">
        <f>(BN30-AR30)/AR30</f>
        <v>0.30268199233716481</v>
      </c>
      <c r="BS30" s="5">
        <f>(BO30-AS30)/AS30</f>
        <v>0.38369781312127227</v>
      </c>
      <c r="BT30" s="5">
        <f>(BP30-AT30)/AT30</f>
        <v>-9.5652173913043564E-2</v>
      </c>
      <c r="BU30" s="5">
        <f>(BQ30-AU30)/AU30</f>
        <v>0.24637681159420269</v>
      </c>
      <c r="BV30" s="4">
        <f>(BN30-BE30)/BE30</f>
        <v>1.7964071856287438E-2</v>
      </c>
      <c r="BW30" s="4">
        <f>(BO30-BF30)/BF30</f>
        <v>0.11182108626198076</v>
      </c>
      <c r="BX30" s="4">
        <f>(BP30-BG30)/BG30</f>
        <v>3.9999999999999897E-2</v>
      </c>
      <c r="BY30" s="4">
        <f>(BQ30-BH30)/BH30</f>
        <v>0.27407407407407391</v>
      </c>
      <c r="BZ30" s="4">
        <v>0.41399999999999998</v>
      </c>
      <c r="CA30" s="4">
        <v>0.81899999999999995</v>
      </c>
      <c r="CB30" s="4">
        <v>7.0000000000000007E-2</v>
      </c>
      <c r="CC30" s="4">
        <v>8.8999999999999996E-2</v>
      </c>
      <c r="CD30" s="4">
        <f>(BZ30-AR30)/AR30</f>
        <v>0.58620689655172398</v>
      </c>
      <c r="CE30" s="4">
        <f>(CA30-AS30)/AS30</f>
        <v>0.6282306163021868</v>
      </c>
      <c r="CF30" s="4">
        <f>(CB30-AT30)/AT30</f>
        <v>-0.39130434782608692</v>
      </c>
      <c r="CG30" s="4">
        <f>(CC30-AU30)/AU30</f>
        <v>-0.35507246376811602</v>
      </c>
      <c r="CH30" s="4">
        <f>(BZ30-BN30)/BN30</f>
        <v>0.21764705882352925</v>
      </c>
      <c r="CI30" s="4">
        <f>(CA30-BO30)/BO30</f>
        <v>0.1767241379310345</v>
      </c>
      <c r="CJ30" s="4">
        <f>(CB30-BP30)/BP30</f>
        <v>-0.32692307692307682</v>
      </c>
      <c r="CK30" s="4">
        <f>(CC30-BQ30)/BQ30</f>
        <v>-0.48255813953488369</v>
      </c>
      <c r="CL30" s="4">
        <v>0.59499999999999997</v>
      </c>
      <c r="CM30" s="4">
        <v>0.46400000000000002</v>
      </c>
      <c r="CN30" s="4">
        <f>CL30/CM30</f>
        <v>1.2823275862068964</v>
      </c>
    </row>
    <row r="31" spans="1:92" x14ac:dyDescent="0.3">
      <c r="A31" s="1" t="s">
        <v>31</v>
      </c>
      <c r="B31">
        <v>601</v>
      </c>
      <c r="C31">
        <v>20</v>
      </c>
      <c r="D31">
        <v>5</v>
      </c>
      <c r="E31">
        <v>2</v>
      </c>
      <c r="F31">
        <v>2</v>
      </c>
      <c r="G31" s="3" t="s">
        <v>1</v>
      </c>
      <c r="H31" s="4">
        <v>3.18</v>
      </c>
      <c r="I31" s="4">
        <v>2.5499999999999998</v>
      </c>
      <c r="J31" s="4">
        <v>4.04</v>
      </c>
      <c r="K31" s="4">
        <v>3.11</v>
      </c>
      <c r="L31" s="4">
        <f>(H31-I31)/(H31+I31)</f>
        <v>0.10994764397905764</v>
      </c>
      <c r="M31" s="4">
        <f>(J31-K31)/(J31+K31)</f>
        <v>0.13006993006993009</v>
      </c>
      <c r="N31" s="4">
        <v>0.16</v>
      </c>
      <c r="O31" s="4">
        <v>0.36499999999999999</v>
      </c>
      <c r="P31" s="4">
        <v>0.124</v>
      </c>
      <c r="Q31" s="4">
        <v>0.15</v>
      </c>
      <c r="R31" s="4">
        <v>0.2</v>
      </c>
      <c r="S31" s="4">
        <v>0.33200000000000002</v>
      </c>
      <c r="T31" s="4">
        <v>0.161</v>
      </c>
      <c r="U31" s="4">
        <v>0.18</v>
      </c>
      <c r="V31" s="4">
        <v>0.35</v>
      </c>
      <c r="W31" s="4">
        <v>0.89700000000000002</v>
      </c>
      <c r="X31" s="4">
        <v>0.05</v>
      </c>
      <c r="Y31" s="4">
        <v>0.04</v>
      </c>
      <c r="Z31" s="4">
        <v>0.16700000000000001</v>
      </c>
      <c r="AA31" s="5">
        <f>(V31-N31)/N31</f>
        <v>1.1874999999999998</v>
      </c>
      <c r="AB31" s="5">
        <f>(W31-O31)/O31</f>
        <v>1.4575342465753425</v>
      </c>
      <c r="AC31" s="5">
        <f>(X31-P31)/P31</f>
        <v>-0.59677419354838712</v>
      </c>
      <c r="AD31" s="5">
        <f>(Y31-Q31)/Q31</f>
        <v>-0.73333333333333328</v>
      </c>
      <c r="AE31" s="4">
        <v>0.44</v>
      </c>
      <c r="AF31" s="4">
        <v>0.81699999999999995</v>
      </c>
      <c r="AG31" s="4">
        <v>8.4000000000000005E-2</v>
      </c>
      <c r="AH31" s="4">
        <v>0.05</v>
      </c>
      <c r="AI31" s="4">
        <v>0.17</v>
      </c>
      <c r="AJ31" s="5">
        <f>(AE31-R31)/R31</f>
        <v>1.2</v>
      </c>
      <c r="AK31" s="5">
        <f>(AF31-S31)/S31</f>
        <v>1.4608433734939756</v>
      </c>
      <c r="AL31" s="5">
        <f>(AG31-T31)/T31</f>
        <v>-0.47826086956521735</v>
      </c>
      <c r="AM31" s="5">
        <f>(AH31-U31)/U31</f>
        <v>-0.72222222222222232</v>
      </c>
      <c r="AN31" s="4">
        <v>0.187</v>
      </c>
      <c r="AO31" s="4">
        <v>0.29199999999999998</v>
      </c>
      <c r="AP31" s="4">
        <v>0.17699999999999999</v>
      </c>
      <c r="AQ31" s="4">
        <v>0.19600000000000001</v>
      </c>
      <c r="AR31" s="4">
        <v>3.9E-2</v>
      </c>
      <c r="AS31" s="4">
        <v>0.26900000000000002</v>
      </c>
      <c r="AT31" s="4">
        <v>0.129</v>
      </c>
      <c r="AU31" s="4">
        <v>0.158</v>
      </c>
      <c r="AV31" s="4">
        <v>0.40100000000000002</v>
      </c>
      <c r="AW31" s="4">
        <v>0.77900000000000003</v>
      </c>
      <c r="AX31" s="4">
        <v>9.9000000000000005E-2</v>
      </c>
      <c r="AY31" s="4">
        <v>0.113</v>
      </c>
      <c r="AZ31" s="4">
        <v>1E-3</v>
      </c>
      <c r="BA31" s="6">
        <f>(AV31-AN31)/AN31</f>
        <v>1.144385026737968</v>
      </c>
      <c r="BB31" s="6">
        <f>(AW31-AO31)/AO31</f>
        <v>1.6678082191780825</v>
      </c>
      <c r="BC31" s="6">
        <f>(AX31-AP31)/AP31</f>
        <v>-0.44067796610169485</v>
      </c>
      <c r="BD31" s="6">
        <f>(AY31-AQ31)/AQ31</f>
        <v>-0.42346938775510207</v>
      </c>
      <c r="BE31" s="4">
        <v>0.313</v>
      </c>
      <c r="BF31" s="4">
        <v>0.73</v>
      </c>
      <c r="BG31" s="4">
        <v>7.8E-2</v>
      </c>
      <c r="BH31" s="4">
        <v>0.09</v>
      </c>
      <c r="BI31" s="4">
        <v>1.4E-2</v>
      </c>
      <c r="BJ31" s="5">
        <f>(BE31-AN31)/AN31</f>
        <v>0.6737967914438503</v>
      </c>
      <c r="BK31" s="5">
        <f>(BF31-AO31)/AO31</f>
        <v>1.5</v>
      </c>
      <c r="BL31" s="5">
        <f>(BG31-AP31)/AP31</f>
        <v>-0.55932203389830504</v>
      </c>
      <c r="BM31" s="5">
        <f>(BH31-AQ31)/AQ31</f>
        <v>-0.54081632653061229</v>
      </c>
      <c r="BN31" s="4">
        <v>0.313</v>
      </c>
      <c r="BO31" s="4">
        <v>0.73199999999999998</v>
      </c>
      <c r="BP31" s="4">
        <v>7.8E-2</v>
      </c>
      <c r="BQ31" s="4">
        <v>0.09</v>
      </c>
      <c r="BR31" s="5">
        <f>(BN31-AR31)/AR31</f>
        <v>7.0256410256410264</v>
      </c>
      <c r="BS31" s="5">
        <f>(BO31-AS31)/AS31</f>
        <v>1.7211895910780668</v>
      </c>
      <c r="BT31" s="5">
        <f>(BP31-AT31)/AT31</f>
        <v>-0.39534883720930236</v>
      </c>
      <c r="BU31" s="5">
        <f>(BQ31-AU31)/AU31</f>
        <v>-0.43037974683544306</v>
      </c>
      <c r="BV31" s="4">
        <f>(BN31-BE31)/BE31</f>
        <v>0</v>
      </c>
      <c r="BW31" s="4">
        <f>(BO31-BF31)/BF31</f>
        <v>2.7397260273972629E-3</v>
      </c>
      <c r="BX31" s="4">
        <f>(BP31-BG31)/BG31</f>
        <v>0</v>
      </c>
      <c r="BY31" s="4">
        <f>(BQ31-BH31)/BH31</f>
        <v>0</v>
      </c>
      <c r="BZ31" s="4">
        <v>0.32700000000000001</v>
      </c>
      <c r="CA31" s="4">
        <v>0.81299999999999994</v>
      </c>
      <c r="CB31" s="4">
        <v>6.5000000000000002E-2</v>
      </c>
      <c r="CC31" s="4">
        <v>7.2999999999999995E-2</v>
      </c>
      <c r="CD31" s="4">
        <f>(BZ31-AR31)/AR31</f>
        <v>7.3846153846153859</v>
      </c>
      <c r="CE31" s="4">
        <f>(CA31-AS31)/AS31</f>
        <v>2.0223048327137541</v>
      </c>
      <c r="CF31" s="4">
        <f>(CB31-AT31)/AT31</f>
        <v>-0.49612403100775193</v>
      </c>
      <c r="CG31" s="4">
        <f>(CC31-AU31)/AU31</f>
        <v>-0.53797468354430378</v>
      </c>
      <c r="CH31" s="4">
        <f>(BZ31-BN31)/BN31</f>
        <v>4.4728434504792372E-2</v>
      </c>
      <c r="CI31" s="4">
        <f>(CA31-BO31)/BO31</f>
        <v>0.11065573770491798</v>
      </c>
      <c r="CJ31" s="4">
        <f>(CB31-BP31)/BP31</f>
        <v>-0.16666666666666663</v>
      </c>
      <c r="CK31" s="4">
        <f>(CC31-BQ31)/BQ31</f>
        <v>-0.18888888888888891</v>
      </c>
      <c r="CL31" s="4">
        <v>0.40500000000000003</v>
      </c>
      <c r="CM31" s="4">
        <v>0.65500000000000003</v>
      </c>
      <c r="CN31" s="4">
        <f>CL31/CM31</f>
        <v>0.61832061068702293</v>
      </c>
    </row>
    <row r="32" spans="1:92" x14ac:dyDescent="0.3">
      <c r="A32" s="1" t="s">
        <v>32</v>
      </c>
      <c r="B32">
        <v>902</v>
      </c>
      <c r="C32">
        <v>20</v>
      </c>
      <c r="D32">
        <v>5</v>
      </c>
      <c r="E32">
        <v>2</v>
      </c>
      <c r="F32">
        <v>2</v>
      </c>
      <c r="G32" s="3" t="s">
        <v>1</v>
      </c>
      <c r="H32" s="4">
        <v>3.34</v>
      </c>
      <c r="I32" s="4">
        <v>2.29</v>
      </c>
      <c r="J32" s="7">
        <v>4.0599999999999996</v>
      </c>
      <c r="K32" s="7">
        <v>2.76</v>
      </c>
      <c r="L32" s="4">
        <f>(H32-I32)/(H32+I32)</f>
        <v>0.1865008880994671</v>
      </c>
      <c r="M32" s="7">
        <f>(J32-K32)/(J32+K32)</f>
        <v>0.1906158357771261</v>
      </c>
      <c r="N32" s="4">
        <v>0.17</v>
      </c>
      <c r="O32" s="4">
        <v>0.39700000000000002</v>
      </c>
      <c r="P32" s="4">
        <v>0.122</v>
      </c>
      <c r="Q32" s="4">
        <v>0.14000000000000001</v>
      </c>
      <c r="R32" s="7">
        <v>0.2</v>
      </c>
      <c r="S32" s="7">
        <v>0.36099999999999999</v>
      </c>
      <c r="T32" s="7">
        <v>0.153</v>
      </c>
      <c r="U32" s="7">
        <v>0.17</v>
      </c>
      <c r="V32" s="4">
        <v>0.35</v>
      </c>
      <c r="W32" s="4">
        <v>0.86</v>
      </c>
      <c r="X32" s="4">
        <v>5.8999999999999997E-2</v>
      </c>
      <c r="Y32" s="4">
        <v>0.04</v>
      </c>
      <c r="Z32" s="4">
        <v>0.15</v>
      </c>
      <c r="AA32" s="5">
        <f>(V32-N32)/N32</f>
        <v>1.0588235294117645</v>
      </c>
      <c r="AB32" s="5">
        <f>(W32-O32)/O32</f>
        <v>1.1662468513853903</v>
      </c>
      <c r="AC32" s="5">
        <f>(X32-P32)/P32</f>
        <v>-0.51639344262295084</v>
      </c>
      <c r="AD32" s="5">
        <f>(Y32-Q32)/Q32</f>
        <v>-0.7142857142857143</v>
      </c>
      <c r="AE32" s="7">
        <v>0.42</v>
      </c>
      <c r="AF32" s="7">
        <v>0.79600000000000004</v>
      </c>
      <c r="AG32" s="7">
        <v>8.5999999999999993E-2</v>
      </c>
      <c r="AH32" s="7">
        <v>0.05</v>
      </c>
      <c r="AI32" s="7">
        <v>0.15</v>
      </c>
      <c r="AJ32" s="8">
        <f>(AE32-R32)/R32</f>
        <v>1.0999999999999999</v>
      </c>
      <c r="AK32" s="8">
        <f>(AF32-S32)/S32</f>
        <v>1.2049861495844878</v>
      </c>
      <c r="AL32" s="8">
        <f>(AG32-T32)/T32</f>
        <v>-0.4379084967320262</v>
      </c>
      <c r="AM32" s="8">
        <f>(AH32-U32)/U32</f>
        <v>-0.70588235294117652</v>
      </c>
      <c r="AN32" s="7">
        <v>0.19400000000000001</v>
      </c>
      <c r="AO32" s="7">
        <v>0.34300000000000003</v>
      </c>
      <c r="AP32" s="7">
        <v>0.17100000000000001</v>
      </c>
      <c r="AQ32" s="7">
        <v>0.16700000000000001</v>
      </c>
      <c r="AR32" s="4">
        <v>7.8E-2</v>
      </c>
      <c r="AS32" s="4">
        <v>0.1</v>
      </c>
      <c r="AT32" s="4">
        <v>0.16200000000000001</v>
      </c>
      <c r="AU32" s="4">
        <v>0.161</v>
      </c>
      <c r="AV32" s="4">
        <v>0.35799999999999998</v>
      </c>
      <c r="AW32" s="4">
        <v>0.79100000000000004</v>
      </c>
      <c r="AX32" s="4">
        <v>9.6000000000000002E-2</v>
      </c>
      <c r="AY32" s="4">
        <v>9.8000000000000004E-2</v>
      </c>
      <c r="AZ32" s="4">
        <v>4.7E-2</v>
      </c>
      <c r="BA32" s="6">
        <f>(AV32-AN32)/AN32</f>
        <v>0.84536082474226792</v>
      </c>
      <c r="BB32" s="6">
        <f>(AW32-AO32)/AO32</f>
        <v>1.3061224489795917</v>
      </c>
      <c r="BC32" s="6">
        <f>(AX32-AP32)/AP32</f>
        <v>-0.43859649122807021</v>
      </c>
      <c r="BD32" s="6">
        <f>(AY32-AQ32)/AQ32</f>
        <v>-0.41317365269461082</v>
      </c>
      <c r="BE32" s="4">
        <v>0.26700000000000002</v>
      </c>
      <c r="BF32" s="4">
        <v>0.73299999999999998</v>
      </c>
      <c r="BG32" s="4">
        <v>7.6999999999999999E-2</v>
      </c>
      <c r="BH32" s="4">
        <v>0.08</v>
      </c>
      <c r="BI32" s="4">
        <v>5.8999999999999997E-2</v>
      </c>
      <c r="BJ32" s="5">
        <f>(BE32-AN32)/AN32</f>
        <v>0.37628865979381448</v>
      </c>
      <c r="BK32" s="5">
        <f>(BF32-AO32)/AO32</f>
        <v>1.1370262390670551</v>
      </c>
      <c r="BL32" s="5">
        <f>(BG32-AP32)/AP32</f>
        <v>-0.54970760233918137</v>
      </c>
      <c r="BM32" s="5">
        <f>(BH32-AQ32)/AQ32</f>
        <v>-0.52095808383233533</v>
      </c>
      <c r="BN32" s="4">
        <v>0.26700000000000002</v>
      </c>
      <c r="BO32" s="4">
        <v>0.73499999999999999</v>
      </c>
      <c r="BP32" s="4">
        <v>7.5999999999999998E-2</v>
      </c>
      <c r="BQ32" s="4">
        <v>0.08</v>
      </c>
      <c r="BR32" s="5">
        <f>(BN32-AR32)/AR32</f>
        <v>2.4230769230769229</v>
      </c>
      <c r="BS32" s="5">
        <f>(BO32-AS32)/AS32</f>
        <v>6.35</v>
      </c>
      <c r="BT32" s="5">
        <f>(BP32-AT32)/AT32</f>
        <v>-0.53086419753086422</v>
      </c>
      <c r="BU32" s="5">
        <f>(BQ32-AU32)/AU32</f>
        <v>-0.50310559006211175</v>
      </c>
      <c r="BV32" s="4">
        <f>(BN32-BE32)/BE32</f>
        <v>0</v>
      </c>
      <c r="BW32" s="4">
        <f>(BO32-BF32)/BF32</f>
        <v>2.7285129604365647E-3</v>
      </c>
      <c r="BX32" s="4">
        <f>(BP32-BG32)/BG32</f>
        <v>-1.2987012987012998E-2</v>
      </c>
      <c r="BY32" s="4">
        <f>(BQ32-BH32)/BH32</f>
        <v>0</v>
      </c>
      <c r="BZ32" s="4">
        <v>0.36699999999999999</v>
      </c>
      <c r="CA32" s="4">
        <v>0.80800000000000005</v>
      </c>
      <c r="CB32" s="4">
        <v>6.5000000000000002E-2</v>
      </c>
      <c r="CC32" s="4">
        <v>6.2E-2</v>
      </c>
      <c r="CD32" s="4">
        <f>(BZ32-AR32)/AR32</f>
        <v>3.7051282051282048</v>
      </c>
      <c r="CE32" s="4">
        <f>(CA32-AS32)/AS32</f>
        <v>7.08</v>
      </c>
      <c r="CF32" s="4">
        <f>(CB32-AT32)/AT32</f>
        <v>-0.59876543209876543</v>
      </c>
      <c r="CG32" s="4">
        <f>(CC32-AU32)/AU32</f>
        <v>-0.6149068322981367</v>
      </c>
      <c r="CH32" s="4">
        <f>(BZ32-BN32)/BN32</f>
        <v>0.37453183520599242</v>
      </c>
      <c r="CI32" s="4">
        <f>(CA32-BO32)/BO32</f>
        <v>9.9319727891156548E-2</v>
      </c>
      <c r="CJ32" s="4">
        <f>(CB32-BP32)/BP32</f>
        <v>-0.14473684210526311</v>
      </c>
      <c r="CK32" s="4">
        <f>(CC32-BQ32)/BQ32</f>
        <v>-0.22500000000000003</v>
      </c>
      <c r="CL32" s="4">
        <v>0.42399999999999999</v>
      </c>
      <c r="CM32" s="4">
        <v>0.65</v>
      </c>
      <c r="CN32" s="4">
        <f>CL32/CM32</f>
        <v>0.65230769230769226</v>
      </c>
    </row>
    <row r="33" spans="1:92" x14ac:dyDescent="0.3">
      <c r="A33" s="1" t="s">
        <v>33</v>
      </c>
      <c r="B33">
        <v>837</v>
      </c>
      <c r="C33">
        <v>20</v>
      </c>
      <c r="D33">
        <v>5</v>
      </c>
      <c r="E33">
        <v>4</v>
      </c>
      <c r="F33">
        <v>2</v>
      </c>
      <c r="G33" s="3" t="s">
        <v>9</v>
      </c>
      <c r="H33" s="4">
        <v>10.050000000000001</v>
      </c>
      <c r="I33" s="4">
        <v>0.69</v>
      </c>
      <c r="J33" s="4">
        <v>11.76</v>
      </c>
      <c r="K33" s="4">
        <v>0.67</v>
      </c>
      <c r="L33" s="4">
        <f>(H33-I33)/(H33+I33)</f>
        <v>0.87150837988826824</v>
      </c>
      <c r="M33" s="4">
        <f>(J33-K33)/(J33+K33)</f>
        <v>0.89219629927594535</v>
      </c>
      <c r="N33" s="4">
        <v>0.5</v>
      </c>
      <c r="O33" s="4">
        <v>0.83799999999999997</v>
      </c>
      <c r="P33" s="4">
        <v>0.105</v>
      </c>
      <c r="Q33" s="4">
        <v>0.06</v>
      </c>
      <c r="R33" s="4">
        <v>0.59</v>
      </c>
      <c r="S33" s="4">
        <v>0.81899999999999995</v>
      </c>
      <c r="T33" s="4">
        <v>0.129</v>
      </c>
      <c r="U33" s="4">
        <v>0.06</v>
      </c>
      <c r="V33" s="4">
        <v>0.54</v>
      </c>
      <c r="W33" s="4">
        <v>0.89500000000000002</v>
      </c>
      <c r="X33" s="4">
        <v>8.5000000000000006E-2</v>
      </c>
      <c r="Y33" s="4">
        <v>0.04</v>
      </c>
      <c r="Z33" s="4">
        <v>0.77</v>
      </c>
      <c r="AA33" s="5">
        <f>(V33-N33)/N33</f>
        <v>8.0000000000000071E-2</v>
      </c>
      <c r="AB33" s="5">
        <f>(W33-O33)/O33</f>
        <v>6.8019093078759016E-2</v>
      </c>
      <c r="AC33" s="5">
        <f>(X33-P33)/P33</f>
        <v>-0.19047619047619038</v>
      </c>
      <c r="AD33" s="5">
        <f>(Y33-Q33)/Q33</f>
        <v>-0.33333333333333331</v>
      </c>
      <c r="AE33" s="4">
        <v>0.63</v>
      </c>
      <c r="AF33" s="4">
        <v>0.87</v>
      </c>
      <c r="AG33" s="4">
        <v>0.109</v>
      </c>
      <c r="AH33" s="4">
        <v>0.04</v>
      </c>
      <c r="AI33" s="4">
        <v>0.99</v>
      </c>
      <c r="AJ33" s="5">
        <f>(AE33-R33)/R33</f>
        <v>6.7796610169491595E-2</v>
      </c>
      <c r="AK33" s="5">
        <f>(AF33-S33)/S33</f>
        <v>6.2271062271062327E-2</v>
      </c>
      <c r="AL33" s="5">
        <f>(AG33-T33)/T33</f>
        <v>-0.15503875968992251</v>
      </c>
      <c r="AM33" s="5">
        <f>(AH33-U33)/U33</f>
        <v>-0.33333333333333331</v>
      </c>
      <c r="AN33" s="7">
        <v>0.621</v>
      </c>
      <c r="AO33" s="7">
        <v>0.94199999999999995</v>
      </c>
      <c r="AP33" s="7">
        <v>0.1</v>
      </c>
      <c r="AQ33" s="7">
        <v>5.6000000000000001E-2</v>
      </c>
      <c r="AR33" s="4">
        <v>0.51500000000000001</v>
      </c>
      <c r="AS33" s="4">
        <v>0.84299999999999997</v>
      </c>
      <c r="AT33" s="4">
        <v>8.5999999999999993E-2</v>
      </c>
      <c r="AU33" s="4">
        <v>5.3999999999999999E-2</v>
      </c>
      <c r="AV33" s="7">
        <v>0.64100000000000001</v>
      </c>
      <c r="AW33" s="7">
        <v>0.95399999999999996</v>
      </c>
      <c r="AX33" s="7">
        <v>8.8999999999999996E-2</v>
      </c>
      <c r="AY33" s="7">
        <v>0.05</v>
      </c>
      <c r="AZ33" s="7">
        <v>0.9</v>
      </c>
      <c r="BA33" s="8">
        <f>(AV33-AN33)/AN33</f>
        <v>3.2206119162640934E-2</v>
      </c>
      <c r="BB33" s="8">
        <f>(AW33-AO33)/AO33</f>
        <v>1.2738853503184726E-2</v>
      </c>
      <c r="BC33" s="8">
        <f>(AX33-AP33)/AP33</f>
        <v>-0.1100000000000001</v>
      </c>
      <c r="BD33" s="8">
        <f>(AY33-AQ33)/AQ33</f>
        <v>-0.10714285714285711</v>
      </c>
      <c r="BE33" s="4">
        <v>0.54800000000000004</v>
      </c>
      <c r="BF33" s="4">
        <v>0.88500000000000001</v>
      </c>
      <c r="BG33" s="4">
        <v>7.3999999999999996E-2</v>
      </c>
      <c r="BH33" s="4">
        <v>4.9000000000000002E-2</v>
      </c>
      <c r="BI33" s="4">
        <v>0.87</v>
      </c>
      <c r="BJ33" s="5">
        <f>(BE33-AN33)/AN33</f>
        <v>-0.11755233494363922</v>
      </c>
      <c r="BK33" s="5">
        <f>(BF33-AO33)/AO33</f>
        <v>-6.0509554140127327E-2</v>
      </c>
      <c r="BL33" s="5">
        <f>(BG33-AP33)/AP33</f>
        <v>-0.26000000000000006</v>
      </c>
      <c r="BM33" s="5">
        <f>(BH33-AQ33)/AQ33</f>
        <v>-0.12499999999999999</v>
      </c>
      <c r="BN33" s="4">
        <v>0.52600000000000002</v>
      </c>
      <c r="BO33" s="4">
        <v>0.79500000000000004</v>
      </c>
      <c r="BP33" s="4">
        <v>9.8000000000000004E-2</v>
      </c>
      <c r="BQ33" s="4">
        <v>0.313</v>
      </c>
      <c r="BR33" s="5">
        <f>(BN33-AR33)/AR33</f>
        <v>2.1359223300970891E-2</v>
      </c>
      <c r="BS33" s="5">
        <f>(BO33-AS33)/AS33</f>
        <v>-5.6939501779359351E-2</v>
      </c>
      <c r="BT33" s="5">
        <f>(BP33-AT33)/AT33</f>
        <v>0.13953488372093037</v>
      </c>
      <c r="BU33" s="5">
        <f>(BQ33-AU33)/AU33</f>
        <v>4.7962962962962967</v>
      </c>
      <c r="BV33" s="4">
        <f>(BN33-BE33)/BE33</f>
        <v>-4.0145985401459888E-2</v>
      </c>
      <c r="BW33" s="4">
        <f>(BO33-BF33)/BF33</f>
        <v>-0.10169491525423725</v>
      </c>
      <c r="BX33" s="4">
        <f>(BP33-BG33)/BG33</f>
        <v>0.32432432432432445</v>
      </c>
      <c r="BY33" s="4">
        <f>(BQ33-BH33)/BH33</f>
        <v>5.3877551020408161</v>
      </c>
      <c r="BZ33" s="4">
        <v>0.57499999999999996</v>
      </c>
      <c r="CA33" s="4">
        <v>0.91500000000000004</v>
      </c>
      <c r="CB33" s="4">
        <v>6.3E-2</v>
      </c>
      <c r="CC33" s="4">
        <v>3.9E-2</v>
      </c>
      <c r="CD33" s="4">
        <f>(BZ33-AR33)/AR33</f>
        <v>0.11650485436893192</v>
      </c>
      <c r="CE33" s="4">
        <f>(CA33-AS33)/AS33</f>
        <v>8.5409252669039218E-2</v>
      </c>
      <c r="CF33" s="4">
        <f>(CB33-AT33)/AT33</f>
        <v>-0.2674418604651162</v>
      </c>
      <c r="CG33" s="4">
        <f>(CC33-AU33)/AU33</f>
        <v>-0.27777777777777779</v>
      </c>
      <c r="CH33" s="4">
        <f>(BZ33-BN33)/BN33</f>
        <v>9.315589353612154E-2</v>
      </c>
      <c r="CI33" s="4">
        <f>(CA33-BO33)/BO33</f>
        <v>0.15094339622641509</v>
      </c>
      <c r="CJ33" s="4">
        <f>(CB33-BP33)/BP33</f>
        <v>-0.35714285714285715</v>
      </c>
      <c r="CK33" s="4">
        <f>(CC33-BQ33)/BQ33</f>
        <v>-0.87539936102236426</v>
      </c>
      <c r="CL33" s="4">
        <v>0.86299999999999999</v>
      </c>
      <c r="CM33" s="4">
        <v>0.16</v>
      </c>
      <c r="CN33" s="4">
        <f>CL33/CM33</f>
        <v>5.3937499999999998</v>
      </c>
    </row>
    <row r="34" spans="1:92" x14ac:dyDescent="0.3">
      <c r="A34" s="1" t="s">
        <v>34</v>
      </c>
      <c r="B34">
        <v>262</v>
      </c>
      <c r="C34">
        <v>20</v>
      </c>
      <c r="D34">
        <v>5</v>
      </c>
      <c r="E34">
        <v>4</v>
      </c>
      <c r="F34">
        <v>2</v>
      </c>
      <c r="G34" s="3" t="s">
        <v>9</v>
      </c>
      <c r="H34" s="4">
        <v>9.3000000000000007</v>
      </c>
      <c r="I34" s="4">
        <v>0.82</v>
      </c>
      <c r="J34" s="4">
        <v>11.14</v>
      </c>
      <c r="K34" s="4">
        <v>0.82</v>
      </c>
      <c r="L34" s="4">
        <f>(H34-I34)/(H34+I34)</f>
        <v>0.83794466403162049</v>
      </c>
      <c r="M34" s="4">
        <f>(J34-K34)/(J34+K34)</f>
        <v>0.86287625418060199</v>
      </c>
      <c r="N34" s="4">
        <v>0.47</v>
      </c>
      <c r="O34" s="4">
        <v>0.80800000000000005</v>
      </c>
      <c r="P34" s="4">
        <v>0.108</v>
      </c>
      <c r="Q34" s="4">
        <v>7.0000000000000007E-2</v>
      </c>
      <c r="R34" s="4">
        <v>0.56000000000000005</v>
      </c>
      <c r="S34" s="4">
        <v>0.76300000000000001</v>
      </c>
      <c r="T34" s="4">
        <v>0.14299999999999999</v>
      </c>
      <c r="U34" s="4">
        <v>7.0000000000000007E-2</v>
      </c>
      <c r="V34" s="4">
        <v>0.52</v>
      </c>
      <c r="W34" s="4">
        <v>0.86599999999999999</v>
      </c>
      <c r="X34" s="4">
        <v>0.09</v>
      </c>
      <c r="Y34" s="4">
        <v>0.06</v>
      </c>
      <c r="Z34" s="4">
        <v>0.68</v>
      </c>
      <c r="AA34" s="5">
        <f>(V34-N34)/N34</f>
        <v>0.10638297872340435</v>
      </c>
      <c r="AB34" s="5">
        <f>(W34-O34)/O34</f>
        <v>7.1782178217821707E-2</v>
      </c>
      <c r="AC34" s="5">
        <f>(X34-P34)/P34</f>
        <v>-0.16666666666666669</v>
      </c>
      <c r="AD34" s="5">
        <f>(Y34-Q34)/Q34</f>
        <v>-0.14285714285714296</v>
      </c>
      <c r="AE34" s="4">
        <v>0.61</v>
      </c>
      <c r="AF34" s="4">
        <v>0.81</v>
      </c>
      <c r="AG34" s="4">
        <v>0.128</v>
      </c>
      <c r="AH34" s="4">
        <v>0.05</v>
      </c>
      <c r="AI34" s="4">
        <v>0.72</v>
      </c>
      <c r="AJ34" s="5">
        <f>(AE34-R34)/R34</f>
        <v>8.9285714285714163E-2</v>
      </c>
      <c r="AK34" s="5">
        <f>(AF34-S34)/S34</f>
        <v>6.1598951507208441E-2</v>
      </c>
      <c r="AL34" s="5">
        <f>(AG34-T34)/T34</f>
        <v>-0.1048951048951048</v>
      </c>
      <c r="AM34" s="5">
        <f>(AH34-U34)/U34</f>
        <v>-0.28571428571428575</v>
      </c>
      <c r="AN34" s="7">
        <v>0.55100000000000005</v>
      </c>
      <c r="AO34" s="7">
        <v>0.94599999999999995</v>
      </c>
      <c r="AP34" s="7">
        <v>9.1999999999999998E-2</v>
      </c>
      <c r="AQ34" s="7">
        <v>6.7000000000000004E-2</v>
      </c>
      <c r="AR34" s="4">
        <v>0.42799999999999999</v>
      </c>
      <c r="AS34" s="4">
        <v>0.81899999999999995</v>
      </c>
      <c r="AT34" s="4">
        <v>8.8999999999999996E-2</v>
      </c>
      <c r="AU34" s="4">
        <v>6.4000000000000001E-2</v>
      </c>
      <c r="AV34" s="7">
        <v>0.57699999999999996</v>
      </c>
      <c r="AW34" s="7">
        <v>0.95299999999999996</v>
      </c>
      <c r="AX34" s="7">
        <v>8.5999999999999993E-2</v>
      </c>
      <c r="AY34" s="7">
        <v>6.3E-2</v>
      </c>
      <c r="AZ34" s="7">
        <v>0.86899999999999999</v>
      </c>
      <c r="BA34" s="8">
        <f>(AV34-AN34)/AN34</f>
        <v>4.7186932849364628E-2</v>
      </c>
      <c r="BB34" s="8">
        <f>(AW34-AO34)/AO34</f>
        <v>7.3995771670190341E-3</v>
      </c>
      <c r="BC34" s="8">
        <f>(AX34-AP34)/AP34</f>
        <v>-6.521739130434788E-2</v>
      </c>
      <c r="BD34" s="8">
        <f>(AY34-AQ34)/AQ34</f>
        <v>-5.970149253731348E-2</v>
      </c>
      <c r="BE34" s="4">
        <v>0.53800000000000003</v>
      </c>
      <c r="BF34" s="4">
        <v>0.85</v>
      </c>
      <c r="BG34" s="4">
        <v>8.1000000000000003E-2</v>
      </c>
      <c r="BH34" s="4">
        <v>6.2E-2</v>
      </c>
      <c r="BI34" s="4">
        <v>0.86899999999999999</v>
      </c>
      <c r="BJ34" s="5">
        <f>(BE34-AN34)/AN34</f>
        <v>-2.3593466424682415E-2</v>
      </c>
      <c r="BK34" s="5">
        <f>(BF34-AO34)/AO34</f>
        <v>-0.10147991543340379</v>
      </c>
      <c r="BL34" s="5">
        <f>(BG34-AP34)/AP34</f>
        <v>-0.11956521739130431</v>
      </c>
      <c r="BM34" s="5">
        <f>(BH34-AQ34)/AQ34</f>
        <v>-7.4626865671641854E-2</v>
      </c>
      <c r="BN34" s="4">
        <v>0.504</v>
      </c>
      <c r="BO34" s="4">
        <v>0.76200000000000001</v>
      </c>
      <c r="BP34" s="4">
        <v>0.104</v>
      </c>
      <c r="BQ34" s="4">
        <v>0.28799999999999998</v>
      </c>
      <c r="BR34" s="5">
        <f>(BN34-AR34)/AR34</f>
        <v>0.17757009345794394</v>
      </c>
      <c r="BS34" s="5">
        <f>(BO34-AS34)/AS34</f>
        <v>-6.959706959706953E-2</v>
      </c>
      <c r="BT34" s="5">
        <f>(BP34-AT34)/AT34</f>
        <v>0.16853932584269662</v>
      </c>
      <c r="BU34" s="5">
        <f>(BQ34-AU34)/AU34</f>
        <v>3.4999999999999996</v>
      </c>
      <c r="BV34" s="4">
        <f>(BN34-BE34)/BE34</f>
        <v>-6.3197026022304884E-2</v>
      </c>
      <c r="BW34" s="4">
        <f>(BO34-BF34)/BF34</f>
        <v>-0.10352941176470584</v>
      </c>
      <c r="BX34" s="4">
        <f>(BP34-BG34)/BG34</f>
        <v>0.28395061728395049</v>
      </c>
      <c r="BY34" s="4">
        <f>(BQ34-BH34)/BH34</f>
        <v>3.6451612903225805</v>
      </c>
      <c r="BZ34" s="4">
        <v>0.51500000000000001</v>
      </c>
      <c r="CA34" s="4">
        <v>0.90700000000000003</v>
      </c>
      <c r="CB34" s="4">
        <v>6.4000000000000001E-2</v>
      </c>
      <c r="CC34" s="4">
        <v>4.5999999999999999E-2</v>
      </c>
      <c r="CD34" s="4">
        <f>(BZ34-AR34)/AR34</f>
        <v>0.20327102803738323</v>
      </c>
      <c r="CE34" s="4">
        <f>(CA34-AS34)/AS34</f>
        <v>0.10744810744810755</v>
      </c>
      <c r="CF34" s="4">
        <f>(CB34-AT34)/AT34</f>
        <v>-0.28089887640449435</v>
      </c>
      <c r="CG34" s="4">
        <f>(CC34-AU34)/AU34</f>
        <v>-0.28125</v>
      </c>
      <c r="CH34" s="4">
        <f>(BZ34-BN34)/BN34</f>
        <v>2.1825396825396845E-2</v>
      </c>
      <c r="CI34" s="4">
        <f>(CA34-BO34)/BO34</f>
        <v>0.19028871391076119</v>
      </c>
      <c r="CJ34" s="4">
        <f>(CB34-BP34)/BP34</f>
        <v>-0.38461538461538458</v>
      </c>
      <c r="CK34" s="4">
        <f>(CC34-BQ34)/BQ34</f>
        <v>-0.84027777777777779</v>
      </c>
      <c r="CL34" s="4">
        <v>0.81299999999999994</v>
      </c>
      <c r="CM34" s="4">
        <v>0.188</v>
      </c>
      <c r="CN34" s="4">
        <f>CL34/CM34</f>
        <v>4.3244680851063828</v>
      </c>
    </row>
    <row r="35" spans="1:92" x14ac:dyDescent="0.3">
      <c r="A35" s="1" t="s">
        <v>35</v>
      </c>
      <c r="B35">
        <v>469</v>
      </c>
      <c r="C35">
        <v>20</v>
      </c>
      <c r="D35">
        <v>5</v>
      </c>
      <c r="E35">
        <v>4</v>
      </c>
      <c r="F35">
        <v>2</v>
      </c>
      <c r="G35" s="3" t="s">
        <v>9</v>
      </c>
      <c r="H35" s="4">
        <v>12</v>
      </c>
      <c r="I35" s="4">
        <v>0.5</v>
      </c>
      <c r="J35" s="4">
        <v>15.23</v>
      </c>
      <c r="K35" s="4">
        <v>0.36</v>
      </c>
      <c r="L35" s="4">
        <f>(H35-I35)/(H35+I35)</f>
        <v>0.92</v>
      </c>
      <c r="M35" s="4">
        <f>(J35-K35)/(J35+K35)</f>
        <v>0.95381654906991664</v>
      </c>
      <c r="N35" s="4">
        <v>0.6</v>
      </c>
      <c r="O35" s="4">
        <v>0.85099999999999998</v>
      </c>
      <c r="P35" s="4">
        <v>0.11600000000000001</v>
      </c>
      <c r="Q35" s="4">
        <v>0.05</v>
      </c>
      <c r="R35" s="4">
        <v>0.76</v>
      </c>
      <c r="S35" s="4">
        <v>0.83299999999999996</v>
      </c>
      <c r="T35" s="4">
        <v>0.159</v>
      </c>
      <c r="U35" s="4">
        <v>0.04</v>
      </c>
      <c r="V35" s="4">
        <v>0.63</v>
      </c>
      <c r="W35" s="4">
        <v>0.877</v>
      </c>
      <c r="X35" s="4">
        <v>0.106</v>
      </c>
      <c r="Y35" s="4">
        <v>0.04</v>
      </c>
      <c r="Z35" s="4">
        <v>0.77</v>
      </c>
      <c r="AA35" s="5">
        <f>(V35-N35)/N35</f>
        <v>5.0000000000000044E-2</v>
      </c>
      <c r="AB35" s="5">
        <f>(W35-O35)/O35</f>
        <v>3.0552291421856666E-2</v>
      </c>
      <c r="AC35" s="5">
        <f>(X35-P35)/P35</f>
        <v>-8.6206896551724213E-2</v>
      </c>
      <c r="AD35" s="5">
        <f>(Y35-Q35)/Q35</f>
        <v>-0.20000000000000004</v>
      </c>
      <c r="AE35" s="4">
        <v>0.78</v>
      </c>
      <c r="AF35" s="4">
        <v>0.85299999999999998</v>
      </c>
      <c r="AG35" s="4">
        <v>0.14899999999999999</v>
      </c>
      <c r="AH35" s="4">
        <v>0.03</v>
      </c>
      <c r="AI35" s="4">
        <v>0.86</v>
      </c>
      <c r="AJ35" s="5">
        <f>(AE35-R35)/R35</f>
        <v>2.6315789473684233E-2</v>
      </c>
      <c r="AK35" s="5">
        <f>(AF35-S35)/S35</f>
        <v>2.4009603841536636E-2</v>
      </c>
      <c r="AL35" s="5">
        <f>(AG35-T35)/T35</f>
        <v>-6.2893081761006345E-2</v>
      </c>
      <c r="AM35" s="5">
        <f>(AH35-U35)/U35</f>
        <v>-0.25000000000000006</v>
      </c>
      <c r="AN35" s="4">
        <v>0.78300000000000003</v>
      </c>
      <c r="AO35" s="4">
        <v>0.97299999999999998</v>
      </c>
      <c r="AP35" s="4">
        <v>8.1000000000000003E-2</v>
      </c>
      <c r="AQ35" s="4">
        <v>3.7999999999999999E-2</v>
      </c>
      <c r="AR35" s="4">
        <v>0.61699999999999999</v>
      </c>
      <c r="AS35" s="4">
        <v>0.88800000000000001</v>
      </c>
      <c r="AT35" s="4">
        <v>5.8000000000000003E-2</v>
      </c>
      <c r="AU35" s="4">
        <v>4.5999999999999999E-2</v>
      </c>
      <c r="AV35" s="4">
        <v>0.79600000000000004</v>
      </c>
      <c r="AW35" s="4">
        <v>0.97699999999999998</v>
      </c>
      <c r="AX35" s="4">
        <v>7.4999999999999997E-2</v>
      </c>
      <c r="AY35" s="4">
        <v>3.5999999999999997E-2</v>
      </c>
      <c r="AZ35" s="4">
        <v>0.91100000000000003</v>
      </c>
      <c r="BA35" s="6">
        <f>(AV35-AN35)/AN35</f>
        <v>1.6602809706257996E-2</v>
      </c>
      <c r="BB35" s="6">
        <f>(AW35-AO35)/AO35</f>
        <v>4.110996916752316E-3</v>
      </c>
      <c r="BC35" s="6">
        <f>(AX35-AP35)/AP35</f>
        <v>-7.4074074074074139E-2</v>
      </c>
      <c r="BD35" s="6">
        <f>(AY35-AQ35)/AQ35</f>
        <v>-5.2631578947368467E-2</v>
      </c>
      <c r="BE35" s="4">
        <v>0.64400000000000002</v>
      </c>
      <c r="BF35" s="4">
        <v>0.90800000000000003</v>
      </c>
      <c r="BG35" s="4">
        <v>5.2999999999999999E-2</v>
      </c>
      <c r="BH35" s="4">
        <v>4.7E-2</v>
      </c>
      <c r="BI35" s="4">
        <v>0.91100000000000003</v>
      </c>
      <c r="BJ35" s="5">
        <f>(BE35-AN35)/AN35</f>
        <v>-0.17752234993614305</v>
      </c>
      <c r="BK35" s="5">
        <f>(BF35-AO35)/AO35</f>
        <v>-6.6803699897225025E-2</v>
      </c>
      <c r="BL35" s="5">
        <f>(BG35-AP35)/AP35</f>
        <v>-0.34567901234567905</v>
      </c>
      <c r="BM35" s="5">
        <f>(BH35-AQ35)/AQ35</f>
        <v>0.23684210526315794</v>
      </c>
      <c r="BN35" s="4">
        <v>0.627</v>
      </c>
      <c r="BO35" s="4">
        <v>0.82199999999999995</v>
      </c>
      <c r="BP35" s="4">
        <v>7.2999999999999995E-2</v>
      </c>
      <c r="BQ35" s="4">
        <v>0.36299999999999999</v>
      </c>
      <c r="BR35" s="5">
        <f>(BN35-AR35)/AR35</f>
        <v>1.6207455429497582E-2</v>
      </c>
      <c r="BS35" s="5">
        <f>(BO35-AS35)/AS35</f>
        <v>-7.4324324324324384E-2</v>
      </c>
      <c r="BT35" s="5">
        <f>(BP35-AT35)/AT35</f>
        <v>0.25862068965517226</v>
      </c>
      <c r="BU35" s="5">
        <f>(BQ35-AU35)/AU35</f>
        <v>6.8913043478260869</v>
      </c>
      <c r="BV35" s="4">
        <f>(BN35-BE35)/BE35</f>
        <v>-2.6397515527950333E-2</v>
      </c>
      <c r="BW35" s="4">
        <f>(BO35-BF35)/BF35</f>
        <v>-9.4713656387665282E-2</v>
      </c>
      <c r="BX35" s="4">
        <f>(BP35-BG35)/BG35</f>
        <v>0.37735849056603771</v>
      </c>
      <c r="BY35" s="4">
        <f>(BQ35-BH35)/BH35</f>
        <v>6.7234042553191493</v>
      </c>
      <c r="BZ35" s="4">
        <v>0.65400000000000003</v>
      </c>
      <c r="CA35" s="4">
        <v>0.93200000000000005</v>
      </c>
      <c r="CB35" s="4">
        <v>4.4999999999999998E-2</v>
      </c>
      <c r="CC35" s="4">
        <v>3.4000000000000002E-2</v>
      </c>
      <c r="CD35" s="4">
        <f>(BZ35-AR35)/AR35</f>
        <v>5.9967585089141059E-2</v>
      </c>
      <c r="CE35" s="4">
        <f>(CA35-AS35)/AS35</f>
        <v>4.9549549549549592E-2</v>
      </c>
      <c r="CF35" s="4">
        <f>(CB35-AT35)/AT35</f>
        <v>-0.22413793103448282</v>
      </c>
      <c r="CG35" s="4">
        <f>(CC35-AU35)/AU35</f>
        <v>-0.26086956521739124</v>
      </c>
      <c r="CH35" s="4">
        <f>(BZ35-BN35)/BN35</f>
        <v>4.3062200956937836E-2</v>
      </c>
      <c r="CI35" s="4">
        <f>(CA35-BO35)/BO35</f>
        <v>0.13381995133819963</v>
      </c>
      <c r="CJ35" s="4">
        <f>(CB35-BP35)/BP35</f>
        <v>-0.38356164383561642</v>
      </c>
      <c r="CK35" s="4">
        <f>(CC35-BQ35)/BQ35</f>
        <v>-0.90633608815426991</v>
      </c>
      <c r="CL35" s="4">
        <v>0.90800000000000003</v>
      </c>
      <c r="CM35" s="4">
        <v>0.12</v>
      </c>
      <c r="CN35" s="4">
        <f>CL35/CM35</f>
        <v>7.5666666666666673</v>
      </c>
    </row>
    <row r="36" spans="1:92" x14ac:dyDescent="0.3">
      <c r="A36" s="1" t="s">
        <v>36</v>
      </c>
      <c r="B36">
        <v>412</v>
      </c>
      <c r="C36">
        <v>65</v>
      </c>
      <c r="D36">
        <v>4</v>
      </c>
      <c r="E36">
        <v>6</v>
      </c>
      <c r="F36">
        <v>6</v>
      </c>
      <c r="G36" s="3" t="s">
        <v>1</v>
      </c>
      <c r="H36" s="4">
        <v>10.5</v>
      </c>
      <c r="I36" s="4">
        <v>5.94</v>
      </c>
      <c r="J36" s="4">
        <v>12.25</v>
      </c>
      <c r="K36" s="4">
        <v>7.11</v>
      </c>
      <c r="L36" s="4">
        <f>(H36-I36)/(H36+I36)</f>
        <v>0.27737226277372257</v>
      </c>
      <c r="M36" s="4">
        <f>(J36-K36)/(J36+K36)</f>
        <v>0.26549586776859502</v>
      </c>
      <c r="N36" s="4">
        <v>0.16</v>
      </c>
      <c r="O36" s="4">
        <v>0.39200000000000002</v>
      </c>
      <c r="P36" s="4">
        <v>8.3000000000000004E-2</v>
      </c>
      <c r="Q36" s="4">
        <v>0.12</v>
      </c>
      <c r="R36" s="4">
        <v>0.19</v>
      </c>
      <c r="S36" s="4">
        <v>0.29299999999999998</v>
      </c>
      <c r="T36" s="4">
        <v>0.112</v>
      </c>
      <c r="U36" s="4">
        <v>0.14000000000000001</v>
      </c>
      <c r="V36" s="4">
        <v>0.38</v>
      </c>
      <c r="W36" s="4">
        <v>0.83399999999999996</v>
      </c>
      <c r="X36" s="4">
        <v>4.2000000000000003E-2</v>
      </c>
      <c r="Y36" s="4">
        <v>0.04</v>
      </c>
      <c r="Z36" s="4">
        <v>0.13100000000000001</v>
      </c>
      <c r="AA36" s="5">
        <f>(V36-N36)/N36</f>
        <v>1.375</v>
      </c>
      <c r="AB36" s="5">
        <f>(W36-O36)/O36</f>
        <v>1.1275510204081631</v>
      </c>
      <c r="AC36" s="5">
        <f>(X36-P36)/P36</f>
        <v>-0.49397590361445781</v>
      </c>
      <c r="AD36" s="5">
        <f>(Y36-Q36)/Q36</f>
        <v>-0.66666666666666663</v>
      </c>
      <c r="AE36" s="4">
        <v>0.45</v>
      </c>
      <c r="AF36" s="4">
        <v>0.64300000000000002</v>
      </c>
      <c r="AG36" s="4">
        <v>0.08</v>
      </c>
      <c r="AH36" s="4">
        <v>0.05</v>
      </c>
      <c r="AI36" s="4">
        <v>0.13300000000000001</v>
      </c>
      <c r="AJ36" s="5">
        <f>(AE36-R36)/R36</f>
        <v>1.368421052631579</v>
      </c>
      <c r="AK36" s="5">
        <f>(AF36-S36)/S36</f>
        <v>1.1945392491467579</v>
      </c>
      <c r="AL36" s="5">
        <f>(AG36-T36)/T36</f>
        <v>-0.2857142857142857</v>
      </c>
      <c r="AM36" s="5">
        <f>(AH36-U36)/U36</f>
        <v>-0.6428571428571429</v>
      </c>
      <c r="AN36" s="4">
        <v>0.13800000000000001</v>
      </c>
      <c r="AO36" s="4">
        <v>0.52400000000000002</v>
      </c>
      <c r="AP36" s="4">
        <v>9.0999999999999998E-2</v>
      </c>
      <c r="AQ36" s="4">
        <v>0.14499999999999999</v>
      </c>
      <c r="AR36" s="4">
        <v>8.5000000000000006E-2</v>
      </c>
      <c r="AS36" s="4">
        <v>0.38900000000000001</v>
      </c>
      <c r="AT36" s="4">
        <v>8.2000000000000003E-2</v>
      </c>
      <c r="AU36" s="4">
        <v>0.11799999999999999</v>
      </c>
      <c r="AV36" s="4">
        <v>0.40400000000000003</v>
      </c>
      <c r="AW36" s="4">
        <v>0.86199999999999999</v>
      </c>
      <c r="AX36" s="4">
        <v>4.9000000000000002E-2</v>
      </c>
      <c r="AY36" s="4">
        <v>8.7999999999999995E-2</v>
      </c>
      <c r="AZ36" s="4">
        <v>0.32100000000000001</v>
      </c>
      <c r="BA36" s="6">
        <f>(AV36-AN36)/AN36</f>
        <v>1.9275362318840579</v>
      </c>
      <c r="BB36" s="6">
        <f>(AW36-AO36)/AO36</f>
        <v>0.64503816793893121</v>
      </c>
      <c r="BC36" s="6">
        <f>(AX36-AP36)/AP36</f>
        <v>-0.46153846153846151</v>
      </c>
      <c r="BD36" s="6">
        <f>(AY36-AQ36)/AQ36</f>
        <v>-0.39310344827586208</v>
      </c>
      <c r="BE36" s="4">
        <v>0.33500000000000002</v>
      </c>
      <c r="BF36" s="4">
        <v>0.751</v>
      </c>
      <c r="BG36" s="4">
        <v>5.1999999999999998E-2</v>
      </c>
      <c r="BH36" s="4">
        <v>7.5999999999999998E-2</v>
      </c>
      <c r="BI36" s="4">
        <v>0.30599999999999999</v>
      </c>
      <c r="BJ36" s="5">
        <f>(BE36-AN36)/AN36</f>
        <v>1.4275362318840579</v>
      </c>
      <c r="BK36" s="5">
        <f>(BF36-AO36)/AO36</f>
        <v>0.43320610687022892</v>
      </c>
      <c r="BL36" s="5">
        <f>(BG36-AP36)/AP36</f>
        <v>-0.4285714285714286</v>
      </c>
      <c r="BM36" s="5">
        <f>(BH36-AQ36)/AQ36</f>
        <v>-0.47586206896551719</v>
      </c>
      <c r="BN36" s="4">
        <v>0.32200000000000001</v>
      </c>
      <c r="BO36" s="4">
        <v>0.70099999999999996</v>
      </c>
      <c r="BP36" s="4">
        <v>5.7000000000000002E-2</v>
      </c>
      <c r="BQ36" s="4">
        <v>0.125</v>
      </c>
      <c r="BR36" s="5">
        <f>(BN36-AR36)/AR36</f>
        <v>2.7882352941176469</v>
      </c>
      <c r="BS36" s="5">
        <f>(BO36-AS36)/AS36</f>
        <v>0.8020565552699227</v>
      </c>
      <c r="BT36" s="5">
        <f>(BP36-AT36)/AT36</f>
        <v>-0.3048780487804878</v>
      </c>
      <c r="BU36" s="5">
        <f>(BQ36-AU36)/AU36</f>
        <v>5.9322033898305142E-2</v>
      </c>
      <c r="BV36" s="4">
        <f>(BN36-BE36)/BE36</f>
        <v>-3.8805970149253764E-2</v>
      </c>
      <c r="BW36" s="4">
        <f>(BO36-BF36)/BF36</f>
        <v>-6.6577896138482084E-2</v>
      </c>
      <c r="BX36" s="4">
        <f>(BP36-BG36)/BG36</f>
        <v>9.6153846153846242E-2</v>
      </c>
      <c r="BY36" s="4">
        <f>(BQ36-BH36)/BH36</f>
        <v>0.64473684210526316</v>
      </c>
      <c r="BZ36" s="4">
        <v>0.33600000000000002</v>
      </c>
      <c r="CA36" s="4">
        <v>0.75</v>
      </c>
      <c r="CB36" s="4">
        <v>5.1999999999999998E-2</v>
      </c>
      <c r="CC36" s="4">
        <v>8.8999999999999996E-2</v>
      </c>
      <c r="CD36" s="4">
        <f>(BZ36-AR36)/AR36</f>
        <v>2.952941176470588</v>
      </c>
      <c r="CE36" s="4">
        <f>(CA36-AS36)/AS36</f>
        <v>0.92802056555269918</v>
      </c>
      <c r="CF36" s="4">
        <f>(CB36-AT36)/AT36</f>
        <v>-0.36585365853658541</v>
      </c>
      <c r="CG36" s="4">
        <f>(CC36-AU36)/AU36</f>
        <v>-0.24576271186440676</v>
      </c>
      <c r="CH36" s="4">
        <f>(BZ36-BN36)/BN36</f>
        <v>4.3478260869565258E-2</v>
      </c>
      <c r="CI36" s="4">
        <f>(CA36-BO36)/BO36</f>
        <v>6.9900142653352426E-2</v>
      </c>
      <c r="CJ36" s="4">
        <f>(CB36-BP36)/BP36</f>
        <v>-8.7719298245614113E-2</v>
      </c>
      <c r="CK36" s="4">
        <f>(CC36-BQ36)/BQ36</f>
        <v>-0.28800000000000003</v>
      </c>
      <c r="CL36" s="4">
        <v>0.40300000000000002</v>
      </c>
      <c r="CM36" s="4">
        <v>0.749</v>
      </c>
      <c r="CN36" s="4">
        <f>CL36/CM36</f>
        <v>0.53805073431241657</v>
      </c>
    </row>
    <row r="37" spans="1:92" x14ac:dyDescent="0.3">
      <c r="A37" s="1" t="s">
        <v>37</v>
      </c>
      <c r="B37">
        <v>210</v>
      </c>
      <c r="C37">
        <v>73</v>
      </c>
      <c r="D37">
        <v>4</v>
      </c>
      <c r="E37">
        <v>7</v>
      </c>
      <c r="F37">
        <v>7</v>
      </c>
      <c r="G37" s="3" t="s">
        <v>1</v>
      </c>
      <c r="H37" s="4">
        <v>12.24</v>
      </c>
      <c r="I37" s="4">
        <v>7.6</v>
      </c>
      <c r="J37" s="7">
        <v>14.15</v>
      </c>
      <c r="K37" s="7">
        <v>8.91</v>
      </c>
      <c r="L37" s="4">
        <f>(H37-I37)/(H37+I37)</f>
        <v>0.23387096774193553</v>
      </c>
      <c r="M37" s="7">
        <f>(J37-K37)/(J37+K37)</f>
        <v>0.22723330442324369</v>
      </c>
      <c r="N37" s="4">
        <v>0.17</v>
      </c>
      <c r="O37" s="4">
        <v>0.377</v>
      </c>
      <c r="P37" s="4">
        <v>8.1000000000000003E-2</v>
      </c>
      <c r="Q37" s="4">
        <v>0.13</v>
      </c>
      <c r="R37" s="7">
        <v>0.19</v>
      </c>
      <c r="S37" s="7">
        <v>8.5999999999999993E-2</v>
      </c>
      <c r="T37" s="7">
        <v>0.20799999999999999</v>
      </c>
      <c r="U37" s="7">
        <v>0.16</v>
      </c>
      <c r="V37" s="4">
        <v>0.43</v>
      </c>
      <c r="W37" s="4">
        <v>0.82699999999999996</v>
      </c>
      <c r="X37" s="4">
        <v>4.2000000000000003E-2</v>
      </c>
      <c r="Y37" s="4">
        <v>0.04</v>
      </c>
      <c r="Z37" s="4">
        <v>0.13</v>
      </c>
      <c r="AA37" s="5">
        <f>(V37-N37)/N37</f>
        <v>1.5294117647058822</v>
      </c>
      <c r="AB37" s="5">
        <f>(W37-O37)/O37</f>
        <v>1.1936339522546418</v>
      </c>
      <c r="AC37" s="5">
        <f>(X37-P37)/P37</f>
        <v>-0.48148148148148145</v>
      </c>
      <c r="AD37" s="5">
        <f>(Y37-Q37)/Q37</f>
        <v>-0.69230769230769229</v>
      </c>
      <c r="AE37" s="7">
        <v>0.51</v>
      </c>
      <c r="AF37" s="7">
        <v>8.5999999999999993E-2</v>
      </c>
      <c r="AG37" s="7">
        <v>0.20599999999999999</v>
      </c>
      <c r="AH37" s="7">
        <v>0.05</v>
      </c>
      <c r="AI37" s="7">
        <v>0.13200000000000001</v>
      </c>
      <c r="AJ37" s="8">
        <f>(AE37-R37)/R37</f>
        <v>1.6842105263157894</v>
      </c>
      <c r="AK37" s="8">
        <f>(AF37-S37)/S37</f>
        <v>0</v>
      </c>
      <c r="AL37" s="8">
        <f>(AG37-T37)/T37</f>
        <v>-9.6153846153846246E-3</v>
      </c>
      <c r="AM37" s="8">
        <f>(AH37-U37)/U37</f>
        <v>-0.6875</v>
      </c>
      <c r="AN37" s="7">
        <v>0.1</v>
      </c>
      <c r="AO37" s="7">
        <v>0.496</v>
      </c>
      <c r="AP37" s="7">
        <v>8.8999999999999996E-2</v>
      </c>
      <c r="AQ37" s="7">
        <v>0.157</v>
      </c>
      <c r="AR37" s="4">
        <v>6.8000000000000005E-2</v>
      </c>
      <c r="AS37" s="4">
        <v>0.35899999999999999</v>
      </c>
      <c r="AT37" s="4">
        <v>8.7999999999999995E-2</v>
      </c>
      <c r="AU37" s="4">
        <v>0.13200000000000001</v>
      </c>
      <c r="AV37" s="7">
        <v>0.432</v>
      </c>
      <c r="AW37" s="7">
        <v>0.82799999999999996</v>
      </c>
      <c r="AX37" s="7">
        <v>5.1999999999999998E-2</v>
      </c>
      <c r="AY37" s="7">
        <v>0.109</v>
      </c>
      <c r="AZ37" s="7">
        <v>0.32</v>
      </c>
      <c r="BA37" s="8">
        <f>(AV37-AN37)/AN37</f>
        <v>3.3199999999999994</v>
      </c>
      <c r="BB37" s="8">
        <f>(AW37-AO37)/AO37</f>
        <v>0.66935483870967738</v>
      </c>
      <c r="BC37" s="8">
        <f>(AX37-AP37)/AP37</f>
        <v>-0.4157303370786517</v>
      </c>
      <c r="BD37" s="8">
        <f>(AY37-AQ37)/AQ37</f>
        <v>-0.30573248407643311</v>
      </c>
      <c r="BE37" s="4">
        <v>0.32600000000000001</v>
      </c>
      <c r="BF37" s="4">
        <v>0.69399999999999995</v>
      </c>
      <c r="BG37" s="4">
        <v>0.06</v>
      </c>
      <c r="BH37" s="4">
        <v>9.5000000000000001E-2</v>
      </c>
      <c r="BI37" s="4">
        <v>0.30099999999999999</v>
      </c>
      <c r="BJ37" s="5">
        <f>(BE37-AN37)/AN37</f>
        <v>2.2599999999999998</v>
      </c>
      <c r="BK37" s="5">
        <f>(BF37-AO37)/AO37</f>
        <v>0.3991935483870967</v>
      </c>
      <c r="BL37" s="5">
        <f>(BG37-AP37)/AP37</f>
        <v>-0.3258426966292135</v>
      </c>
      <c r="BM37" s="5">
        <f>(BH37-AQ37)/AQ37</f>
        <v>-0.39490445859872608</v>
      </c>
      <c r="BN37" s="4">
        <v>0.33600000000000002</v>
      </c>
      <c r="BO37" s="4">
        <v>0.65500000000000003</v>
      </c>
      <c r="BP37" s="4">
        <v>6.4000000000000001E-2</v>
      </c>
      <c r="BQ37" s="4">
        <v>0.13900000000000001</v>
      </c>
      <c r="BR37" s="5">
        <f>(BN37-AR37)/AR37</f>
        <v>3.9411764705882351</v>
      </c>
      <c r="BS37" s="5">
        <f>(BO37-AS37)/AS37</f>
        <v>0.8245125348189416</v>
      </c>
      <c r="BT37" s="5">
        <f>(BP37-AT37)/AT37</f>
        <v>-0.27272727272727265</v>
      </c>
      <c r="BU37" s="5">
        <f>(BQ37-AU37)/AU37</f>
        <v>5.3030303030303073E-2</v>
      </c>
      <c r="BV37" s="4">
        <f>(BN37-BE37)/BE37</f>
        <v>3.0674846625766899E-2</v>
      </c>
      <c r="BW37" s="4">
        <f>(BO37-BF37)/BF37</f>
        <v>-5.6195965417867332E-2</v>
      </c>
      <c r="BX37" s="4">
        <f>(BP37-BG37)/BG37</f>
        <v>6.6666666666666735E-2</v>
      </c>
      <c r="BY37" s="4">
        <f>(BQ37-BH37)/BH37</f>
        <v>0.46315789473684221</v>
      </c>
      <c r="BZ37" s="4">
        <v>0.376</v>
      </c>
      <c r="CA37" s="4">
        <v>0.70199999999999996</v>
      </c>
      <c r="CB37" s="4">
        <v>0.06</v>
      </c>
      <c r="CC37" s="4">
        <v>0.10299999999999999</v>
      </c>
      <c r="CD37" s="4">
        <f>(BZ37-AR37)/AR37</f>
        <v>4.5294117647058822</v>
      </c>
      <c r="CE37" s="4">
        <f>(CA37-AS37)/AS37</f>
        <v>0.95543175487465182</v>
      </c>
      <c r="CF37" s="4">
        <f>(CB37-AT37)/AT37</f>
        <v>-0.31818181818181818</v>
      </c>
      <c r="CG37" s="4">
        <f>(CC37-AU37)/AU37</f>
        <v>-0.21969696969696978</v>
      </c>
      <c r="CH37" s="4">
        <f>(BZ37-BN37)/BN37</f>
        <v>0.11904761904761899</v>
      </c>
      <c r="CI37" s="4">
        <f>(CA37-BO37)/BO37</f>
        <v>7.1755725190839587E-2</v>
      </c>
      <c r="CJ37" s="4">
        <f>(CB37-BP37)/BP37</f>
        <v>-6.2500000000000056E-2</v>
      </c>
      <c r="CK37" s="4">
        <f>(CC37-BQ37)/BQ37</f>
        <v>-0.25899280575539579</v>
      </c>
      <c r="CL37" s="4">
        <v>0.39200000000000002</v>
      </c>
      <c r="CM37" s="4">
        <v>0.76400000000000001</v>
      </c>
      <c r="CN37" s="4">
        <f>CL37/CM37</f>
        <v>0.51308900523560208</v>
      </c>
    </row>
    <row r="38" spans="1:92" x14ac:dyDescent="0.3">
      <c r="A38" s="1" t="s">
        <v>38</v>
      </c>
      <c r="B38">
        <v>406</v>
      </c>
      <c r="C38">
        <v>54</v>
      </c>
      <c r="D38">
        <v>4</v>
      </c>
      <c r="E38">
        <v>6</v>
      </c>
      <c r="F38">
        <v>6</v>
      </c>
      <c r="G38" s="3" t="s">
        <v>1</v>
      </c>
      <c r="H38" s="4">
        <v>7.27</v>
      </c>
      <c r="I38" s="4">
        <v>4.3</v>
      </c>
      <c r="J38" s="4">
        <v>8.5299999999999994</v>
      </c>
      <c r="K38" s="4">
        <v>5.23</v>
      </c>
      <c r="L38" s="4">
        <f>(H38-I38)/(H38+I38)</f>
        <v>0.25669835782195333</v>
      </c>
      <c r="M38" s="4">
        <f>(J38-K38)/(J38+K38)</f>
        <v>0.23982558139534876</v>
      </c>
      <c r="N38" s="4">
        <v>0.13</v>
      </c>
      <c r="O38" s="4">
        <v>0.33200000000000002</v>
      </c>
      <c r="P38" s="4">
        <v>8.5999999999999993E-2</v>
      </c>
      <c r="Q38" s="4">
        <v>0.12</v>
      </c>
      <c r="R38" s="4">
        <v>0.16</v>
      </c>
      <c r="S38" s="4">
        <v>0.24</v>
      </c>
      <c r="T38" s="4">
        <v>0.11799999999999999</v>
      </c>
      <c r="U38" s="4">
        <v>0.14000000000000001</v>
      </c>
      <c r="V38" s="4">
        <v>0.36</v>
      </c>
      <c r="W38" s="4">
        <v>0.84099999999999997</v>
      </c>
      <c r="X38" s="4">
        <v>4.2000000000000003E-2</v>
      </c>
      <c r="Y38" s="4">
        <v>0.04</v>
      </c>
      <c r="Z38" s="4">
        <v>0.13500000000000001</v>
      </c>
      <c r="AA38" s="5">
        <f>(V38-N38)/N38</f>
        <v>1.7692307692307689</v>
      </c>
      <c r="AB38" s="5">
        <f>(W38-O38)/O38</f>
        <v>1.5331325301204815</v>
      </c>
      <c r="AC38" s="5">
        <f>(X38-P38)/P38</f>
        <v>-0.5116279069767441</v>
      </c>
      <c r="AD38" s="5">
        <f>(Y38-Q38)/Q38</f>
        <v>-0.66666666666666663</v>
      </c>
      <c r="AE38" s="4">
        <v>0.44</v>
      </c>
      <c r="AF38" s="4">
        <v>0.65400000000000003</v>
      </c>
      <c r="AG38" s="4">
        <v>7.9000000000000001E-2</v>
      </c>
      <c r="AH38" s="4">
        <v>0.04</v>
      </c>
      <c r="AI38" s="4">
        <v>0.13700000000000001</v>
      </c>
      <c r="AJ38" s="5">
        <f>(AE38-R38)/R38</f>
        <v>1.7500000000000002</v>
      </c>
      <c r="AK38" s="5">
        <f>(AF38-S38)/S38</f>
        <v>1.7250000000000003</v>
      </c>
      <c r="AL38" s="5">
        <f>(AG38-T38)/T38</f>
        <v>-0.33050847457627114</v>
      </c>
      <c r="AM38" s="5">
        <f>(AH38-U38)/U38</f>
        <v>-0.7142857142857143</v>
      </c>
      <c r="AN38" s="4">
        <v>0.13100000000000001</v>
      </c>
      <c r="AO38" s="4">
        <v>0.46800000000000003</v>
      </c>
      <c r="AP38" s="4">
        <v>9.0999999999999998E-2</v>
      </c>
      <c r="AQ38" s="4">
        <v>0.14000000000000001</v>
      </c>
      <c r="AR38" s="4">
        <v>7.3999999999999996E-2</v>
      </c>
      <c r="AS38" s="4">
        <v>0.32900000000000001</v>
      </c>
      <c r="AT38" s="4">
        <v>8.5999999999999993E-2</v>
      </c>
      <c r="AU38" s="4">
        <v>0.115</v>
      </c>
      <c r="AV38" s="4">
        <v>0.436</v>
      </c>
      <c r="AW38" s="4">
        <v>0.85499999999999998</v>
      </c>
      <c r="AX38" s="4">
        <v>4.8000000000000001E-2</v>
      </c>
      <c r="AY38" s="4">
        <v>8.5000000000000006E-2</v>
      </c>
      <c r="AZ38" s="4">
        <v>0.26400000000000001</v>
      </c>
      <c r="BA38" s="6">
        <f>(AV38-AN38)/AN38</f>
        <v>2.3282442748091601</v>
      </c>
      <c r="BB38" s="6">
        <f>(AW38-AO38)/AO38</f>
        <v>0.82692307692307676</v>
      </c>
      <c r="BC38" s="6">
        <f>(AX38-AP38)/AP38</f>
        <v>-0.47252747252747251</v>
      </c>
      <c r="BD38" s="6">
        <f>(AY38-AQ38)/AQ38</f>
        <v>-0.39285714285714285</v>
      </c>
      <c r="BE38" s="4">
        <v>0.35699999999999998</v>
      </c>
      <c r="BF38" s="4">
        <v>0.76600000000000001</v>
      </c>
      <c r="BG38" s="4">
        <v>5.0999999999999997E-2</v>
      </c>
      <c r="BH38" s="4">
        <v>7.1999999999999995E-2</v>
      </c>
      <c r="BI38" s="4">
        <v>0.245</v>
      </c>
      <c r="BJ38" s="5">
        <f>(BE38-AN38)/AN38</f>
        <v>1.7251908396946563</v>
      </c>
      <c r="BK38" s="5">
        <f>(BF38-AO38)/AO38</f>
        <v>0.63675213675213671</v>
      </c>
      <c r="BL38" s="5">
        <f>(BG38-AP38)/AP38</f>
        <v>-0.43956043956043961</v>
      </c>
      <c r="BM38" s="5">
        <f>(BH38-AQ38)/AQ38</f>
        <v>-0.48571428571428582</v>
      </c>
      <c r="BN38" s="4">
        <v>0.35399999999999998</v>
      </c>
      <c r="BO38" s="4">
        <v>0.72</v>
      </c>
      <c r="BP38" s="4">
        <v>5.6000000000000001E-2</v>
      </c>
      <c r="BQ38" s="4">
        <v>0.111</v>
      </c>
      <c r="BR38" s="5">
        <f>(BN38-AR38)/AR38</f>
        <v>3.7837837837837838</v>
      </c>
      <c r="BS38" s="5">
        <f>(BO38-AS38)/AS38</f>
        <v>1.188449848024316</v>
      </c>
      <c r="BT38" s="5">
        <f>(BP38-AT38)/AT38</f>
        <v>-0.34883720930232553</v>
      </c>
      <c r="BU38" s="5">
        <f>(BQ38-AU38)/AU38</f>
        <v>-3.4782608695652202E-2</v>
      </c>
      <c r="BV38" s="4">
        <f>(BN38-BE38)/BE38</f>
        <v>-8.4033613445378234E-3</v>
      </c>
      <c r="BW38" s="4">
        <f>(BO38-BF38)/BF38</f>
        <v>-6.0052219321148875E-2</v>
      </c>
      <c r="BX38" s="4">
        <f>(BP38-BG38)/BG38</f>
        <v>9.8039215686274606E-2</v>
      </c>
      <c r="BY38" s="4">
        <f>(BQ38-BH38)/BH38</f>
        <v>0.54166666666666685</v>
      </c>
      <c r="BZ38" s="4">
        <v>0.72</v>
      </c>
      <c r="CA38" s="4">
        <v>0.76700000000000002</v>
      </c>
      <c r="CB38" s="4">
        <v>5.0999999999999997E-2</v>
      </c>
      <c r="CC38" s="4">
        <v>7.5999999999999998E-2</v>
      </c>
      <c r="CD38" s="4">
        <f>(BZ38-AR38)/AR38</f>
        <v>8.7297297297297298</v>
      </c>
      <c r="CE38" s="4">
        <f>(CA38-AS38)/AS38</f>
        <v>1.331306990881459</v>
      </c>
      <c r="CF38" s="4">
        <f>(CB38-AT38)/AT38</f>
        <v>-0.40697674418604651</v>
      </c>
      <c r="CG38" s="4">
        <f>(CC38-AU38)/AU38</f>
        <v>-0.33913043478260874</v>
      </c>
      <c r="CH38" s="4">
        <f>(BZ38-BN38)/BN38</f>
        <v>1.0338983050847459</v>
      </c>
      <c r="CI38" s="4">
        <f>(CA38-BO38)/BO38</f>
        <v>6.5277777777777837E-2</v>
      </c>
      <c r="CJ38" s="4">
        <f>(CB38-BP38)/BP38</f>
        <v>-8.9285714285714357E-2</v>
      </c>
      <c r="CK38" s="4">
        <f>(CC38-BQ38)/BQ38</f>
        <v>-0.31531531531531531</v>
      </c>
      <c r="CL38" s="4">
        <v>0.28399999999999997</v>
      </c>
      <c r="CM38" s="4">
        <v>0.74099999999999999</v>
      </c>
      <c r="CN38" s="4">
        <f>CL38/CM38</f>
        <v>0.38326585695006743</v>
      </c>
    </row>
    <row r="39" spans="1:92" x14ac:dyDescent="0.3">
      <c r="A39" s="1" t="s">
        <v>39</v>
      </c>
      <c r="B39">
        <v>4200</v>
      </c>
      <c r="C39">
        <v>44</v>
      </c>
      <c r="D39">
        <v>5</v>
      </c>
      <c r="E39">
        <v>3</v>
      </c>
      <c r="F39">
        <v>3</v>
      </c>
      <c r="G39" s="3" t="s">
        <v>1</v>
      </c>
      <c r="H39" s="4">
        <v>14.6</v>
      </c>
      <c r="I39" s="4">
        <v>5.64</v>
      </c>
      <c r="J39" s="7">
        <v>17.39</v>
      </c>
      <c r="K39" s="7">
        <v>6.68</v>
      </c>
      <c r="L39" s="4">
        <f>(H39-I39)/(H39+I39)</f>
        <v>0.44268774703557318</v>
      </c>
      <c r="M39" s="7">
        <f>(J39-K39)/(J39+K39)</f>
        <v>0.44495222268383883</v>
      </c>
      <c r="N39" s="4">
        <v>0.33</v>
      </c>
      <c r="O39" s="4">
        <v>0.38700000000000001</v>
      </c>
      <c r="P39" s="4">
        <v>0.156</v>
      </c>
      <c r="Q39" s="4">
        <v>0.16</v>
      </c>
      <c r="R39" s="7">
        <v>0.4</v>
      </c>
      <c r="S39" s="7">
        <v>0.21199999999999999</v>
      </c>
      <c r="T39" s="7">
        <v>0.25700000000000001</v>
      </c>
      <c r="U39" s="7">
        <v>0.18</v>
      </c>
      <c r="V39" s="4">
        <v>0.52</v>
      </c>
      <c r="W39" s="4">
        <v>0.63200000000000001</v>
      </c>
      <c r="X39" s="4">
        <v>0.121</v>
      </c>
      <c r="Y39" s="4">
        <v>7.0000000000000007E-2</v>
      </c>
      <c r="Z39" s="4">
        <v>0.36299999999999999</v>
      </c>
      <c r="AA39" s="5">
        <f>(V39-N39)/N39</f>
        <v>0.57575757575757569</v>
      </c>
      <c r="AB39" s="5">
        <f>(W39-O39)/O39</f>
        <v>0.63307493540051674</v>
      </c>
      <c r="AC39" s="5">
        <f>(X39-P39)/P39</f>
        <v>-0.22435897435897437</v>
      </c>
      <c r="AD39" s="5">
        <f>(Y39-Q39)/Q39</f>
        <v>-0.5625</v>
      </c>
      <c r="AE39" s="7">
        <v>0.61</v>
      </c>
      <c r="AF39" s="7">
        <v>0.34599999999999997</v>
      </c>
      <c r="AG39" s="7">
        <v>0.23400000000000001</v>
      </c>
      <c r="AH39" s="7">
        <v>7.0000000000000007E-2</v>
      </c>
      <c r="AI39" s="7">
        <v>0.373</v>
      </c>
      <c r="AJ39" s="8">
        <f>(AE39-R39)/R39</f>
        <v>0.52499999999999991</v>
      </c>
      <c r="AK39" s="8">
        <f>(AF39-S39)/S39</f>
        <v>0.63207547169811318</v>
      </c>
      <c r="AL39" s="8">
        <f>(AG39-T39)/T39</f>
        <v>-8.9494163424124487E-2</v>
      </c>
      <c r="AM39" s="8">
        <f>(AH39-U39)/U39</f>
        <v>-0.61111111111111105</v>
      </c>
      <c r="AN39" s="4">
        <v>0.53100000000000003</v>
      </c>
      <c r="AO39" s="4">
        <v>0.66700000000000004</v>
      </c>
      <c r="AP39" s="4">
        <v>0.16300000000000001</v>
      </c>
      <c r="AQ39" s="4">
        <v>0.20799999999999999</v>
      </c>
      <c r="AR39" s="4">
        <v>0.36</v>
      </c>
      <c r="AS39" s="4">
        <v>0.39300000000000002</v>
      </c>
      <c r="AT39" s="4">
        <v>0.14499999999999999</v>
      </c>
      <c r="AU39" s="4">
        <v>0.158</v>
      </c>
      <c r="AV39" s="4">
        <v>0.65600000000000003</v>
      </c>
      <c r="AW39" s="4">
        <v>0.872</v>
      </c>
      <c r="AX39" s="4">
        <v>0.10100000000000001</v>
      </c>
      <c r="AY39" s="4">
        <v>0.11</v>
      </c>
      <c r="AZ39" s="4">
        <v>0.505</v>
      </c>
      <c r="BA39" s="6">
        <f>(AV39-AN39)/AN39</f>
        <v>0.23540489642184556</v>
      </c>
      <c r="BB39" s="6">
        <f>(AW39-AO39)/AO39</f>
        <v>0.30734632683658164</v>
      </c>
      <c r="BC39" s="6">
        <f>(AX39-AP39)/AP39</f>
        <v>-0.38036809815950917</v>
      </c>
      <c r="BD39" s="6">
        <f>(AY39-AQ39)/AQ39</f>
        <v>-0.47115384615384615</v>
      </c>
      <c r="BE39" s="4">
        <v>0.53200000000000003</v>
      </c>
      <c r="BF39" s="4">
        <v>0.61699999999999999</v>
      </c>
      <c r="BG39" s="4">
        <v>0.115</v>
      </c>
      <c r="BH39" s="4">
        <v>8.8999999999999996E-2</v>
      </c>
      <c r="BI39" s="4">
        <v>0.505</v>
      </c>
      <c r="BJ39" s="5">
        <f>(BE39-AN39)/AN39</f>
        <v>1.8832391713747663E-3</v>
      </c>
      <c r="BK39" s="5">
        <f>(BF39-AO39)/AO39</f>
        <v>-7.4962518740629744E-2</v>
      </c>
      <c r="BL39" s="5">
        <f>(BG39-AP39)/AP39</f>
        <v>-0.29447852760736198</v>
      </c>
      <c r="BM39" s="5">
        <f>(BH39-AQ39)/AQ39</f>
        <v>-0.57211538461538458</v>
      </c>
      <c r="BN39" s="4">
        <v>0.53600000000000003</v>
      </c>
      <c r="BO39" s="4">
        <v>0.59299999999999997</v>
      </c>
      <c r="BP39" s="4">
        <v>0.11799999999999999</v>
      </c>
      <c r="BQ39" s="4">
        <v>0.22500000000000001</v>
      </c>
      <c r="BR39" s="5">
        <f>(BN39-AR39)/AR39</f>
        <v>0.48888888888888904</v>
      </c>
      <c r="BS39" s="5">
        <f>(BO39-AS39)/AS39</f>
        <v>0.50890585241730268</v>
      </c>
      <c r="BT39" s="5">
        <f>(BP39-AT39)/AT39</f>
        <v>-0.18620689655172412</v>
      </c>
      <c r="BU39" s="5">
        <f>(BQ39-AU39)/AU39</f>
        <v>0.42405063291139244</v>
      </c>
      <c r="BV39" s="4">
        <f>(BN39-BE39)/BE39</f>
        <v>7.5187969924812095E-3</v>
      </c>
      <c r="BW39" s="4">
        <f>(BO39-BF39)/BF39</f>
        <v>-3.8897893030794203E-2</v>
      </c>
      <c r="BX39" s="4">
        <f>(BP39-BG39)/BG39</f>
        <v>2.6086956521739032E-2</v>
      </c>
      <c r="BY39" s="4">
        <f>(BQ39-BH39)/BH39</f>
        <v>1.5280898876404496</v>
      </c>
      <c r="BZ39" s="4">
        <v>0.54300000000000004</v>
      </c>
      <c r="CA39" s="4">
        <v>0.64500000000000002</v>
      </c>
      <c r="CB39" s="4">
        <v>0.111</v>
      </c>
      <c r="CC39" s="4">
        <v>7.8E-2</v>
      </c>
      <c r="CD39" s="4">
        <f>(BZ39-AR39)/AR39</f>
        <v>0.50833333333333353</v>
      </c>
      <c r="CE39" s="4">
        <f>(CA39-AS39)/AS39</f>
        <v>0.64122137404580148</v>
      </c>
      <c r="CF39" s="4">
        <f>(CB39-AT39)/AT39</f>
        <v>-0.2344827586206896</v>
      </c>
      <c r="CG39" s="4">
        <f>(CC39-AU39)/AU39</f>
        <v>-0.50632911392405067</v>
      </c>
      <c r="CH39" s="4">
        <f>(BZ39-BN39)/BN39</f>
        <v>1.3059701492537325E-2</v>
      </c>
      <c r="CI39" s="4">
        <f>(CA39-BO39)/BO39</f>
        <v>8.7689713322091148E-2</v>
      </c>
      <c r="CJ39" s="4">
        <f>(CB39-BP39)/BP39</f>
        <v>-5.9322033898305024E-2</v>
      </c>
      <c r="CK39" s="4">
        <f>(CC39-BQ39)/BQ39</f>
        <v>-0.65333333333333343</v>
      </c>
      <c r="CL39" s="4">
        <v>0.53300000000000003</v>
      </c>
      <c r="CM39" s="4">
        <v>0.47399999999999998</v>
      </c>
      <c r="CN39" s="4">
        <f>CL39/CM39</f>
        <v>1.1244725738396626</v>
      </c>
    </row>
    <row r="40" spans="1:92" x14ac:dyDescent="0.3">
      <c r="A40" s="1" t="s">
        <v>40</v>
      </c>
      <c r="B40">
        <v>411</v>
      </c>
      <c r="C40">
        <v>38</v>
      </c>
      <c r="D40">
        <v>5</v>
      </c>
      <c r="E40">
        <v>3</v>
      </c>
      <c r="F40">
        <v>3</v>
      </c>
      <c r="G40" s="3" t="s">
        <v>1</v>
      </c>
      <c r="H40" s="4">
        <v>13.17</v>
      </c>
      <c r="I40" s="4">
        <v>2.97</v>
      </c>
      <c r="J40" s="4">
        <v>14.97</v>
      </c>
      <c r="K40" s="4">
        <v>3.24</v>
      </c>
      <c r="L40" s="4">
        <f>(H40-I40)/(H40+I40)</f>
        <v>0.63197026022304825</v>
      </c>
      <c r="M40" s="4">
        <f>(J40-K40)/(J40+K40)</f>
        <v>0.64415156507413507</v>
      </c>
      <c r="N40" s="4">
        <v>0.35</v>
      </c>
      <c r="O40" s="4">
        <v>0.54</v>
      </c>
      <c r="P40" s="4">
        <v>0.123</v>
      </c>
      <c r="Q40" s="4">
        <v>0.12</v>
      </c>
      <c r="R40" s="4">
        <v>0.39</v>
      </c>
      <c r="S40" s="4">
        <v>0.49299999999999999</v>
      </c>
      <c r="T40" s="4">
        <v>0.14899999999999999</v>
      </c>
      <c r="U40" s="4">
        <v>0.13</v>
      </c>
      <c r="V40" s="4">
        <v>0.51</v>
      </c>
      <c r="W40" s="4">
        <v>0.79500000000000004</v>
      </c>
      <c r="X40" s="4">
        <v>8.2000000000000003E-2</v>
      </c>
      <c r="Y40" s="4">
        <v>0.05</v>
      </c>
      <c r="Z40" s="4">
        <v>0.36</v>
      </c>
      <c r="AA40" s="5">
        <f>(V40-N40)/N40</f>
        <v>0.45714285714285724</v>
      </c>
      <c r="AB40" s="5">
        <f>(W40-O40)/O40</f>
        <v>0.47222222222222221</v>
      </c>
      <c r="AC40" s="5">
        <f>(X40-P40)/P40</f>
        <v>-0.33333333333333331</v>
      </c>
      <c r="AD40" s="5">
        <f>(Y40-Q40)/Q40</f>
        <v>-0.58333333333333326</v>
      </c>
      <c r="AE40" s="4">
        <v>0.56999999999999995</v>
      </c>
      <c r="AF40" s="4">
        <v>0.73</v>
      </c>
      <c r="AG40" s="4">
        <v>0.108</v>
      </c>
      <c r="AH40" s="4">
        <v>0.05</v>
      </c>
      <c r="AI40" s="4">
        <v>0.37</v>
      </c>
      <c r="AJ40" s="5">
        <f>(AE40-R40)/R40</f>
        <v>0.46153846153846134</v>
      </c>
      <c r="AK40" s="5">
        <f>(AF40-S40)/S40</f>
        <v>0.48073022312373226</v>
      </c>
      <c r="AL40" s="5">
        <f>(AG40-T40)/T40</f>
        <v>-0.27516778523489932</v>
      </c>
      <c r="AM40" s="5">
        <f>(AH40-U40)/U40</f>
        <v>-0.61538461538461542</v>
      </c>
      <c r="AN40" s="4">
        <v>0.44900000000000001</v>
      </c>
      <c r="AO40" s="4">
        <v>0.67300000000000004</v>
      </c>
      <c r="AP40" s="4">
        <v>0.15</v>
      </c>
      <c r="AQ40" s="4">
        <v>0.14299999999999999</v>
      </c>
      <c r="AR40" s="4">
        <v>0.33400000000000002</v>
      </c>
      <c r="AS40" s="4">
        <v>0.54100000000000004</v>
      </c>
      <c r="AT40" s="4">
        <v>0.11700000000000001</v>
      </c>
      <c r="AU40" s="4">
        <v>0.11799999999999999</v>
      </c>
      <c r="AV40" s="4">
        <v>0.59399999999999997</v>
      </c>
      <c r="AW40" s="4">
        <v>0.85799999999999998</v>
      </c>
      <c r="AX40" s="4">
        <v>9.9000000000000005E-2</v>
      </c>
      <c r="AY40" s="4">
        <v>9.2999999999999999E-2</v>
      </c>
      <c r="AZ40" s="4">
        <v>0.52900000000000003</v>
      </c>
      <c r="BA40" s="6">
        <f>(AV40-AN40)/AN40</f>
        <v>0.32293986636971039</v>
      </c>
      <c r="BB40" s="6">
        <f>(AW40-AO40)/AO40</f>
        <v>0.2748885586924219</v>
      </c>
      <c r="BC40" s="6">
        <f>(AX40-AP40)/AP40</f>
        <v>-0.33999999999999997</v>
      </c>
      <c r="BD40" s="6">
        <f>(AY40-AQ40)/AQ40</f>
        <v>-0.34965034965034958</v>
      </c>
      <c r="BE40" s="4">
        <v>0.49</v>
      </c>
      <c r="BF40" s="4">
        <v>0.76200000000000001</v>
      </c>
      <c r="BG40" s="4">
        <v>8.4000000000000005E-2</v>
      </c>
      <c r="BH40" s="4">
        <v>0.08</v>
      </c>
      <c r="BI40" s="4">
        <v>0.504</v>
      </c>
      <c r="BJ40" s="5">
        <f>(BE40-AN40)/AN40</f>
        <v>9.1314031180400851E-2</v>
      </c>
      <c r="BK40" s="5">
        <f>(BF40-AO40)/AO40</f>
        <v>0.13224368499257053</v>
      </c>
      <c r="BL40" s="5">
        <f>(BG40-AP40)/AP40</f>
        <v>-0.43999999999999995</v>
      </c>
      <c r="BM40" s="5">
        <f>(BH40-AQ40)/AQ40</f>
        <v>-0.44055944055944052</v>
      </c>
      <c r="BN40" s="4">
        <v>0.48499999999999999</v>
      </c>
      <c r="BO40" s="4">
        <v>0.73399999999999999</v>
      </c>
      <c r="BP40" s="4">
        <v>8.8999999999999996E-2</v>
      </c>
      <c r="BQ40" s="4">
        <v>0.222</v>
      </c>
      <c r="BR40" s="5">
        <f>(BN40-AR40)/AR40</f>
        <v>0.45209580838323343</v>
      </c>
      <c r="BS40" s="5">
        <f>(BO40-AS40)/AS40</f>
        <v>0.3567467652495378</v>
      </c>
      <c r="BT40" s="5">
        <f>(BP40-AT40)/AT40</f>
        <v>-0.23931623931623941</v>
      </c>
      <c r="BU40" s="5">
        <f>(BQ40-AU40)/AU40</f>
        <v>0.88135593220338992</v>
      </c>
      <c r="BV40" s="4">
        <f>(BN40-BE40)/BE40</f>
        <v>-1.0204081632653071E-2</v>
      </c>
      <c r="BW40" s="4">
        <f>(BO40-BF40)/BF40</f>
        <v>-3.6745406824147016E-2</v>
      </c>
      <c r="BX40" s="4">
        <f>(BP40-BG40)/BG40</f>
        <v>5.9523809523809409E-2</v>
      </c>
      <c r="BY40" s="4">
        <f>(BQ40-BH40)/BH40</f>
        <v>1.7750000000000001</v>
      </c>
      <c r="BZ40" s="4">
        <v>0.53600000000000003</v>
      </c>
      <c r="CA40" s="4">
        <v>0.84199999999999997</v>
      </c>
      <c r="CB40" s="4">
        <v>6.8000000000000005E-2</v>
      </c>
      <c r="CC40" s="4">
        <v>0.06</v>
      </c>
      <c r="CD40" s="4">
        <f>(BZ40-AR40)/AR40</f>
        <v>0.60479041916167664</v>
      </c>
      <c r="CE40" s="4">
        <f>(CA40-AS40)/AS40</f>
        <v>0.55637707948243975</v>
      </c>
      <c r="CF40" s="4">
        <f>(CB40-AT40)/AT40</f>
        <v>-0.41880341880341881</v>
      </c>
      <c r="CG40" s="4">
        <f>(CC40-AU40)/AU40</f>
        <v>-0.49152542372881353</v>
      </c>
      <c r="CH40" s="4">
        <f>(BZ40-BN40)/BN40</f>
        <v>0.10515463917525783</v>
      </c>
      <c r="CI40" s="4">
        <f>(CA40-BO40)/BO40</f>
        <v>0.14713896457765666</v>
      </c>
      <c r="CJ40" s="4">
        <f>(CB40-BP40)/BP40</f>
        <v>-0.23595505617977519</v>
      </c>
      <c r="CK40" s="4">
        <f>(CC40-BQ40)/BQ40</f>
        <v>-0.72972972972972971</v>
      </c>
      <c r="CL40" s="4">
        <v>0.57999999999999996</v>
      </c>
      <c r="CM40" s="4">
        <v>0.503</v>
      </c>
      <c r="CN40" s="4">
        <f>CL40/CM40</f>
        <v>1.1530815109343935</v>
      </c>
    </row>
    <row r="41" spans="1:92" x14ac:dyDescent="0.3">
      <c r="A41" s="1" t="s">
        <v>41</v>
      </c>
      <c r="B41">
        <v>401</v>
      </c>
      <c r="C41">
        <v>30</v>
      </c>
      <c r="D41">
        <v>5</v>
      </c>
      <c r="E41">
        <v>3</v>
      </c>
      <c r="F41">
        <v>3</v>
      </c>
      <c r="G41" s="3" t="s">
        <v>1</v>
      </c>
      <c r="H41" s="4">
        <v>12.96</v>
      </c>
      <c r="I41" s="4">
        <v>2.31</v>
      </c>
      <c r="J41" s="4">
        <v>14.55</v>
      </c>
      <c r="K41" s="4">
        <v>2.5099999999999998</v>
      </c>
      <c r="L41" s="4">
        <f>(H41-I41)/(H41+I41)</f>
        <v>0.69744597249508833</v>
      </c>
      <c r="M41" s="4">
        <f>(J41-K41)/(J41+K41)</f>
        <v>0.70574443141852283</v>
      </c>
      <c r="N41" s="4">
        <v>0.43</v>
      </c>
      <c r="O41" s="4">
        <v>0.69099999999999995</v>
      </c>
      <c r="P41" s="4">
        <v>0.11600000000000001</v>
      </c>
      <c r="Q41" s="4">
        <v>0.1</v>
      </c>
      <c r="R41" s="4">
        <v>0.48</v>
      </c>
      <c r="S41" s="4">
        <v>0.64200000000000002</v>
      </c>
      <c r="T41" s="4">
        <v>0.14199999999999999</v>
      </c>
      <c r="U41" s="4">
        <v>0.11</v>
      </c>
      <c r="V41" s="4">
        <v>0.56999999999999995</v>
      </c>
      <c r="W41" s="4">
        <v>0.92900000000000005</v>
      </c>
      <c r="X41" s="4">
        <v>5.6000000000000001E-2</v>
      </c>
      <c r="Y41" s="4">
        <v>0.03</v>
      </c>
      <c r="Z41" s="4">
        <v>0.58299999999999996</v>
      </c>
      <c r="AA41" s="5">
        <f>(V41-N41)/N41</f>
        <v>0.32558139534883712</v>
      </c>
      <c r="AB41" s="5">
        <f>(W41-O41)/O41</f>
        <v>0.3444283646888569</v>
      </c>
      <c r="AC41" s="5">
        <f>(X41-P41)/P41</f>
        <v>-0.51724137931034486</v>
      </c>
      <c r="AD41" s="5">
        <f>(Y41-Q41)/Q41</f>
        <v>-0.70000000000000007</v>
      </c>
      <c r="AE41" s="4">
        <v>0.63</v>
      </c>
      <c r="AF41" s="4">
        <v>0.88</v>
      </c>
      <c r="AG41" s="4">
        <v>8.2000000000000003E-2</v>
      </c>
      <c r="AH41" s="4">
        <v>0.03</v>
      </c>
      <c r="AI41" s="4">
        <v>0.6</v>
      </c>
      <c r="AJ41" s="5">
        <f>(AE41-R41)/R41</f>
        <v>0.31250000000000006</v>
      </c>
      <c r="AK41" s="5">
        <f>(AF41-S41)/S41</f>
        <v>0.37071651090342678</v>
      </c>
      <c r="AL41" s="5">
        <f>(AG41-T41)/T41</f>
        <v>-0.42253521126760557</v>
      </c>
      <c r="AM41" s="5">
        <f>(AH41-U41)/U41</f>
        <v>-0.72727272727272729</v>
      </c>
      <c r="AN41" s="4">
        <v>0.54500000000000004</v>
      </c>
      <c r="AO41" s="4">
        <v>0.85099999999999998</v>
      </c>
      <c r="AP41" s="4">
        <v>0.13</v>
      </c>
      <c r="AQ41" s="4">
        <v>0.11</v>
      </c>
      <c r="AR41" s="4">
        <v>0.439</v>
      </c>
      <c r="AS41" s="4">
        <v>0.69</v>
      </c>
      <c r="AT41" s="4">
        <v>0.11</v>
      </c>
      <c r="AU41" s="4">
        <v>9.5000000000000001E-2</v>
      </c>
      <c r="AV41" s="4">
        <v>0.66</v>
      </c>
      <c r="AW41" s="4">
        <v>0.96499999999999997</v>
      </c>
      <c r="AX41" s="4">
        <v>6.3E-2</v>
      </c>
      <c r="AY41" s="4">
        <v>4.9000000000000002E-2</v>
      </c>
      <c r="AZ41" s="4">
        <v>0.68200000000000005</v>
      </c>
      <c r="BA41" s="6">
        <f>(AV41-AN41)/AN41</f>
        <v>0.21100917431192656</v>
      </c>
      <c r="BB41" s="6">
        <f>(AW41-AO41)/AO41</f>
        <v>0.13396004700352526</v>
      </c>
      <c r="BC41" s="6">
        <f>(AX41-AP41)/AP41</f>
        <v>-0.51538461538461544</v>
      </c>
      <c r="BD41" s="6">
        <f>(AY41-AQ41)/AQ41</f>
        <v>-0.55454545454545456</v>
      </c>
      <c r="BE41" s="4">
        <v>0.57899999999999996</v>
      </c>
      <c r="BF41" s="4">
        <v>0.92400000000000004</v>
      </c>
      <c r="BG41" s="4">
        <v>5.5E-2</v>
      </c>
      <c r="BH41" s="4">
        <v>4.9000000000000002E-2</v>
      </c>
      <c r="BI41" s="4">
        <v>0.68200000000000005</v>
      </c>
      <c r="BJ41" s="5">
        <f>(BE41-AN41)/AN41</f>
        <v>6.2385321100917275E-2</v>
      </c>
      <c r="BK41" s="5">
        <f>(BF41-AO41)/AO41</f>
        <v>8.5781433607520649E-2</v>
      </c>
      <c r="BL41" s="5">
        <f>(BG41-AP41)/AP41</f>
        <v>-0.57692307692307698</v>
      </c>
      <c r="BM41" s="5">
        <f>(BH41-AQ41)/AQ41</f>
        <v>-0.55454545454545456</v>
      </c>
      <c r="BN41" s="4">
        <v>0.57899999999999996</v>
      </c>
      <c r="BO41" s="4">
        <v>0.85799999999999998</v>
      </c>
      <c r="BP41" s="4">
        <v>7.3999999999999996E-2</v>
      </c>
      <c r="BQ41" s="4">
        <v>0.30499999999999999</v>
      </c>
      <c r="BR41" s="5">
        <f>(BN41-AR41)/AR41</f>
        <v>0.31890660592255116</v>
      </c>
      <c r="BS41" s="5">
        <f>(BO41-AS41)/AS41</f>
        <v>0.24347826086956528</v>
      </c>
      <c r="BT41" s="5">
        <f>(BP41-AT41)/AT41</f>
        <v>-0.32727272727272733</v>
      </c>
      <c r="BU41" s="5">
        <f>(BQ41-AU41)/AU41</f>
        <v>2.2105263157894735</v>
      </c>
      <c r="BV41" s="4">
        <f>(BN41-BE41)/BE41</f>
        <v>0</v>
      </c>
      <c r="BW41" s="4">
        <f>(BO41-BF41)/BF41</f>
        <v>-7.1428571428571494E-2</v>
      </c>
      <c r="BX41" s="4">
        <f>(BP41-BG41)/BG41</f>
        <v>0.3454545454545454</v>
      </c>
      <c r="BY41" s="4">
        <f>(BQ41-BH41)/BH41</f>
        <v>5.2244897959183669</v>
      </c>
      <c r="BZ41" s="4">
        <v>0.59199999999999997</v>
      </c>
      <c r="CA41" s="4">
        <v>0.93</v>
      </c>
      <c r="CB41" s="4">
        <v>5.1999999999999998E-2</v>
      </c>
      <c r="CC41" s="4">
        <v>4.2999999999999997E-2</v>
      </c>
      <c r="CD41" s="4">
        <f>(BZ41-AR41)/AR41</f>
        <v>0.34851936218678808</v>
      </c>
      <c r="CE41" s="4">
        <f>(CA41-AS41)/AS41</f>
        <v>0.3478260869565219</v>
      </c>
      <c r="CF41" s="4">
        <f>(CB41-AT41)/AT41</f>
        <v>-0.52727272727272734</v>
      </c>
      <c r="CG41" s="4">
        <f>(CC41-AU41)/AU41</f>
        <v>-0.54736842105263162</v>
      </c>
      <c r="CH41" s="4">
        <f>(BZ41-BN41)/BN41</f>
        <v>2.2452504317789314E-2</v>
      </c>
      <c r="CI41" s="4">
        <f>(CA41-BO41)/BO41</f>
        <v>8.3916083916083989E-2</v>
      </c>
      <c r="CJ41" s="4">
        <f>(CB41-BP41)/BP41</f>
        <v>-0.29729729729729731</v>
      </c>
      <c r="CK41" s="4">
        <f>(CC41-BQ41)/BQ41</f>
        <v>-0.85901639344262304</v>
      </c>
      <c r="CL41" s="4">
        <v>0.66300000000000003</v>
      </c>
      <c r="CM41" s="4">
        <v>0.35</v>
      </c>
      <c r="CN41" s="4">
        <f>CL41/CM41</f>
        <v>1.8942857142857146</v>
      </c>
    </row>
    <row r="42" spans="1:92" x14ac:dyDescent="0.3">
      <c r="A42" s="1" t="s">
        <v>42</v>
      </c>
      <c r="B42">
        <v>198</v>
      </c>
      <c r="C42">
        <v>20</v>
      </c>
      <c r="D42">
        <v>4</v>
      </c>
      <c r="E42">
        <v>1</v>
      </c>
      <c r="F42">
        <v>2</v>
      </c>
      <c r="G42" s="3" t="s">
        <v>43</v>
      </c>
      <c r="H42">
        <v>7.74</v>
      </c>
      <c r="I42">
        <v>0.62</v>
      </c>
      <c r="J42" s="4">
        <v>9.1300000000000008</v>
      </c>
      <c r="K42" s="4">
        <v>0.77</v>
      </c>
      <c r="L42" s="4">
        <f>(H42-I42)/(H42+I42)</f>
        <v>0.85167464114832547</v>
      </c>
      <c r="M42" s="4">
        <f>(J42-K42)/(J42+K42)</f>
        <v>0.84444444444444455</v>
      </c>
      <c r="N42" s="4">
        <v>0.39</v>
      </c>
      <c r="O42" s="4">
        <v>0.91400000000000003</v>
      </c>
      <c r="P42" s="4">
        <v>5.8999999999999997E-2</v>
      </c>
      <c r="Q42" s="4">
        <v>0.06</v>
      </c>
      <c r="R42" s="4">
        <v>0.46</v>
      </c>
      <c r="S42" s="4">
        <v>0.76400000000000001</v>
      </c>
      <c r="T42" s="4">
        <v>0.122</v>
      </c>
      <c r="U42" s="4">
        <v>7.0000000000000007E-2</v>
      </c>
      <c r="V42" s="4">
        <v>0.43</v>
      </c>
      <c r="W42" s="4">
        <v>0.94699999999999995</v>
      </c>
      <c r="X42" s="4">
        <v>4.5999999999999999E-2</v>
      </c>
      <c r="Y42" s="4">
        <v>0.04</v>
      </c>
      <c r="Z42" s="4">
        <v>0.56999999999999995</v>
      </c>
      <c r="AA42" s="5">
        <f>(V42-N42)/N42</f>
        <v>0.10256410256410251</v>
      </c>
      <c r="AB42" s="5">
        <f>(W42-O42)/O42</f>
        <v>3.6105032822757017E-2</v>
      </c>
      <c r="AC42" s="5">
        <f>(X42-P42)/P42</f>
        <v>-0.22033898305084743</v>
      </c>
      <c r="AD42" s="5">
        <f>(Y42-Q42)/Q42</f>
        <v>-0.33333333333333331</v>
      </c>
      <c r="AE42" s="4">
        <v>0.5</v>
      </c>
      <c r="AF42" s="4">
        <v>0.79100000000000004</v>
      </c>
      <c r="AG42" s="4">
        <v>0.114</v>
      </c>
      <c r="AH42" s="4">
        <v>0.06</v>
      </c>
      <c r="AI42" s="4">
        <v>0.57999999999999996</v>
      </c>
      <c r="AJ42" s="5">
        <f>(AE42-R42)/R42</f>
        <v>8.6956521739130391E-2</v>
      </c>
      <c r="AK42" s="5">
        <f>(AF42-S42)/S42</f>
        <v>3.5340314136125685E-2</v>
      </c>
      <c r="AL42" s="5">
        <f>(AG42-T42)/T42</f>
        <v>-6.5573770491803227E-2</v>
      </c>
      <c r="AM42" s="5">
        <f>(AH42-U42)/U42</f>
        <v>-0.14285714285714296</v>
      </c>
      <c r="AN42" s="4">
        <v>0.496</v>
      </c>
      <c r="AO42" s="4">
        <v>0.96199999999999997</v>
      </c>
      <c r="AP42" s="4">
        <v>5.7000000000000002E-2</v>
      </c>
      <c r="AQ42" s="4">
        <v>6.8000000000000005E-2</v>
      </c>
      <c r="AR42" s="4">
        <v>0.40699999999999997</v>
      </c>
      <c r="AS42" s="4">
        <v>0.92700000000000005</v>
      </c>
      <c r="AT42" s="4">
        <v>0.05</v>
      </c>
      <c r="AU42" s="4">
        <v>5.3999999999999999E-2</v>
      </c>
      <c r="AV42" s="4">
        <v>0.51100000000000001</v>
      </c>
      <c r="AW42" s="4">
        <v>0.96799999999999997</v>
      </c>
      <c r="AX42" s="4">
        <v>5.1999999999999998E-2</v>
      </c>
      <c r="AY42" s="4">
        <v>6.6000000000000003E-2</v>
      </c>
      <c r="AZ42" s="4">
        <v>0.92100000000000004</v>
      </c>
      <c r="BA42" s="6">
        <f>(AV42-AN42)/AN42</f>
        <v>3.0241935483870996E-2</v>
      </c>
      <c r="BB42" s="6">
        <f>(AW42-AO42)/AO42</f>
        <v>6.2370062370062426E-3</v>
      </c>
      <c r="BC42" s="6">
        <f>(AX42-AP42)/AP42</f>
        <v>-8.7719298245614113E-2</v>
      </c>
      <c r="BD42" s="6">
        <f>(AY42-AQ42)/AQ42</f>
        <v>-2.9411764705882377E-2</v>
      </c>
      <c r="BE42" s="4">
        <v>0.42</v>
      </c>
      <c r="BF42" s="4">
        <v>0.94199999999999995</v>
      </c>
      <c r="BG42" s="4">
        <v>4.4999999999999998E-2</v>
      </c>
      <c r="BH42" s="4">
        <v>5.1999999999999998E-2</v>
      </c>
      <c r="BI42" s="4">
        <v>0.92200000000000004</v>
      </c>
      <c r="BJ42" s="5">
        <f>(BE42-AN42)/AN42</f>
        <v>-0.15322580645161293</v>
      </c>
      <c r="BK42" s="5">
        <f>(BF42-AO42)/AO42</f>
        <v>-2.0790020790020809E-2</v>
      </c>
      <c r="BL42" s="5">
        <f>(BG42-AP42)/AP42</f>
        <v>-0.21052631578947373</v>
      </c>
      <c r="BM42" s="5">
        <f>(BH42-AQ42)/AQ42</f>
        <v>-0.2352941176470589</v>
      </c>
      <c r="BN42" s="4">
        <v>0.40500000000000003</v>
      </c>
      <c r="BO42" s="4">
        <v>0.78700000000000003</v>
      </c>
      <c r="BP42" s="4">
        <v>8.5999999999999993E-2</v>
      </c>
      <c r="BQ42" s="4">
        <v>0.26300000000000001</v>
      </c>
      <c r="BR42" s="5">
        <f>(BN42-AR42)/AR42</f>
        <v>-4.914004914004782E-3</v>
      </c>
      <c r="BS42" s="5">
        <f>(BO42-AS42)/AS42</f>
        <v>-0.15102481121898598</v>
      </c>
      <c r="BT42" s="5">
        <f>(BP42-AT42)/AT42</f>
        <v>0.71999999999999975</v>
      </c>
      <c r="BU42" s="5">
        <f>(BQ42-AU42)/AU42</f>
        <v>3.8703703703703707</v>
      </c>
      <c r="BV42" s="4">
        <f>(BN42-BE42)/BE42</f>
        <v>-3.5714285714285615E-2</v>
      </c>
      <c r="BW42" s="4">
        <f>(BO42-BF42)/BF42</f>
        <v>-0.16454352441613579</v>
      </c>
      <c r="BX42" s="4">
        <f>(BP42-BG42)/BG42</f>
        <v>0.91111111111111098</v>
      </c>
      <c r="BY42" s="4">
        <f>(BQ42-BH42)/BH42</f>
        <v>4.0576923076923084</v>
      </c>
      <c r="BZ42" s="4">
        <v>0.44800000000000001</v>
      </c>
      <c r="CA42" s="4">
        <v>0.94299999999999995</v>
      </c>
      <c r="CB42" s="4">
        <v>4.4999999999999998E-2</v>
      </c>
      <c r="CC42" s="4">
        <v>4.4999999999999998E-2</v>
      </c>
      <c r="CD42" s="4">
        <f>(BZ42-AR42)/AR42</f>
        <v>0.10073710073710083</v>
      </c>
      <c r="CE42" s="4">
        <f>(CA42-AS42)/AS42</f>
        <v>1.7259978425026863E-2</v>
      </c>
      <c r="CF42" s="4">
        <f>(CB42-AT42)/AT42</f>
        <v>-0.10000000000000009</v>
      </c>
      <c r="CG42" s="4">
        <f>(CC42-AU42)/AU42</f>
        <v>-0.16666666666666669</v>
      </c>
      <c r="CH42" s="4">
        <f>(BZ42-BN42)/BN42</f>
        <v>0.10617283950617279</v>
      </c>
      <c r="CI42" s="4">
        <f>(CA42-BO42)/BO42</f>
        <v>0.19822109275730612</v>
      </c>
      <c r="CJ42" s="4">
        <f>(CB42-BP42)/BP42</f>
        <v>-0.47674418604651159</v>
      </c>
      <c r="CK42" s="4">
        <f>(CC42-BQ42)/BQ42</f>
        <v>-0.82889733840304192</v>
      </c>
      <c r="CL42" s="4">
        <v>0.84699999999999998</v>
      </c>
      <c r="CM42" s="4">
        <v>0.15</v>
      </c>
      <c r="CN42" s="4">
        <f>CL42/CM42</f>
        <v>5.6466666666666665</v>
      </c>
    </row>
    <row r="43" spans="1:92" x14ac:dyDescent="0.3">
      <c r="A43" s="1" t="s">
        <v>44</v>
      </c>
      <c r="B43">
        <v>270</v>
      </c>
      <c r="C43">
        <v>21</v>
      </c>
      <c r="D43">
        <v>5</v>
      </c>
      <c r="E43">
        <v>1</v>
      </c>
      <c r="F43">
        <v>2</v>
      </c>
      <c r="G43" s="3" t="s">
        <v>43</v>
      </c>
      <c r="H43" s="4">
        <v>6.98</v>
      </c>
      <c r="I43" s="4">
        <v>0.82</v>
      </c>
      <c r="J43" s="9">
        <v>9.34</v>
      </c>
      <c r="K43" s="9">
        <v>1.04</v>
      </c>
      <c r="L43" s="9">
        <f>(H43-I43)/(H43+I43)</f>
        <v>0.78974358974358971</v>
      </c>
      <c r="M43" s="9">
        <f>(J43-K43)/(J43+K43)</f>
        <v>0.79961464354527956</v>
      </c>
      <c r="N43" s="9">
        <v>0.33</v>
      </c>
      <c r="O43" s="9">
        <v>0.80500000000000005</v>
      </c>
      <c r="P43" s="9">
        <v>8.1000000000000003E-2</v>
      </c>
      <c r="Q43" s="9">
        <v>7.0000000000000007E-2</v>
      </c>
      <c r="R43" s="9">
        <v>0.44</v>
      </c>
      <c r="S43" s="9">
        <v>0.58599999999999997</v>
      </c>
      <c r="T43" s="9">
        <v>0.17100000000000001</v>
      </c>
      <c r="U43" s="9">
        <v>0.08</v>
      </c>
      <c r="V43" s="9">
        <v>0.38</v>
      </c>
      <c r="W43" s="9">
        <v>0.86499999999999999</v>
      </c>
      <c r="X43" s="9">
        <v>6.7000000000000004E-2</v>
      </c>
      <c r="Y43" s="9">
        <v>0.05</v>
      </c>
      <c r="Z43" s="9">
        <v>0.64</v>
      </c>
      <c r="AA43" s="6">
        <f>(V43-N43)/N43</f>
        <v>0.15151515151515146</v>
      </c>
      <c r="AB43" s="6">
        <f>(W43-O43)/O43</f>
        <v>7.4534161490683148E-2</v>
      </c>
      <c r="AC43" s="6">
        <f>(X43-P43)/P43</f>
        <v>-0.1728395061728395</v>
      </c>
      <c r="AD43" s="6">
        <f>(Y43-Q43)/Q43</f>
        <v>-0.28571428571428575</v>
      </c>
      <c r="AE43" s="9">
        <v>0.5</v>
      </c>
      <c r="AF43" s="9">
        <v>0.621</v>
      </c>
      <c r="AG43" s="9">
        <v>0.16300000000000001</v>
      </c>
      <c r="AH43" s="9">
        <v>0.06</v>
      </c>
      <c r="AI43" s="9">
        <v>0.65</v>
      </c>
      <c r="AJ43" s="6">
        <f>(AE43-R43)/R43</f>
        <v>0.13636363636363635</v>
      </c>
      <c r="AK43" s="6">
        <f>(AF43-S43)/S43</f>
        <v>5.972696245733794E-2</v>
      </c>
      <c r="AL43" s="5">
        <f>(AG43-T43)/T43</f>
        <v>-4.6783625730994191E-2</v>
      </c>
      <c r="AM43" s="5">
        <f>(AH43-U43)/U43</f>
        <v>-0.25000000000000006</v>
      </c>
      <c r="AN43" s="9">
        <v>0.46500000000000002</v>
      </c>
      <c r="AO43" s="9">
        <v>0.92500000000000004</v>
      </c>
      <c r="AP43" s="9">
        <v>7.1999999999999995E-2</v>
      </c>
      <c r="AQ43" s="9">
        <v>0.08</v>
      </c>
      <c r="AR43" s="9">
        <v>0.33700000000000002</v>
      </c>
      <c r="AS43" s="9">
        <v>0.82199999999999995</v>
      </c>
      <c r="AT43" s="9">
        <v>7.0000000000000007E-2</v>
      </c>
      <c r="AU43" s="9">
        <v>6.2E-2</v>
      </c>
      <c r="AV43" s="4">
        <v>0.504</v>
      </c>
      <c r="AW43" s="4">
        <v>0.94899999999999995</v>
      </c>
      <c r="AX43" s="4">
        <v>0.06</v>
      </c>
      <c r="AY43" s="4">
        <v>7.2999999999999995E-2</v>
      </c>
      <c r="AZ43" s="9">
        <v>0.83199999999999996</v>
      </c>
      <c r="BA43" s="6">
        <f>(AV43-AN43)/AN43</f>
        <v>8.3870967741935434E-2</v>
      </c>
      <c r="BB43" s="6">
        <f>(AW43-AO43)/AO43</f>
        <v>2.5945945945945847E-2</v>
      </c>
      <c r="BC43" s="6">
        <f>(AX43-AP43)/AP43</f>
        <v>-0.16666666666666663</v>
      </c>
      <c r="BD43" s="6">
        <f>(AY43-AQ43)/AQ43</f>
        <v>-8.7500000000000078E-2</v>
      </c>
      <c r="BE43" s="4">
        <v>0.39400000000000002</v>
      </c>
      <c r="BF43" s="4">
        <v>0.86399999999999999</v>
      </c>
      <c r="BG43" s="4">
        <v>6.0999999999999999E-2</v>
      </c>
      <c r="BH43" s="4">
        <v>5.8999999999999997E-2</v>
      </c>
      <c r="BI43" s="9">
        <v>0.82799999999999996</v>
      </c>
      <c r="BJ43" s="5">
        <f>(BE43-AN43)/AN43</f>
        <v>-0.15268817204301077</v>
      </c>
      <c r="BK43" s="5">
        <f>(BF43-AO43)/AO43</f>
        <v>-6.5945945945946008E-2</v>
      </c>
      <c r="BL43" s="5">
        <f>(BG43-AP43)/AP43</f>
        <v>-0.15277777777777773</v>
      </c>
      <c r="BM43" s="5">
        <f>(BH43-AQ43)/AQ43</f>
        <v>-0.26250000000000007</v>
      </c>
      <c r="BN43" s="9">
        <v>0.38</v>
      </c>
      <c r="BO43" s="9">
        <v>0.75600000000000001</v>
      </c>
      <c r="BP43" s="9">
        <v>8.2000000000000003E-2</v>
      </c>
      <c r="BQ43" s="9">
        <v>0.219</v>
      </c>
      <c r="BR43" s="5">
        <f>(BN43-AR43)/AR43</f>
        <v>0.1275964391691394</v>
      </c>
      <c r="BS43" s="5">
        <f>(BO43-AS43)/AS43</f>
        <v>-8.0291970802919652E-2</v>
      </c>
      <c r="BT43" s="5">
        <f>(BP43-AT43)/AT43</f>
        <v>0.17142857142857137</v>
      </c>
      <c r="BU43" s="5">
        <f>(BQ43-AU43)/AU43</f>
        <v>2.532258064516129</v>
      </c>
      <c r="BV43" s="4">
        <f>(BN43-BE43)/BE43</f>
        <v>-3.5532994923857898E-2</v>
      </c>
      <c r="BW43" s="4">
        <f>(BO43-BF43)/BF43</f>
        <v>-0.12499999999999999</v>
      </c>
      <c r="BX43" s="4">
        <f>(BP43-BG43)/BG43</f>
        <v>0.34426229508196732</v>
      </c>
      <c r="BY43" s="4">
        <f>(BQ43-BH43)/BH43</f>
        <v>2.7118644067796613</v>
      </c>
      <c r="BZ43" s="4">
        <v>0.39900000000000002</v>
      </c>
      <c r="CA43" s="4">
        <v>0.878</v>
      </c>
      <c r="CB43" s="4">
        <v>5.8000000000000003E-2</v>
      </c>
      <c r="CC43" s="4">
        <v>4.7E-2</v>
      </c>
      <c r="CD43" s="4">
        <f>(BZ43-AR43)/AR43</f>
        <v>0.18397626112759644</v>
      </c>
      <c r="CE43" s="4">
        <f>(CA43-AS43)/AS43</f>
        <v>6.8126520681265276E-2</v>
      </c>
      <c r="CF43" s="4">
        <f>(CB43-AT43)/AT43</f>
        <v>-0.17142857142857146</v>
      </c>
      <c r="CG43" s="4">
        <f>(CC43-AU43)/AU43</f>
        <v>-0.24193548387096772</v>
      </c>
      <c r="CH43" s="4">
        <f>(BZ43-BN43)/BN43</f>
        <v>5.0000000000000044E-2</v>
      </c>
      <c r="CI43" s="4">
        <f>(CA43-BO43)/BO43</f>
        <v>0.16137566137566137</v>
      </c>
      <c r="CJ43" s="4">
        <f>(CB43-BP43)/BP43</f>
        <v>-0.29268292682926828</v>
      </c>
      <c r="CK43" s="4">
        <f>(CC43-BQ43)/BQ43</f>
        <v>-0.78538812785388123</v>
      </c>
      <c r="CL43" s="4">
        <v>0.78300000000000003</v>
      </c>
      <c r="CM43" s="4">
        <v>0.221</v>
      </c>
      <c r="CN43" s="4">
        <f>CL43/CM43</f>
        <v>3.5429864253393668</v>
      </c>
    </row>
    <row r="44" spans="1:92" x14ac:dyDescent="0.3">
      <c r="A44" s="1" t="s">
        <v>45</v>
      </c>
      <c r="B44">
        <v>1040</v>
      </c>
      <c r="C44">
        <v>21</v>
      </c>
      <c r="D44">
        <v>5</v>
      </c>
      <c r="E44">
        <v>1</v>
      </c>
      <c r="F44">
        <v>2</v>
      </c>
      <c r="G44" s="3" t="s">
        <v>43</v>
      </c>
      <c r="H44" s="4">
        <v>6.03</v>
      </c>
      <c r="I44" s="4">
        <v>0.67</v>
      </c>
      <c r="J44" s="4">
        <v>8.3699999999999992</v>
      </c>
      <c r="K44" s="4">
        <v>0.86</v>
      </c>
      <c r="L44" s="4">
        <f>(H44-I44)/(H44+I44)</f>
        <v>0.8</v>
      </c>
      <c r="M44" s="9">
        <f>(J44-K44)/(J44+K44)</f>
        <v>0.81365113759479957</v>
      </c>
      <c r="N44" s="4">
        <v>0.28999999999999998</v>
      </c>
      <c r="O44" s="4">
        <v>0.88300000000000001</v>
      </c>
      <c r="P44" s="4">
        <v>6.3E-2</v>
      </c>
      <c r="Q44" s="4">
        <v>0.05</v>
      </c>
      <c r="R44" s="4">
        <v>0.4</v>
      </c>
      <c r="S44" s="4">
        <v>0.79700000000000004</v>
      </c>
      <c r="T44" s="4">
        <v>9.8000000000000004E-2</v>
      </c>
      <c r="U44" s="4">
        <v>0.06</v>
      </c>
      <c r="V44" s="9">
        <v>0.33</v>
      </c>
      <c r="W44" s="9">
        <v>0.91300000000000003</v>
      </c>
      <c r="X44" s="9">
        <v>4.8000000000000001E-2</v>
      </c>
      <c r="Y44" s="9">
        <v>0.04</v>
      </c>
      <c r="Z44" s="4">
        <v>0.57999999999999996</v>
      </c>
      <c r="AA44" s="5">
        <f>(V44-N44)/N44</f>
        <v>0.13793103448275876</v>
      </c>
      <c r="AB44" s="5">
        <f>(W44-O44)/O44</f>
        <v>3.3975084937712376E-2</v>
      </c>
      <c r="AC44" s="5">
        <f>(X44-P44)/P44</f>
        <v>-0.23809523809523808</v>
      </c>
      <c r="AD44" s="5">
        <f>(Y44-Q44)/Q44</f>
        <v>-0.20000000000000004</v>
      </c>
      <c r="AE44" s="4">
        <v>0.45</v>
      </c>
      <c r="AF44" s="4">
        <v>0.85699999999999998</v>
      </c>
      <c r="AG44" s="4">
        <v>8.2000000000000003E-2</v>
      </c>
      <c r="AH44" s="4">
        <v>0.05</v>
      </c>
      <c r="AI44" s="4">
        <v>0.6</v>
      </c>
      <c r="AJ44" s="5">
        <f>(AE44-R44)/R44</f>
        <v>0.12499999999999997</v>
      </c>
      <c r="AK44" s="5">
        <f>(AF44-S44)/S44</f>
        <v>7.5282308657465422E-2</v>
      </c>
      <c r="AL44" s="5">
        <f>(AG44-T44)/T44</f>
        <v>-0.16326530612244897</v>
      </c>
      <c r="AM44" s="5">
        <f>(AH44-U44)/U44</f>
        <v>-0.1666666666666666</v>
      </c>
      <c r="AN44" s="9">
        <v>0.41699999999999998</v>
      </c>
      <c r="AO44" s="9">
        <v>0.92500000000000004</v>
      </c>
      <c r="AP44" s="9">
        <v>0.06</v>
      </c>
      <c r="AQ44" s="9">
        <v>6.2E-2</v>
      </c>
      <c r="AR44" s="9">
        <v>0.29899999999999999</v>
      </c>
      <c r="AS44" s="9">
        <v>0.873</v>
      </c>
      <c r="AT44" s="9">
        <v>4.4999999999999998E-2</v>
      </c>
      <c r="AU44" s="9">
        <v>4.8000000000000001E-2</v>
      </c>
      <c r="AV44" s="4">
        <v>0.45</v>
      </c>
      <c r="AW44" s="4">
        <v>0.94299999999999995</v>
      </c>
      <c r="AX44" s="4">
        <v>5.1999999999999998E-2</v>
      </c>
      <c r="AY44" s="4">
        <v>5.5E-2</v>
      </c>
      <c r="AZ44" s="9">
        <v>0.85699999999999998</v>
      </c>
      <c r="BA44" s="6">
        <f>(AV44-AN44)/AN44</f>
        <v>7.9136690647482091E-2</v>
      </c>
      <c r="BB44" s="6">
        <f>(AW44-AO44)/AO44</f>
        <v>1.9459459459459354E-2</v>
      </c>
      <c r="BC44" s="6">
        <f>(AX44-AP44)/AP44</f>
        <v>-0.13333333333333333</v>
      </c>
      <c r="BD44" s="6">
        <f>(AY44-AQ44)/AQ44</f>
        <v>-0.1129032258064516</v>
      </c>
      <c r="BE44" s="4">
        <v>0.32200000000000001</v>
      </c>
      <c r="BF44" s="4">
        <v>0.90300000000000002</v>
      </c>
      <c r="BG44" s="4">
        <v>3.9E-2</v>
      </c>
      <c r="BH44" s="4">
        <v>4.3999999999999997E-2</v>
      </c>
      <c r="BI44" s="9">
        <v>0.85</v>
      </c>
      <c r="BJ44" s="5">
        <f>(BE44-AN44)/AN44</f>
        <v>-0.22781774580335726</v>
      </c>
      <c r="BK44" s="5">
        <f>(BF44-AO44)/AO44</f>
        <v>-2.3783783783783805E-2</v>
      </c>
      <c r="BL44" s="5">
        <f>(BG44-AP44)/AP44</f>
        <v>-0.35</v>
      </c>
      <c r="BM44" s="5">
        <f>(BH44-AQ44)/AQ44</f>
        <v>-0.29032258064516131</v>
      </c>
      <c r="BN44" s="9">
        <v>0.30199999999999999</v>
      </c>
      <c r="BO44" s="9">
        <v>0.76800000000000002</v>
      </c>
      <c r="BP44" s="9">
        <v>6.0999999999999999E-2</v>
      </c>
      <c r="BQ44" s="9">
        <v>0.188</v>
      </c>
      <c r="BR44" s="5">
        <f>(BN44-AR44)/AR44</f>
        <v>1.0033444816053521E-2</v>
      </c>
      <c r="BS44" s="5">
        <f>(BO44-AS44)/AS44</f>
        <v>-0.12027491408934705</v>
      </c>
      <c r="BT44" s="5">
        <f>(BP44-AT44)/AT44</f>
        <v>0.35555555555555557</v>
      </c>
      <c r="BU44" s="5">
        <f>(BQ44-AU44)/AU44</f>
        <v>2.916666666666667</v>
      </c>
      <c r="BV44" s="4">
        <f>(BN44-BE44)/BE44</f>
        <v>-6.211180124223608E-2</v>
      </c>
      <c r="BW44" s="4">
        <f>(BO44-BF44)/BF44</f>
        <v>-0.14950166112956811</v>
      </c>
      <c r="BX44" s="4">
        <f>(BP44-BG44)/BG44</f>
        <v>0.5641025641025641</v>
      </c>
      <c r="BY44" s="4">
        <f>(BQ44-BH44)/BH44</f>
        <v>3.2727272727272734</v>
      </c>
      <c r="BZ44" s="4">
        <v>0.33100000000000002</v>
      </c>
      <c r="CA44" s="4">
        <v>0.94299999999999995</v>
      </c>
      <c r="CB44" s="4">
        <v>0.03</v>
      </c>
      <c r="CC44" s="4">
        <v>3.4000000000000002E-2</v>
      </c>
      <c r="CD44" s="4">
        <f>(BZ44-AR44)/AR44</f>
        <v>0.10702341137123755</v>
      </c>
      <c r="CE44" s="4">
        <f>(CA44-AS44)/AS44</f>
        <v>8.018327605956467E-2</v>
      </c>
      <c r="CF44" s="4">
        <f>(CB44-AT44)/AT44</f>
        <v>-0.33333333333333331</v>
      </c>
      <c r="CG44" s="4">
        <f>(CC44-AU44)/AU44</f>
        <v>-0.29166666666666663</v>
      </c>
      <c r="CH44" s="4">
        <f>(BZ44-BN44)/BN44</f>
        <v>9.6026490066225254E-2</v>
      </c>
      <c r="CI44" s="4">
        <f>(CA44-BO44)/BO44</f>
        <v>0.22786458333333323</v>
      </c>
      <c r="CJ44" s="4">
        <f>(CB44-BP44)/BP44</f>
        <v>-0.50819672131147542</v>
      </c>
      <c r="CK44" s="4">
        <f>(CC44-BQ44)/BQ44</f>
        <v>-0.81914893617021278</v>
      </c>
      <c r="CL44" s="4">
        <v>0.79400000000000004</v>
      </c>
      <c r="CM44" s="4">
        <v>0.21</v>
      </c>
      <c r="CN44" s="4">
        <f>CL44/CM44</f>
        <v>3.7809523809523813</v>
      </c>
    </row>
    <row r="45" spans="1:92" x14ac:dyDescent="0.3">
      <c r="A45" s="1" t="s">
        <v>46</v>
      </c>
      <c r="B45">
        <v>338</v>
      </c>
      <c r="C45">
        <v>21</v>
      </c>
      <c r="D45">
        <v>4</v>
      </c>
      <c r="E45">
        <v>1</v>
      </c>
      <c r="F45">
        <v>3</v>
      </c>
      <c r="G45" s="3" t="s">
        <v>43</v>
      </c>
      <c r="H45" s="4">
        <v>5.73</v>
      </c>
      <c r="I45" s="4">
        <v>2.4700000000000002</v>
      </c>
      <c r="J45" s="4">
        <v>6.56</v>
      </c>
      <c r="K45" s="4">
        <v>2.97</v>
      </c>
      <c r="L45" s="4">
        <f>(H45-I45)/(H45+I45)</f>
        <v>0.39756097560975606</v>
      </c>
      <c r="M45" s="9">
        <f>(J45-K45)/(J45+K45)</f>
        <v>0.37670514165792229</v>
      </c>
      <c r="N45" s="4">
        <v>0.27</v>
      </c>
      <c r="O45" s="4">
        <v>0.6</v>
      </c>
      <c r="P45" s="4">
        <v>0.12</v>
      </c>
      <c r="Q45" s="4">
        <v>0.13</v>
      </c>
      <c r="R45" s="4">
        <v>0.31</v>
      </c>
      <c r="S45" s="4">
        <v>0.54700000000000004</v>
      </c>
      <c r="T45" s="4">
        <v>0.151</v>
      </c>
      <c r="U45" s="4">
        <v>0.16</v>
      </c>
      <c r="V45" s="4">
        <v>0.4</v>
      </c>
      <c r="W45" s="4">
        <v>0.91700000000000004</v>
      </c>
      <c r="X45" s="4">
        <v>5.5E-2</v>
      </c>
      <c r="Y45" s="4">
        <v>0.04</v>
      </c>
      <c r="Z45" s="4">
        <v>0.34</v>
      </c>
      <c r="AA45" s="5">
        <f>(V45-N45)/N45</f>
        <v>0.48148148148148145</v>
      </c>
      <c r="AB45" s="5">
        <f>(W45-O45)/O45</f>
        <v>0.52833333333333343</v>
      </c>
      <c r="AC45" s="5">
        <f>(X45-P45)/P45</f>
        <v>-0.54166666666666674</v>
      </c>
      <c r="AD45" s="5">
        <f>(Y45-Q45)/Q45</f>
        <v>-0.69230769230769229</v>
      </c>
      <c r="AE45" s="4">
        <v>0.47</v>
      </c>
      <c r="AF45" s="4">
        <v>0.86699999999999999</v>
      </c>
      <c r="AG45" s="4">
        <v>8.2000000000000003E-2</v>
      </c>
      <c r="AH45" s="4">
        <v>0.05</v>
      </c>
      <c r="AI45" s="4">
        <v>0.32</v>
      </c>
      <c r="AJ45" s="5">
        <f>(AE45-R45)/R45</f>
        <v>0.51612903225806439</v>
      </c>
      <c r="AK45" s="5">
        <f>(AF45-S45)/S45</f>
        <v>0.5850091407678244</v>
      </c>
      <c r="AL45" s="5">
        <f>(AG45-T45)/T45</f>
        <v>-0.45695364238410591</v>
      </c>
      <c r="AM45" s="5">
        <f>(AH45-U45)/U45</f>
        <v>-0.6875</v>
      </c>
      <c r="AN45" s="9">
        <v>0.214</v>
      </c>
      <c r="AO45" s="9">
        <v>0.79100000000000004</v>
      </c>
      <c r="AP45" s="9">
        <v>0.14499999999999999</v>
      </c>
      <c r="AQ45" s="9">
        <v>0.155</v>
      </c>
      <c r="AR45" s="9">
        <v>9.6000000000000002E-2</v>
      </c>
      <c r="AS45" s="9">
        <v>0.629</v>
      </c>
      <c r="AT45" s="9">
        <v>0.107</v>
      </c>
      <c r="AU45" s="9">
        <v>0.13500000000000001</v>
      </c>
      <c r="AV45" s="4">
        <v>0.28699999999999998</v>
      </c>
      <c r="AW45" s="4">
        <v>0.81699999999999995</v>
      </c>
      <c r="AX45" s="4">
        <v>0.13600000000000001</v>
      </c>
      <c r="AY45" s="4">
        <v>0.14499999999999999</v>
      </c>
      <c r="AZ45" s="9">
        <v>0.71799999999999997</v>
      </c>
      <c r="BA45" s="6">
        <f>(AV45-AN45)/AN45</f>
        <v>0.34112149532710273</v>
      </c>
      <c r="BB45" s="6">
        <f>(AW45-AO45)/AO45</f>
        <v>3.2869785082174349E-2</v>
      </c>
      <c r="BC45" s="6">
        <f>(AX45-AP45)/AP45</f>
        <v>-6.2068965517241247E-2</v>
      </c>
      <c r="BD45" s="6">
        <f>(AY45-AQ45)/AQ45</f>
        <v>-6.4516129032258118E-2</v>
      </c>
      <c r="BE45" s="4">
        <v>0.32</v>
      </c>
      <c r="BF45" s="4">
        <v>0.73499999999999999</v>
      </c>
      <c r="BG45" s="4">
        <v>9.0999999999999998E-2</v>
      </c>
      <c r="BH45" s="4">
        <v>0.128</v>
      </c>
      <c r="BI45" s="9">
        <v>0.48899999999999999</v>
      </c>
      <c r="BJ45" s="5">
        <f>(BE45-AN45)/AN45</f>
        <v>0.49532710280373837</v>
      </c>
      <c r="BK45" s="5">
        <f>(BF45-AO45)/AO45</f>
        <v>-7.0796460176991205E-2</v>
      </c>
      <c r="BL45" s="5">
        <f>(BG45-AP45)/AP45</f>
        <v>-0.37241379310344824</v>
      </c>
      <c r="BM45" s="5">
        <f>(BH45-AQ45)/AQ45</f>
        <v>-0.17419354838709675</v>
      </c>
      <c r="BN45" s="9">
        <v>0.33200000000000002</v>
      </c>
      <c r="BO45" s="9">
        <v>0.71099999999999997</v>
      </c>
      <c r="BP45" s="9">
        <v>9.5000000000000001E-2</v>
      </c>
      <c r="BQ45" s="9">
        <v>0.17699999999999999</v>
      </c>
      <c r="BR45" s="5">
        <f>(BN45-AR45)/AR45</f>
        <v>2.4583333333333335</v>
      </c>
      <c r="BS45" s="5">
        <f>(BO45-AS45)/AS45</f>
        <v>0.13036565977742443</v>
      </c>
      <c r="BT45" s="5">
        <f>(BP45-AT45)/AT45</f>
        <v>-0.11214953271028034</v>
      </c>
      <c r="BU45" s="5">
        <f>(BQ45-AU45)/AU45</f>
        <v>0.31111111111111095</v>
      </c>
      <c r="BV45" s="4">
        <f>(BN45-BE45)/BE45</f>
        <v>3.7500000000000033E-2</v>
      </c>
      <c r="BW45" s="4">
        <f>(BO45-BF45)/BF45</f>
        <v>-3.2653061224489827E-2</v>
      </c>
      <c r="BX45" s="4">
        <f>(BP45-BG45)/BG45</f>
        <v>4.3956043956043994E-2</v>
      </c>
      <c r="BY45" s="4">
        <f>(BQ45-BH45)/BH45</f>
        <v>0.38281249999999989</v>
      </c>
      <c r="BZ45" s="4">
        <v>0.373</v>
      </c>
      <c r="CA45" s="4">
        <v>0.872</v>
      </c>
      <c r="CB45" s="4">
        <v>6.3E-2</v>
      </c>
      <c r="CC45" s="4">
        <v>0.08</v>
      </c>
      <c r="CD45" s="4">
        <f>(BZ45-AR45)/AR45</f>
        <v>2.885416666666667</v>
      </c>
      <c r="CE45" s="4">
        <f>(CA45-AS45)/AS45</f>
        <v>0.38632750397456278</v>
      </c>
      <c r="CF45" s="4">
        <f>(CB45-AT45)/AT45</f>
        <v>-0.41121495327102803</v>
      </c>
      <c r="CG45" s="4">
        <f>(CC45-AU45)/AU45</f>
        <v>-0.40740740740740744</v>
      </c>
      <c r="CH45" s="4">
        <f>(BZ45-BN45)/BN45</f>
        <v>0.1234939759036144</v>
      </c>
      <c r="CI45" s="4">
        <f>(CA45-BO45)/BO45</f>
        <v>0.22644163150492269</v>
      </c>
      <c r="CJ45" s="4">
        <f>(CB45-BP45)/BP45</f>
        <v>-0.33684210526315789</v>
      </c>
      <c r="CK45" s="4">
        <f>(CC45-BQ45)/BQ45</f>
        <v>-0.54802259887005644</v>
      </c>
      <c r="CL45" s="4">
        <v>0.63300000000000001</v>
      </c>
      <c r="CM45" s="4">
        <v>0.39</v>
      </c>
      <c r="CN45" s="4">
        <f>CL45/CM45</f>
        <v>1.6230769230769231</v>
      </c>
    </row>
    <row r="46" spans="1:92" x14ac:dyDescent="0.3">
      <c r="A46" s="1" t="s">
        <v>47</v>
      </c>
      <c r="B46">
        <v>727</v>
      </c>
      <c r="C46">
        <v>10</v>
      </c>
      <c r="D46">
        <v>3</v>
      </c>
      <c r="E46">
        <v>1</v>
      </c>
      <c r="F46">
        <v>2</v>
      </c>
      <c r="G46" s="3" t="s">
        <v>43</v>
      </c>
      <c r="H46" s="4">
        <v>4.3899999999999997</v>
      </c>
      <c r="I46" s="4">
        <v>0.59</v>
      </c>
      <c r="J46" s="4">
        <v>5.92</v>
      </c>
      <c r="K46" s="4">
        <v>0.52</v>
      </c>
      <c r="L46" s="4">
        <f>(H46-I46)/(H46+I46)</f>
        <v>0.76305220883534142</v>
      </c>
      <c r="M46" s="9">
        <f>(J46-K46)/(J46+K46)</f>
        <v>0.83850931677018647</v>
      </c>
      <c r="N46" s="4">
        <v>0.44</v>
      </c>
      <c r="O46" s="4">
        <v>0.83199999999999996</v>
      </c>
      <c r="P46" s="4">
        <v>0.13300000000000001</v>
      </c>
      <c r="Q46" s="4">
        <v>7.0000000000000007E-2</v>
      </c>
      <c r="R46" s="4">
        <v>0.59</v>
      </c>
      <c r="S46" s="4">
        <v>0.84899999999999998</v>
      </c>
      <c r="T46" s="4">
        <v>0.16200000000000001</v>
      </c>
      <c r="U46" s="4">
        <v>7.0000000000000007E-2</v>
      </c>
      <c r="V46" s="4">
        <v>0.34</v>
      </c>
      <c r="W46" s="4">
        <v>0.95799999999999996</v>
      </c>
      <c r="X46" s="4">
        <v>6.7000000000000004E-2</v>
      </c>
      <c r="Y46" s="4">
        <v>0.03</v>
      </c>
      <c r="Z46" s="4">
        <v>0.56000000000000005</v>
      </c>
      <c r="AA46" s="5">
        <f>(V46-N46)/N46</f>
        <v>-0.22727272727272721</v>
      </c>
      <c r="AB46" s="5">
        <f>(W46-O46)/O46</f>
        <v>0.15144230769230771</v>
      </c>
      <c r="AC46" s="5">
        <f>(X46-P46)/P46</f>
        <v>-0.49624060150375937</v>
      </c>
      <c r="AD46" s="5">
        <f>(Y46-Q46)/Q46</f>
        <v>-0.57142857142857151</v>
      </c>
      <c r="AE46" s="4">
        <v>0.67</v>
      </c>
      <c r="AF46" s="4">
        <v>0.93500000000000005</v>
      </c>
      <c r="AG46" s="4">
        <v>0.106</v>
      </c>
      <c r="AH46" s="4">
        <v>0.03</v>
      </c>
      <c r="AI46" s="4">
        <v>0.57999999999999996</v>
      </c>
      <c r="AJ46" s="5">
        <f>(AE46-R46)/R46</f>
        <v>0.13559322033898319</v>
      </c>
      <c r="AK46" s="5">
        <f>(AF46-S46)/S46</f>
        <v>0.10129564193168443</v>
      </c>
      <c r="AL46" s="5">
        <f>(AG46-T46)/T46</f>
        <v>-0.34567901234567905</v>
      </c>
      <c r="AM46" s="5">
        <f>(AH46-U46)/U46</f>
        <v>-0.57142857142857151</v>
      </c>
      <c r="AN46" s="9">
        <v>0.64300000000000002</v>
      </c>
      <c r="AO46" s="9">
        <v>0.97599999999999998</v>
      </c>
      <c r="AP46" s="9">
        <v>0.104</v>
      </c>
      <c r="AQ46" s="9">
        <v>6.7000000000000004E-2</v>
      </c>
      <c r="AR46" s="9">
        <v>0.41499999999999998</v>
      </c>
      <c r="AS46" s="9">
        <v>0.83199999999999996</v>
      </c>
      <c r="AT46" s="9">
        <v>8.2000000000000003E-2</v>
      </c>
      <c r="AU46" s="9">
        <v>7.6999999999999999E-2</v>
      </c>
      <c r="AV46" s="4">
        <v>0.65</v>
      </c>
      <c r="AW46" s="4">
        <v>0.97599999999999998</v>
      </c>
      <c r="AX46" s="4">
        <v>0.10299999999999999</v>
      </c>
      <c r="AY46" s="4">
        <v>6.5000000000000002E-2</v>
      </c>
      <c r="AZ46" s="9">
        <v>0.96499999999999997</v>
      </c>
      <c r="BA46" s="6">
        <f>(AV46-AN46)/AN46</f>
        <v>1.0886469673405919E-2</v>
      </c>
      <c r="BB46" s="6">
        <f>(AW46-AO46)/AO46</f>
        <v>0</v>
      </c>
      <c r="BC46" s="6">
        <f>(AX46-AP46)/AP46</f>
        <v>-9.6153846153846246E-3</v>
      </c>
      <c r="BD46" s="6">
        <f>(AY46-AQ46)/AQ46</f>
        <v>-2.985074626865674E-2</v>
      </c>
      <c r="BE46" s="4">
        <v>0.42399999999999999</v>
      </c>
      <c r="BF46" s="4">
        <v>0.82599999999999996</v>
      </c>
      <c r="BG46" s="4">
        <v>8.3000000000000004E-2</v>
      </c>
      <c r="BH46" s="4">
        <v>7.0999999999999994E-2</v>
      </c>
      <c r="BI46" s="9">
        <v>0.96499999999999997</v>
      </c>
      <c r="BJ46" s="5">
        <f>(BE46-AN46)/AN46</f>
        <v>-0.34059097978227065</v>
      </c>
      <c r="BK46" s="5">
        <f>(BF46-AO46)/AO46</f>
        <v>-0.15368852459016397</v>
      </c>
      <c r="BL46" s="5">
        <f>(BG46-AP46)/AP46</f>
        <v>-0.20192307692307684</v>
      </c>
      <c r="BM46" s="5">
        <f>(BH46-AQ46)/AQ46</f>
        <v>5.9701492537313272E-2</v>
      </c>
      <c r="BN46" s="7">
        <v>0.2</v>
      </c>
      <c r="BO46" s="7">
        <v>0.1</v>
      </c>
      <c r="BP46" s="7">
        <v>0.4</v>
      </c>
      <c r="BQ46" s="7">
        <v>0.4</v>
      </c>
      <c r="BR46" s="5">
        <f>(BN46-AR46)/AR46</f>
        <v>-0.51807228915662651</v>
      </c>
      <c r="BS46" s="5">
        <f>(BO46-AS46)/AS46</f>
        <v>-0.87980769230769229</v>
      </c>
      <c r="BT46" s="5">
        <f>(BP46-AT46)/AT46</f>
        <v>3.8780487804878048</v>
      </c>
      <c r="BU46" s="5">
        <f>(BQ46-AU46)/AU46</f>
        <v>4.1948051948051948</v>
      </c>
      <c r="BV46" s="4">
        <f>(BN46-BE46)/BE46</f>
        <v>-0.52830188679245282</v>
      </c>
      <c r="BW46" s="4">
        <f>(BO46-BF46)/BF46</f>
        <v>-0.87893462469733663</v>
      </c>
      <c r="BX46" s="4">
        <f>(BP46-BG46)/BG46</f>
        <v>3.8192771084337349</v>
      </c>
      <c r="BY46" s="4">
        <f>(BQ46-BH46)/BH46</f>
        <v>4.6338028169014089</v>
      </c>
      <c r="BZ46" s="4">
        <v>0.42399999999999999</v>
      </c>
      <c r="CA46" s="4">
        <v>0.94899999999999995</v>
      </c>
      <c r="CB46" s="4">
        <v>4.4999999999999998E-2</v>
      </c>
      <c r="CC46" s="4">
        <v>2.5000000000000001E-2</v>
      </c>
      <c r="CD46" s="4">
        <f>(BZ46-AR46)/AR46</f>
        <v>2.1686746987951828E-2</v>
      </c>
      <c r="CE46" s="4">
        <f>(CA46-AS46)/AS46</f>
        <v>0.140625</v>
      </c>
      <c r="CF46" s="4">
        <f>(CB46-AT46)/AT46</f>
        <v>-0.45121951219512202</v>
      </c>
      <c r="CG46" s="4">
        <f>(CC46-AU46)/AU46</f>
        <v>-0.67532467532467533</v>
      </c>
      <c r="CH46" s="4">
        <f>(BZ46-BN46)/BN46</f>
        <v>1.1199999999999999</v>
      </c>
      <c r="CI46" s="4">
        <f>(CA46-BO46)/BO46</f>
        <v>8.4899999999999984</v>
      </c>
      <c r="CJ46" s="4">
        <f>(CB46-BP46)/BP46</f>
        <v>-0.88750000000000007</v>
      </c>
      <c r="CK46" s="4">
        <f>(CC46-BQ46)/BQ46</f>
        <v>-0.9375</v>
      </c>
      <c r="CL46" s="4">
        <v>0.78300000000000003</v>
      </c>
      <c r="CM46" s="4">
        <v>0.16</v>
      </c>
      <c r="CN46" s="4">
        <f>CL46/CM46</f>
        <v>4.8937499999999998</v>
      </c>
    </row>
    <row r="47" spans="1:92" x14ac:dyDescent="0.3">
      <c r="A47" s="1" t="s">
        <v>48</v>
      </c>
      <c r="B47">
        <v>210</v>
      </c>
      <c r="C47">
        <v>18</v>
      </c>
      <c r="D47">
        <v>5</v>
      </c>
      <c r="E47">
        <v>6</v>
      </c>
      <c r="F47">
        <v>6</v>
      </c>
      <c r="G47" s="3" t="s">
        <v>9</v>
      </c>
      <c r="H47" s="4">
        <v>5.46</v>
      </c>
      <c r="I47" s="4">
        <v>1.27</v>
      </c>
      <c r="J47" s="4">
        <v>6.91</v>
      </c>
      <c r="K47" s="4">
        <v>1.42</v>
      </c>
      <c r="L47" s="4">
        <f>(H47-I47)/(H47+I47)</f>
        <v>0.6225854383358097</v>
      </c>
      <c r="M47" s="9">
        <f>(J47-K47)/(J47+K47)</f>
        <v>0.65906362545018005</v>
      </c>
      <c r="N47" s="4">
        <v>0.3</v>
      </c>
      <c r="O47" s="4">
        <v>0.55000000000000004</v>
      </c>
      <c r="P47" s="4">
        <v>0.14399999999999999</v>
      </c>
      <c r="Q47" s="4">
        <v>0.11</v>
      </c>
      <c r="R47" s="4">
        <v>0.38</v>
      </c>
      <c r="S47" s="4">
        <v>0.44700000000000001</v>
      </c>
      <c r="T47" s="4">
        <v>0.21199999999999999</v>
      </c>
      <c r="U47" s="4">
        <v>0.12</v>
      </c>
      <c r="V47" s="9">
        <v>0.57999999999999996</v>
      </c>
      <c r="W47" s="9">
        <v>0.93600000000000005</v>
      </c>
      <c r="X47" s="9">
        <v>5.3999999999999999E-2</v>
      </c>
      <c r="Y47" s="9">
        <v>0.03</v>
      </c>
      <c r="Z47" s="4">
        <v>0.32500000000000001</v>
      </c>
      <c r="AA47" s="5">
        <f>(V47-N47)/N47</f>
        <v>0.93333333333333324</v>
      </c>
      <c r="AB47" s="5">
        <f>(W47-O47)/O47</f>
        <v>0.70181818181818179</v>
      </c>
      <c r="AC47" s="5">
        <f>(X47-P47)/P47</f>
        <v>-0.625</v>
      </c>
      <c r="AD47" s="5">
        <f>(Y47-Q47)/Q47</f>
        <v>-0.72727272727272729</v>
      </c>
      <c r="AE47" s="4">
        <v>0.69</v>
      </c>
      <c r="AF47" s="4">
        <v>0.66600000000000004</v>
      </c>
      <c r="AG47" s="4">
        <v>0.16300000000000001</v>
      </c>
      <c r="AH47" s="4">
        <v>0.03</v>
      </c>
      <c r="AI47" s="4">
        <v>0.443</v>
      </c>
      <c r="AJ47" s="5">
        <f>(AE47-R47)/R47</f>
        <v>0.8157894736842104</v>
      </c>
      <c r="AK47" s="5">
        <f>(AF47-S47)/S47</f>
        <v>0.48993288590604034</v>
      </c>
      <c r="AL47" s="5">
        <f>(AG47-T47)/T47</f>
        <v>-0.23113207547169806</v>
      </c>
      <c r="AM47" s="5">
        <f>(AH47-U47)/U47</f>
        <v>-0.75</v>
      </c>
      <c r="AN47" s="9">
        <v>0.22600000000000001</v>
      </c>
      <c r="AO47" s="9">
        <v>0.55500000000000005</v>
      </c>
      <c r="AP47" s="9">
        <v>0.125</v>
      </c>
      <c r="AQ47" s="9">
        <v>0.107</v>
      </c>
      <c r="AR47" s="9">
        <v>0.22600000000000001</v>
      </c>
      <c r="AS47" s="9">
        <v>0.55500000000000005</v>
      </c>
      <c r="AT47" s="9">
        <v>0.125</v>
      </c>
      <c r="AU47" s="9">
        <v>0.107</v>
      </c>
      <c r="AV47" s="4">
        <v>0.55100000000000005</v>
      </c>
      <c r="AW47" s="4">
        <v>0.94299999999999995</v>
      </c>
      <c r="AX47" s="4">
        <v>4.4999999999999998E-2</v>
      </c>
      <c r="AY47" s="4">
        <v>0.06</v>
      </c>
      <c r="AZ47" s="9">
        <v>0.47099999999999997</v>
      </c>
      <c r="BA47" s="6">
        <f>(AV47-AN47)/AN47</f>
        <v>1.4380530973451331</v>
      </c>
      <c r="BB47" s="6">
        <f>(AW47-AO47)/AO47</f>
        <v>0.69909909909909884</v>
      </c>
      <c r="BC47" s="6">
        <f>(AX47-AP47)/AP47</f>
        <v>-0.64</v>
      </c>
      <c r="BD47" s="6">
        <f>(AY47-AQ47)/AQ47</f>
        <v>-0.43925233644859812</v>
      </c>
      <c r="BE47" s="4">
        <v>0.55100000000000005</v>
      </c>
      <c r="BF47" s="4">
        <v>0.94299999999999995</v>
      </c>
      <c r="BG47" s="4">
        <v>4.4999999999999998E-2</v>
      </c>
      <c r="BH47" s="4">
        <v>0.06</v>
      </c>
      <c r="BI47" s="9">
        <v>0.47099999999999997</v>
      </c>
      <c r="BJ47" s="5">
        <f>(BE47-AN47)/AN47</f>
        <v>1.4380530973451331</v>
      </c>
      <c r="BK47" s="5">
        <f>(BF47-AO47)/AO47</f>
        <v>0.69909909909909884</v>
      </c>
      <c r="BL47" s="5">
        <f>(BG47-AP47)/AP47</f>
        <v>-0.64</v>
      </c>
      <c r="BM47" s="5">
        <f>(BH47-AQ47)/AQ47</f>
        <v>-0.43925233644859812</v>
      </c>
      <c r="BN47" s="9">
        <v>0.54100000000000004</v>
      </c>
      <c r="BO47" s="9">
        <v>0.72899999999999998</v>
      </c>
      <c r="BP47" s="9">
        <v>9.7000000000000003E-2</v>
      </c>
      <c r="BQ47" s="9">
        <v>0.246</v>
      </c>
      <c r="BR47" s="5">
        <f>(BN47-AR47)/AR47</f>
        <v>1.3938053097345136</v>
      </c>
      <c r="BS47" s="5">
        <f>(BO47-AS47)/AS47</f>
        <v>0.31351351351351336</v>
      </c>
      <c r="BT47" s="5">
        <f>(BP47-AT47)/AT47</f>
        <v>-0.22399999999999998</v>
      </c>
      <c r="BU47" s="5">
        <f>(BQ47-AU47)/AU47</f>
        <v>1.2990654205607477</v>
      </c>
      <c r="BV47" s="4">
        <f>(BN47-BE47)/BE47</f>
        <v>-1.8148820326678781E-2</v>
      </c>
      <c r="BW47" s="4">
        <f>(BO47-BF47)/BF47</f>
        <v>-0.22693531283138915</v>
      </c>
      <c r="BX47" s="4">
        <f>(BP47-BG47)/BG47</f>
        <v>1.1555555555555557</v>
      </c>
      <c r="BY47" s="4">
        <f>(BQ47-BH47)/BH47</f>
        <v>3.1</v>
      </c>
      <c r="BZ47" s="4">
        <v>0.55500000000000005</v>
      </c>
      <c r="CA47" s="4">
        <v>0.95199999999999996</v>
      </c>
      <c r="CB47" s="4">
        <v>4.1000000000000002E-2</v>
      </c>
      <c r="CC47" s="4">
        <v>5.3999999999999999E-2</v>
      </c>
      <c r="CD47" s="4">
        <f>(BZ47-AR47)/AR47</f>
        <v>1.4557522123893809</v>
      </c>
      <c r="CE47" s="4">
        <f>(CA47-AS47)/AS47</f>
        <v>0.71531531531531511</v>
      </c>
      <c r="CF47" s="4">
        <f>(CB47-AT47)/AT47</f>
        <v>-0.67199999999999993</v>
      </c>
      <c r="CG47" s="4">
        <f>(CC47-AU47)/AU47</f>
        <v>-0.49532710280373832</v>
      </c>
      <c r="CH47" s="4">
        <f>(BZ47-BN47)/BN47</f>
        <v>2.5878003696857693E-2</v>
      </c>
      <c r="CI47" s="4">
        <f>(CA47-BO47)/BO47</f>
        <v>0.30589849108367623</v>
      </c>
      <c r="CJ47" s="4">
        <f>(CB47-BP47)/BP47</f>
        <v>-0.57731958762886593</v>
      </c>
      <c r="CK47" s="4">
        <f>(CC47-BQ47)/BQ47</f>
        <v>-0.78048780487804881</v>
      </c>
      <c r="CL47" s="4">
        <v>0.48499999999999999</v>
      </c>
      <c r="CM47" s="4">
        <v>0.51700000000000002</v>
      </c>
      <c r="CN47" s="4">
        <f>CL47/CM47</f>
        <v>0.93810444874274657</v>
      </c>
    </row>
    <row r="48" spans="1:92" x14ac:dyDescent="0.3">
      <c r="A48" s="1" t="s">
        <v>49</v>
      </c>
      <c r="B48">
        <v>130</v>
      </c>
      <c r="C48">
        <v>30</v>
      </c>
      <c r="D48">
        <v>7</v>
      </c>
      <c r="E48">
        <v>4</v>
      </c>
      <c r="F48">
        <v>4</v>
      </c>
      <c r="G48" s="3" t="s">
        <v>9</v>
      </c>
      <c r="H48" s="9">
        <v>6.79</v>
      </c>
      <c r="I48" s="9">
        <v>1.44</v>
      </c>
      <c r="J48" s="9">
        <v>7.84</v>
      </c>
      <c r="K48" s="9">
        <v>1.61</v>
      </c>
      <c r="L48" s="9">
        <f>(H48-I48)/(H48+I48)</f>
        <v>0.65006075334143365</v>
      </c>
      <c r="M48" s="9">
        <f>(J48-K48)/(J48+K48)</f>
        <v>0.65925925925925921</v>
      </c>
      <c r="N48" s="9">
        <v>0.23</v>
      </c>
      <c r="O48" s="9">
        <v>0.59099999999999997</v>
      </c>
      <c r="P48" s="9">
        <v>8.6999999999999994E-2</v>
      </c>
      <c r="Q48" s="9">
        <v>0.1</v>
      </c>
      <c r="R48" s="9">
        <v>0.26</v>
      </c>
      <c r="S48" s="9">
        <v>0.499</v>
      </c>
      <c r="T48" s="9">
        <v>0.11700000000000001</v>
      </c>
      <c r="U48" s="9">
        <v>0.11</v>
      </c>
      <c r="V48" s="9">
        <v>0.37</v>
      </c>
      <c r="W48" s="9">
        <v>0.79400000000000004</v>
      </c>
      <c r="X48" s="9">
        <v>6.0999999999999999E-2</v>
      </c>
      <c r="Y48" s="9">
        <v>0.06</v>
      </c>
      <c r="Z48" s="9">
        <v>0.23499999999999999</v>
      </c>
      <c r="AA48" s="6">
        <f>(V48-N48)/N48</f>
        <v>0.60869565217391297</v>
      </c>
      <c r="AB48" s="6">
        <f>(W48-O48)/O48</f>
        <v>0.34348561759729285</v>
      </c>
      <c r="AC48" s="6">
        <f>(X48-P48)/P48</f>
        <v>-0.29885057471264365</v>
      </c>
      <c r="AD48" s="6">
        <f>(Y48-Q48)/Q48</f>
        <v>-0.40000000000000008</v>
      </c>
      <c r="AE48" s="9">
        <v>0.42</v>
      </c>
      <c r="AF48" s="9">
        <v>0.64800000000000002</v>
      </c>
      <c r="AG48" s="9">
        <v>9.7000000000000003E-2</v>
      </c>
      <c r="AH48" s="9">
        <v>0.06</v>
      </c>
      <c r="AI48" s="9">
        <v>0.252</v>
      </c>
      <c r="AJ48" s="5">
        <f>(AE48-R48)/R48</f>
        <v>0.61538461538461531</v>
      </c>
      <c r="AK48" s="5">
        <f>(AF48-S48)/S48</f>
        <v>0.29859719438877758</v>
      </c>
      <c r="AL48" s="5">
        <f>(AG48-T48)/T48</f>
        <v>-0.17094017094017097</v>
      </c>
      <c r="AM48" s="5">
        <f>(AH48-U48)/U48</f>
        <v>-0.45454545454545459</v>
      </c>
      <c r="AN48" s="7">
        <v>0.32600000000000001</v>
      </c>
      <c r="AO48" s="7">
        <v>0.78900000000000003</v>
      </c>
      <c r="AP48" s="7">
        <v>9.6000000000000002E-2</v>
      </c>
      <c r="AQ48" s="7">
        <v>0.106</v>
      </c>
      <c r="AR48" s="9">
        <v>0.24199999999999999</v>
      </c>
      <c r="AS48" s="9">
        <v>0.57199999999999995</v>
      </c>
      <c r="AT48" s="9">
        <v>0.09</v>
      </c>
      <c r="AU48" s="9">
        <v>9.6000000000000002E-2</v>
      </c>
      <c r="AV48" s="7">
        <v>0.379</v>
      </c>
      <c r="AW48" s="7">
        <v>0.83399999999999996</v>
      </c>
      <c r="AX48" s="7">
        <v>8.5000000000000006E-2</v>
      </c>
      <c r="AY48" s="7">
        <v>9.8000000000000004E-2</v>
      </c>
      <c r="AZ48" s="7">
        <v>0.67200000000000004</v>
      </c>
      <c r="BA48" s="8">
        <f>(AV48-AN48)/AN48</f>
        <v>0.16257668711656439</v>
      </c>
      <c r="BB48" s="8">
        <f>(AW48-AO48)/AO48</f>
        <v>5.7034220532319296E-2</v>
      </c>
      <c r="BC48" s="8">
        <f>(AX48-AP48)/AP48</f>
        <v>-0.11458333333333329</v>
      </c>
      <c r="BD48" s="8">
        <f>(AY48-AQ48)/AQ48</f>
        <v>-7.5471698113207489E-2</v>
      </c>
      <c r="BE48" s="4">
        <v>0.28699999999999998</v>
      </c>
      <c r="BF48" s="4">
        <v>0.67300000000000004</v>
      </c>
      <c r="BG48" s="4">
        <v>7.9000000000000001E-2</v>
      </c>
      <c r="BH48" s="4">
        <v>9.1999999999999998E-2</v>
      </c>
      <c r="BI48" s="9">
        <v>0.60799999999999998</v>
      </c>
      <c r="BJ48" s="5">
        <f>(BE48-AN48)/AN48</f>
        <v>-0.1196319018404909</v>
      </c>
      <c r="BK48" s="5">
        <f>(BF48-AO48)/AO48</f>
        <v>-0.14702154626108996</v>
      </c>
      <c r="BL48" s="5">
        <f>(BG48-AP48)/AP48</f>
        <v>-0.17708333333333334</v>
      </c>
      <c r="BM48" s="5">
        <f>(BH48-AQ48)/AQ48</f>
        <v>-0.13207547169811321</v>
      </c>
      <c r="BN48" s="9">
        <v>0.29599999999999999</v>
      </c>
      <c r="BO48" s="9">
        <v>0.52500000000000002</v>
      </c>
      <c r="BP48" s="9">
        <v>9.5000000000000001E-2</v>
      </c>
      <c r="BQ48" s="9">
        <v>0.193</v>
      </c>
      <c r="BR48" s="5">
        <f>(BN48-AR48)/AR48</f>
        <v>0.22314049586776857</v>
      </c>
      <c r="BS48" s="5">
        <f>(BO48-AS48)/AS48</f>
        <v>-8.216783216783205E-2</v>
      </c>
      <c r="BT48" s="5">
        <f>(BP48-AT48)/AT48</f>
        <v>5.5555555555555608E-2</v>
      </c>
      <c r="BU48" s="5">
        <f>(BQ48-AU48)/AU48</f>
        <v>1.0104166666666667</v>
      </c>
      <c r="BV48" s="4">
        <f>(BN48-BE48)/BE48</f>
        <v>3.135888501742163E-2</v>
      </c>
      <c r="BW48" s="4">
        <f>(BO48-BF48)/BF48</f>
        <v>-0.21991084695393762</v>
      </c>
      <c r="BX48" s="4">
        <f>(BP48-BG48)/BG48</f>
        <v>0.20253164556962025</v>
      </c>
      <c r="BY48" s="4">
        <f>(BQ48-BH48)/BH48</f>
        <v>1.0978260869565217</v>
      </c>
      <c r="BZ48" s="4">
        <v>0.375</v>
      </c>
      <c r="CA48" s="4">
        <v>0.74399999999999999</v>
      </c>
      <c r="CB48" s="4">
        <v>6.9000000000000006E-2</v>
      </c>
      <c r="CC48" s="4">
        <v>8.1000000000000003E-2</v>
      </c>
      <c r="CD48" s="4">
        <f>(BZ48-AR48)/AR48</f>
        <v>0.54958677685950419</v>
      </c>
      <c r="CE48" s="4">
        <f>(CA48-AS48)/AS48</f>
        <v>0.30069930069930079</v>
      </c>
      <c r="CF48" s="4">
        <f>(CB48-AT48)/AT48</f>
        <v>-0.23333333333333325</v>
      </c>
      <c r="CG48" s="4">
        <f>(CC48-AU48)/AU48</f>
        <v>-0.15625</v>
      </c>
      <c r="CH48" s="4">
        <f>(BZ48-BN48)/BN48</f>
        <v>0.26689189189189194</v>
      </c>
      <c r="CI48" s="4">
        <f>(CA48-BO48)/BO48</f>
        <v>0.41714285714285709</v>
      </c>
      <c r="CJ48" s="4">
        <f>(CB48-BP48)/BP48</f>
        <v>-0.27368421052631575</v>
      </c>
      <c r="CK48" s="4">
        <f>(CC48-BQ48)/BQ48</f>
        <v>-0.5803108808290155</v>
      </c>
      <c r="CL48" s="4">
        <v>0.59</v>
      </c>
      <c r="CM48" s="4">
        <v>0.44</v>
      </c>
      <c r="CN48" s="4">
        <f>CL48/CM48</f>
        <v>1.3409090909090908</v>
      </c>
    </row>
    <row r="49" spans="1:92" x14ac:dyDescent="0.3">
      <c r="A49" s="1" t="s">
        <v>50</v>
      </c>
      <c r="B49">
        <v>335</v>
      </c>
      <c r="C49">
        <v>30</v>
      </c>
      <c r="D49">
        <v>7</v>
      </c>
      <c r="E49">
        <v>4</v>
      </c>
      <c r="F49">
        <v>4</v>
      </c>
      <c r="G49" s="3" t="s">
        <v>9</v>
      </c>
      <c r="H49" s="4">
        <v>6.53</v>
      </c>
      <c r="I49" s="4">
        <v>2.1</v>
      </c>
      <c r="J49" s="4">
        <v>7.88</v>
      </c>
      <c r="K49" s="4">
        <v>0.2019</v>
      </c>
      <c r="L49" s="4">
        <f>(H49-I49)/(H49+I49)</f>
        <v>0.51332560834298946</v>
      </c>
      <c r="M49" s="10">
        <f>(J49-K49)/(J49+K49)</f>
        <v>0.95003650131775952</v>
      </c>
      <c r="N49" s="4">
        <v>0.22</v>
      </c>
      <c r="O49" s="4">
        <v>0.63900000000000001</v>
      </c>
      <c r="P49" s="4">
        <v>0.08</v>
      </c>
      <c r="Q49" s="4">
        <v>0.09</v>
      </c>
      <c r="R49" s="4">
        <v>0.26</v>
      </c>
      <c r="S49" s="4">
        <v>0.60099999999999998</v>
      </c>
      <c r="T49" s="4">
        <v>9.9000000000000005E-2</v>
      </c>
      <c r="U49" s="4">
        <v>0.1</v>
      </c>
      <c r="V49" s="4">
        <v>0.35</v>
      </c>
      <c r="W49" s="4">
        <v>0.90500000000000003</v>
      </c>
      <c r="X49" s="4">
        <v>4.1000000000000002E-2</v>
      </c>
      <c r="Y49" s="4">
        <v>0.04</v>
      </c>
      <c r="Z49" s="4">
        <v>0.20300000000000001</v>
      </c>
      <c r="AA49" s="5">
        <f>(V49-N49)/N49</f>
        <v>0.59090909090909083</v>
      </c>
      <c r="AB49" s="5">
        <f>(W49-O49)/O49</f>
        <v>0.41627543035993742</v>
      </c>
      <c r="AC49" s="5">
        <f>(X49-P49)/P49</f>
        <v>-0.48749999999999999</v>
      </c>
      <c r="AD49" s="5">
        <f>(Y49-Q49)/Q49</f>
        <v>-0.55555555555555558</v>
      </c>
      <c r="AE49" s="4">
        <v>0.41</v>
      </c>
      <c r="AF49" s="4">
        <v>0.83</v>
      </c>
      <c r="AG49" s="4">
        <v>6.5000000000000002E-2</v>
      </c>
      <c r="AH49" s="4">
        <v>0.04</v>
      </c>
      <c r="AI49" s="4">
        <v>0.20300000000000001</v>
      </c>
      <c r="AJ49" s="5">
        <f>(AE49-R49)/R49</f>
        <v>0.57692307692307676</v>
      </c>
      <c r="AK49" s="5">
        <f>(AF49-S49)/S49</f>
        <v>0.38103161397670549</v>
      </c>
      <c r="AL49" s="5">
        <f>(AG49-T49)/T49</f>
        <v>-0.34343434343434343</v>
      </c>
      <c r="AM49" s="5">
        <f>(AH49-U49)/U49</f>
        <v>-0.6</v>
      </c>
      <c r="AN49" s="7">
        <v>0.25600000000000001</v>
      </c>
      <c r="AO49" s="7">
        <v>0.79</v>
      </c>
      <c r="AP49" s="7">
        <v>9.1999999999999998E-2</v>
      </c>
      <c r="AQ49" s="7">
        <v>9.6000000000000002E-2</v>
      </c>
      <c r="AR49" s="9">
        <v>0.19500000000000001</v>
      </c>
      <c r="AS49" s="9">
        <v>0.65200000000000002</v>
      </c>
      <c r="AT49" s="9">
        <v>7.0000000000000007E-2</v>
      </c>
      <c r="AU49" s="9">
        <v>8.7999999999999995E-2</v>
      </c>
      <c r="AV49" s="7">
        <v>0.27400000000000002</v>
      </c>
      <c r="AW49" s="7">
        <v>0.79900000000000004</v>
      </c>
      <c r="AX49" s="7">
        <v>0.09</v>
      </c>
      <c r="AY49" s="7">
        <v>9.4E-2</v>
      </c>
      <c r="AZ49" s="7">
        <v>0.86899999999999999</v>
      </c>
      <c r="BA49" s="8">
        <f>(AV49-AN49)/AN49</f>
        <v>7.0312500000000056E-2</v>
      </c>
      <c r="BB49" s="8">
        <f>(AW49-AO49)/AO49</f>
        <v>1.139240506329115E-2</v>
      </c>
      <c r="BC49" s="8">
        <f>(AX49-AP49)/AP49</f>
        <v>-2.1739130434782629E-2</v>
      </c>
      <c r="BD49" s="8">
        <f>(AY49-AQ49)/AQ49</f>
        <v>-2.0833333333333353E-2</v>
      </c>
      <c r="BE49" s="7">
        <v>0.221</v>
      </c>
      <c r="BF49" s="7">
        <v>0.68400000000000005</v>
      </c>
      <c r="BG49" s="7">
        <v>6.6000000000000003E-2</v>
      </c>
      <c r="BH49" s="7">
        <v>8.7999999999999995E-2</v>
      </c>
      <c r="BI49" s="7">
        <v>0.83199999999999996</v>
      </c>
      <c r="BJ49" s="8">
        <f>(BE49-AN49)/AN49</f>
        <v>-0.13671875</v>
      </c>
      <c r="BK49" s="8">
        <f>(BF49-AO49)/AO49</f>
        <v>-0.13417721518987338</v>
      </c>
      <c r="BL49" s="8">
        <f>(BG49-AP49)/AP49</f>
        <v>-0.28260869565217389</v>
      </c>
      <c r="BM49" s="8">
        <f>(BH49-AQ49)/AQ49</f>
        <v>-8.3333333333333412E-2</v>
      </c>
      <c r="BN49" s="9">
        <v>0.221</v>
      </c>
      <c r="BO49" s="9">
        <v>0.42799999999999999</v>
      </c>
      <c r="BP49" s="9">
        <v>8.8999999999999996E-2</v>
      </c>
      <c r="BQ49" s="9">
        <v>0.19700000000000001</v>
      </c>
      <c r="BR49" s="5">
        <f>(BN49-AR49)/AR49</f>
        <v>0.1333333333333333</v>
      </c>
      <c r="BS49" s="5">
        <f>(BO49-AS49)/AS49</f>
        <v>-0.34355828220858897</v>
      </c>
      <c r="BT49" s="5">
        <f>(BP49-AT49)/AT49</f>
        <v>0.27142857142857124</v>
      </c>
      <c r="BU49" s="5">
        <f>(BQ49-AU49)/AU49</f>
        <v>1.2386363636363638</v>
      </c>
      <c r="BV49" s="4">
        <f>(BN49-BE49)/BE49</f>
        <v>0</v>
      </c>
      <c r="BW49" s="4">
        <f>(BO49-BF49)/BF49</f>
        <v>-0.37426900584795325</v>
      </c>
      <c r="BX49" s="4">
        <f>(BP49-BG49)/BG49</f>
        <v>0.34848484848484834</v>
      </c>
      <c r="BY49" s="4">
        <f>(BQ49-BH49)/BH49</f>
        <v>1.2386363636363638</v>
      </c>
      <c r="BZ49" s="4">
        <v>0.221</v>
      </c>
      <c r="CA49" s="4">
        <v>0.42799999999999999</v>
      </c>
      <c r="CB49" s="4">
        <v>8.8999999999999996E-2</v>
      </c>
      <c r="CC49" s="4">
        <v>0.19700000000000001</v>
      </c>
      <c r="CD49" s="4">
        <f>(BZ49-AR49)/AR49</f>
        <v>0.1333333333333333</v>
      </c>
      <c r="CE49" s="4">
        <f>(CA49-AS49)/AS49</f>
        <v>-0.34355828220858897</v>
      </c>
      <c r="CF49" s="4">
        <f>(CB49-AT49)/AT49</f>
        <v>0.27142857142857124</v>
      </c>
      <c r="CG49" s="4">
        <f>(CC49-AU49)/AU49</f>
        <v>1.2386363636363638</v>
      </c>
      <c r="CH49" s="4">
        <f>(BZ49-BN49)/BN49</f>
        <v>0</v>
      </c>
      <c r="CI49" s="4">
        <f>(CA49-BO49)/BO49</f>
        <v>0</v>
      </c>
      <c r="CJ49" s="4">
        <f>(CB49-BP49)/BP49</f>
        <v>0</v>
      </c>
      <c r="CK49" s="4">
        <f>(CC49-BQ49)/BQ49</f>
        <v>0</v>
      </c>
      <c r="CL49" s="4">
        <v>0.68700000000000006</v>
      </c>
      <c r="CM49" s="4">
        <v>0.315</v>
      </c>
      <c r="CN49" s="4">
        <f>CL49/CM49</f>
        <v>2.1809523809523812</v>
      </c>
    </row>
    <row r="50" spans="1:92" x14ac:dyDescent="0.3">
      <c r="A50" s="1" t="s">
        <v>51</v>
      </c>
      <c r="B50">
        <v>512</v>
      </c>
      <c r="C50">
        <v>30</v>
      </c>
      <c r="D50">
        <v>7</v>
      </c>
      <c r="E50">
        <v>4</v>
      </c>
      <c r="F50">
        <v>4</v>
      </c>
      <c r="G50" s="3" t="s">
        <v>9</v>
      </c>
      <c r="H50" s="4">
        <v>6.91</v>
      </c>
      <c r="I50" s="4">
        <v>1.3</v>
      </c>
      <c r="J50" s="4">
        <v>7.82</v>
      </c>
      <c r="K50" s="4">
        <v>1.47</v>
      </c>
      <c r="L50" s="4">
        <f>(H50-I50)/(H50+I50)</f>
        <v>0.68331303288672351</v>
      </c>
      <c r="M50" s="10">
        <f>(J50-K50)/(J50+K50)</f>
        <v>0.68353067814854684</v>
      </c>
      <c r="N50" s="4">
        <v>0.23</v>
      </c>
      <c r="O50" s="4">
        <v>0.88</v>
      </c>
      <c r="P50" s="4">
        <v>9.2999999999999999E-2</v>
      </c>
      <c r="Q50" s="4">
        <v>0.08</v>
      </c>
      <c r="R50" s="4">
        <v>0.26</v>
      </c>
      <c r="S50" s="4">
        <v>0.56499999999999995</v>
      </c>
      <c r="T50" s="4">
        <v>0.109</v>
      </c>
      <c r="U50" s="4">
        <v>0.09</v>
      </c>
      <c r="V50" s="4">
        <v>0.36</v>
      </c>
      <c r="W50" s="4">
        <v>0.76200000000000001</v>
      </c>
      <c r="X50" s="4">
        <v>7.0999999999999994E-2</v>
      </c>
      <c r="Y50" s="4">
        <v>0.05</v>
      </c>
      <c r="Z50" s="4">
        <v>0.30199999999999999</v>
      </c>
      <c r="AA50" s="5">
        <f>(V50-N50)/N50</f>
        <v>0.56521739130434767</v>
      </c>
      <c r="AB50" s="5">
        <f>(W50-O50)/O50</f>
        <v>-0.13409090909090909</v>
      </c>
      <c r="AC50" s="5">
        <f>(X50-P50)/P50</f>
        <v>-0.2365591397849463</v>
      </c>
      <c r="AD50" s="5">
        <f>(Y50-Q50)/Q50</f>
        <v>-0.375</v>
      </c>
      <c r="AE50" s="4">
        <v>0.4</v>
      </c>
      <c r="AF50" s="4">
        <v>0.71699999999999997</v>
      </c>
      <c r="AG50" s="4">
        <v>8.6999999999999994E-2</v>
      </c>
      <c r="AH50" s="4">
        <v>0.05</v>
      </c>
      <c r="AI50" s="4">
        <v>0.28999999999999998</v>
      </c>
      <c r="AJ50" s="5">
        <f>(AE50-R50)/R50</f>
        <v>0.53846153846153855</v>
      </c>
      <c r="AK50" s="5">
        <f>(AF50-S50)/S50</f>
        <v>0.26902654867256642</v>
      </c>
      <c r="AL50" s="5">
        <f>(AG50-T50)/T50</f>
        <v>-0.20183486238532114</v>
      </c>
      <c r="AM50" s="5">
        <f>(AH50-U50)/U50</f>
        <v>-0.44444444444444442</v>
      </c>
      <c r="AN50" s="9">
        <v>0.19800000000000001</v>
      </c>
      <c r="AO50" s="9">
        <v>0.76900000000000002</v>
      </c>
      <c r="AP50" s="9">
        <v>0.106</v>
      </c>
      <c r="AQ50" s="9">
        <v>9.1999999999999998E-2</v>
      </c>
      <c r="AR50" s="9">
        <v>0.17399999999999999</v>
      </c>
      <c r="AS50" s="9">
        <v>0.59399999999999997</v>
      </c>
      <c r="AT50" s="9">
        <v>8.7999999999999995E-2</v>
      </c>
      <c r="AU50" s="9">
        <v>0.08</v>
      </c>
      <c r="AV50" s="4">
        <v>0.35599999999999998</v>
      </c>
      <c r="AW50" s="4">
        <v>0.83</v>
      </c>
      <c r="AX50" s="4">
        <v>9.0999999999999998E-2</v>
      </c>
      <c r="AY50" s="4">
        <v>8.3000000000000004E-2</v>
      </c>
      <c r="AZ50" s="9">
        <v>0.65300000000000002</v>
      </c>
      <c r="BA50" s="6">
        <f>(AV50-AN50)/AN50</f>
        <v>0.79797979797979779</v>
      </c>
      <c r="BB50" s="6">
        <f>(AW50-AO50)/AO50</f>
        <v>7.9323797139141672E-2</v>
      </c>
      <c r="BC50" s="6">
        <f>(AX50-AP50)/AP50</f>
        <v>-0.14150943396226415</v>
      </c>
      <c r="BD50" s="6">
        <f>(AY50-AQ50)/AQ50</f>
        <v>-9.7826086956521674E-2</v>
      </c>
      <c r="BE50" s="4">
        <v>0.23400000000000001</v>
      </c>
      <c r="BF50" s="4">
        <v>0.67700000000000005</v>
      </c>
      <c r="BG50" s="4">
        <v>7.8E-2</v>
      </c>
      <c r="BH50" s="4">
        <v>7.5999999999999998E-2</v>
      </c>
      <c r="BI50" s="9">
        <v>0.64900000000000002</v>
      </c>
      <c r="BJ50" s="5">
        <f>(BE50-AN50)/AN50</f>
        <v>0.18181818181818182</v>
      </c>
      <c r="BK50" s="5">
        <f>(BF50-AO50)/AO50</f>
        <v>-0.11963589076723012</v>
      </c>
      <c r="BL50" s="5">
        <f>(BG50-AP50)/AP50</f>
        <v>-0.26415094339622641</v>
      </c>
      <c r="BM50" s="5">
        <f>(BH50-AQ50)/AQ50</f>
        <v>-0.17391304347826086</v>
      </c>
      <c r="BN50" s="9">
        <v>0.27</v>
      </c>
      <c r="BO50" s="9">
        <v>0.52200000000000002</v>
      </c>
      <c r="BP50" s="9">
        <v>9.5000000000000001E-2</v>
      </c>
      <c r="BQ50" s="9">
        <v>0.19</v>
      </c>
      <c r="BR50" s="5">
        <f>(BN50-AR50)/AR50</f>
        <v>0.5517241379310347</v>
      </c>
      <c r="BS50" s="5">
        <f>(BO50-AS50)/AS50</f>
        <v>-0.12121212121212113</v>
      </c>
      <c r="BT50" s="5">
        <f>(BP50-AT50)/AT50</f>
        <v>7.9545454545454627E-2</v>
      </c>
      <c r="BU50" s="5">
        <f>(BQ50-AU50)/AU50</f>
        <v>1.375</v>
      </c>
      <c r="BV50" s="4">
        <f>(BN50-BE50)/BE50</f>
        <v>0.15384615384615385</v>
      </c>
      <c r="BW50" s="4">
        <f>(BO50-BF50)/BF50</f>
        <v>-0.22895125553914331</v>
      </c>
      <c r="BX50" s="4">
        <f>(BP50-BG50)/BG50</f>
        <v>0.21794871794871795</v>
      </c>
      <c r="BY50" s="4">
        <f>(BQ50-BH50)/BH50</f>
        <v>1.5</v>
      </c>
      <c r="BZ50" s="7">
        <v>0.33400000000000002</v>
      </c>
      <c r="CA50" s="7">
        <v>0.76500000000000001</v>
      </c>
      <c r="CB50" s="7">
        <v>6.7000000000000004E-2</v>
      </c>
      <c r="CC50" s="7">
        <v>6.4000000000000001E-2</v>
      </c>
      <c r="CD50" s="7">
        <f>(BZ50-AR50)/AR50</f>
        <v>0.91954022988505768</v>
      </c>
      <c r="CE50" s="7">
        <f>(CA50-AS50)/AS50</f>
        <v>0.28787878787878796</v>
      </c>
      <c r="CF50" s="7">
        <f>(CB50-AT50)/AT50</f>
        <v>-0.23863636363636354</v>
      </c>
      <c r="CG50" s="7">
        <f>(CC50-AU50)/AU50</f>
        <v>-0.2</v>
      </c>
      <c r="CH50" s="4">
        <f>(BZ50-BN50)/BN50</f>
        <v>0.23703703703703702</v>
      </c>
      <c r="CI50" s="4">
        <f>(CA50-BO50)/BO50</f>
        <v>0.46551724137931033</v>
      </c>
      <c r="CJ50" s="4">
        <f>(CB50-BP50)/BP50</f>
        <v>-0.29473684210526313</v>
      </c>
      <c r="CK50" s="4">
        <f>(CC50-BQ50)/BQ50</f>
        <v>-0.66315789473684206</v>
      </c>
      <c r="CL50" s="7">
        <v>0.60099999999999998</v>
      </c>
      <c r="CM50" s="7">
        <v>0.438</v>
      </c>
      <c r="CN50" s="7">
        <f>CL50/CM50</f>
        <v>1.3721461187214612</v>
      </c>
    </row>
    <row r="51" spans="1:92" x14ac:dyDescent="0.3">
      <c r="A51" s="1" t="s">
        <v>52</v>
      </c>
      <c r="B51">
        <v>102</v>
      </c>
      <c r="C51">
        <v>33</v>
      </c>
      <c r="D51">
        <v>5</v>
      </c>
      <c r="E51">
        <v>4</v>
      </c>
      <c r="F51">
        <v>4</v>
      </c>
      <c r="G51" s="3" t="s">
        <v>9</v>
      </c>
      <c r="H51" s="4">
        <v>9.33</v>
      </c>
      <c r="I51" s="4">
        <v>2</v>
      </c>
      <c r="J51" s="7">
        <v>10.7</v>
      </c>
      <c r="K51" s="7">
        <v>2.13</v>
      </c>
      <c r="L51" s="4">
        <f>(H51-I51)/(H51+I51)</f>
        <v>0.64695498676081198</v>
      </c>
      <c r="M51" s="7">
        <f>(J51-K51)/(J51+K51)</f>
        <v>0.66796570537802036</v>
      </c>
      <c r="N51" s="4">
        <v>0.28000000000000003</v>
      </c>
      <c r="O51" s="4">
        <v>0.64700000000000002</v>
      </c>
      <c r="P51" s="4">
        <v>8.5000000000000006E-2</v>
      </c>
      <c r="Q51" s="4">
        <v>0.1</v>
      </c>
      <c r="R51" s="7">
        <v>0.32</v>
      </c>
      <c r="S51" s="7">
        <v>0.32</v>
      </c>
      <c r="T51" s="7">
        <v>0.16500000000000001</v>
      </c>
      <c r="U51" s="7">
        <v>0.25700000000000001</v>
      </c>
      <c r="V51" s="4">
        <v>0.43</v>
      </c>
      <c r="W51" s="4">
        <v>0.85299999999999998</v>
      </c>
      <c r="X51" s="4">
        <v>5.3999999999999999E-2</v>
      </c>
      <c r="Y51" s="4">
        <v>0.06</v>
      </c>
      <c r="Z51" s="9">
        <v>0.30499999999999999</v>
      </c>
      <c r="AA51" s="5">
        <f>(V51-N51)/N51</f>
        <v>0.53571428571428559</v>
      </c>
      <c r="AB51" s="5">
        <f>(W51-O51)/O51</f>
        <v>0.31839258114374025</v>
      </c>
      <c r="AC51" s="5">
        <f>(X51-P51)/P51</f>
        <v>-0.36470588235294121</v>
      </c>
      <c r="AD51" s="5">
        <f>(Y51-Q51)/Q51</f>
        <v>-0.40000000000000008</v>
      </c>
      <c r="AE51" s="7">
        <v>0.49</v>
      </c>
      <c r="AF51" s="7">
        <v>7.6999999999999999E-2</v>
      </c>
      <c r="AG51" s="7">
        <v>0.26700000000000002</v>
      </c>
      <c r="AH51" s="7">
        <v>7.0000000000000007E-2</v>
      </c>
      <c r="AI51" s="7">
        <v>0.442</v>
      </c>
      <c r="AJ51" s="8">
        <f>(AE51-R51)/R51</f>
        <v>0.53124999999999989</v>
      </c>
      <c r="AK51" s="8">
        <f>(AF51-S51)/S51</f>
        <v>-0.75937499999999991</v>
      </c>
      <c r="AL51" s="8">
        <f>(AG51-T51)/T51</f>
        <v>0.61818181818181817</v>
      </c>
      <c r="AM51" s="8">
        <f>(AH51-U51)/U51</f>
        <v>-0.72762645914396884</v>
      </c>
      <c r="AN51" s="7">
        <v>0.35299999999999998</v>
      </c>
      <c r="AO51" s="7">
        <v>0.84699999999999998</v>
      </c>
      <c r="AP51" s="7">
        <v>8.2000000000000003E-2</v>
      </c>
      <c r="AQ51" s="7">
        <v>0.113</v>
      </c>
      <c r="AR51" s="9">
        <v>0.27200000000000002</v>
      </c>
      <c r="AS51" s="9">
        <v>0.60299999999999998</v>
      </c>
      <c r="AT51" s="9">
        <v>9.6000000000000002E-2</v>
      </c>
      <c r="AU51" s="9">
        <v>9.9000000000000005E-2</v>
      </c>
      <c r="AV51" s="7">
        <v>0.45800000000000002</v>
      </c>
      <c r="AW51" s="7">
        <v>0.88300000000000001</v>
      </c>
      <c r="AX51" s="7">
        <v>0.08</v>
      </c>
      <c r="AY51" s="7">
        <v>0.10299999999999999</v>
      </c>
      <c r="AZ51" s="7">
        <v>0.74299999999999999</v>
      </c>
      <c r="BA51" s="8">
        <f>(AV51-AN51)/AN51</f>
        <v>0.29745042492917861</v>
      </c>
      <c r="BB51" s="8">
        <f>(AW51-AO51)/AO51</f>
        <v>4.2502951593860722E-2</v>
      </c>
      <c r="BC51" s="8">
        <f>(AX51-AP51)/AP51</f>
        <v>-2.4390243902439046E-2</v>
      </c>
      <c r="BD51" s="8">
        <f>(AY51-AQ51)/AQ51</f>
        <v>-8.849557522123902E-2</v>
      </c>
      <c r="BE51" s="4">
        <v>0.378</v>
      </c>
      <c r="BF51" s="4">
        <v>0.74299999999999999</v>
      </c>
      <c r="BG51" s="4">
        <v>0.08</v>
      </c>
      <c r="BH51" s="4">
        <v>9.7000000000000003E-2</v>
      </c>
      <c r="BI51" s="9">
        <v>0.69299999999999995</v>
      </c>
      <c r="BJ51" s="5">
        <f>(BE51-AN51)/AN51</f>
        <v>7.0821529745042563E-2</v>
      </c>
      <c r="BK51" s="5">
        <f>(BF51-AO51)/AO51</f>
        <v>-0.1227863046044864</v>
      </c>
      <c r="BL51" s="5">
        <f>(BG51-AP51)/AP51</f>
        <v>-2.4390243902439046E-2</v>
      </c>
      <c r="BM51" s="5">
        <f>(BH51-AQ51)/AQ51</f>
        <v>-0.1415929203539823</v>
      </c>
      <c r="BN51" s="9">
        <v>0.38</v>
      </c>
      <c r="BO51" s="9">
        <v>0.57999999999999996</v>
      </c>
      <c r="BP51" s="9">
        <v>0.10199999999999999</v>
      </c>
      <c r="BQ51" s="9">
        <v>0.245</v>
      </c>
      <c r="BR51" s="5">
        <f>(BN51-AR51)/AR51</f>
        <v>0.39705882352941169</v>
      </c>
      <c r="BS51" s="5">
        <f>(BO51-AS51)/AS51</f>
        <v>-3.8142620232172506E-2</v>
      </c>
      <c r="BT51" s="5">
        <f>(BP51-AT51)/AT51</f>
        <v>6.249999999999991E-2</v>
      </c>
      <c r="BU51" s="5">
        <f>(BQ51-AU51)/AU51</f>
        <v>1.4747474747474747</v>
      </c>
      <c r="BV51" s="4">
        <f>(BN51-BE51)/BE51</f>
        <v>5.2910052910052959E-3</v>
      </c>
      <c r="BW51" s="4">
        <f>(BO51-BF51)/BF51</f>
        <v>-0.21938088829071337</v>
      </c>
      <c r="BX51" s="4">
        <f>(BP51-BG51)/BG51</f>
        <v>0.27499999999999991</v>
      </c>
      <c r="BY51" s="4">
        <f>(BQ51-BH51)/BH51</f>
        <v>1.5257731958762886</v>
      </c>
      <c r="BZ51" s="4">
        <v>0.41799999999999998</v>
      </c>
      <c r="CA51" s="4">
        <v>0.7</v>
      </c>
      <c r="CB51" s="4">
        <v>8.3000000000000004E-2</v>
      </c>
      <c r="CC51" s="4">
        <v>0.09</v>
      </c>
      <c r="CD51" s="4">
        <f>(BZ51-AR51)/AR51</f>
        <v>0.53676470588235281</v>
      </c>
      <c r="CE51" s="4">
        <f>(CA51-AS51)/AS51</f>
        <v>0.1608623548922056</v>
      </c>
      <c r="CF51" s="4">
        <f>(CB51-AT51)/AT51</f>
        <v>-0.13541666666666663</v>
      </c>
      <c r="CG51" s="4">
        <f>(CC51-AU51)/AU51</f>
        <v>-9.0909090909090981E-2</v>
      </c>
      <c r="CH51" s="4">
        <f>(BZ51-BN51)/BN51</f>
        <v>9.9999999999999936E-2</v>
      </c>
      <c r="CI51" s="4">
        <f>(CA51-BO51)/BO51</f>
        <v>0.20689655172413793</v>
      </c>
      <c r="CJ51" s="4">
        <f>(CB51-BP51)/BP51</f>
        <v>-0.18627450980392146</v>
      </c>
      <c r="CK51" s="4">
        <f>(CC51-BQ51)/BQ51</f>
        <v>-0.63265306122448983</v>
      </c>
      <c r="CL51" s="4">
        <v>0.68100000000000005</v>
      </c>
      <c r="CM51" s="4">
        <v>0.38600000000000001</v>
      </c>
      <c r="CN51" s="4">
        <f>CL51/CM51</f>
        <v>1.7642487046632125</v>
      </c>
    </row>
    <row r="52" spans="1:92" x14ac:dyDescent="0.3">
      <c r="A52" s="1" t="s">
        <v>53</v>
      </c>
      <c r="B52">
        <v>406</v>
      </c>
      <c r="C52">
        <v>45</v>
      </c>
      <c r="D52">
        <v>5</v>
      </c>
      <c r="E52">
        <v>3</v>
      </c>
      <c r="F52">
        <v>3</v>
      </c>
      <c r="G52" s="3" t="s">
        <v>1</v>
      </c>
      <c r="H52" s="4">
        <v>16.45</v>
      </c>
      <c r="I52" s="4">
        <v>3.4</v>
      </c>
      <c r="J52" s="4">
        <v>18.57</v>
      </c>
      <c r="K52" s="4">
        <v>3.69</v>
      </c>
      <c r="L52" s="4">
        <f>(H52-I52)/(H52+I52)</f>
        <v>0.65743073047858946</v>
      </c>
      <c r="M52" s="10">
        <f>(J52-K52)/(J52+K52)</f>
        <v>0.66846361185983827</v>
      </c>
      <c r="N52" s="4">
        <v>0.37</v>
      </c>
      <c r="O52" s="4">
        <v>0.624</v>
      </c>
      <c r="P52" s="4">
        <v>0.10199999999999999</v>
      </c>
      <c r="Q52" s="4">
        <v>0.1</v>
      </c>
      <c r="R52" s="4">
        <v>0.41</v>
      </c>
      <c r="S52" s="4">
        <v>0.55900000000000005</v>
      </c>
      <c r="T52" s="4">
        <v>0.128</v>
      </c>
      <c r="U52" s="4">
        <v>0.11</v>
      </c>
      <c r="V52" s="4">
        <v>0.48</v>
      </c>
      <c r="W52" s="4">
        <v>0.8</v>
      </c>
      <c r="X52" s="4">
        <v>7.3999999999999996E-2</v>
      </c>
      <c r="Y52" s="4">
        <v>0.05</v>
      </c>
      <c r="Z52" s="9">
        <v>0.34699999999999998</v>
      </c>
      <c r="AA52" s="5">
        <f>(V52-N52)/N52</f>
        <v>0.29729729729729726</v>
      </c>
      <c r="AB52" s="5">
        <f>(W52-O52)/O52</f>
        <v>0.2820512820512821</v>
      </c>
      <c r="AC52" s="5">
        <f>(X52-P52)/P52</f>
        <v>-0.2745098039215686</v>
      </c>
      <c r="AD52" s="5">
        <f>(Y52-Q52)/Q52</f>
        <v>-0.5</v>
      </c>
      <c r="AE52" s="4">
        <v>0.54</v>
      </c>
      <c r="AF52" s="4">
        <v>0.71899999999999997</v>
      </c>
      <c r="AG52" s="4">
        <v>0.10199999999999999</v>
      </c>
      <c r="AH52" s="4">
        <v>0.05</v>
      </c>
      <c r="AI52" s="4">
        <v>0.35299999999999998</v>
      </c>
      <c r="AJ52" s="5">
        <f>(AE52-R52)/R52</f>
        <v>0.31707317073170749</v>
      </c>
      <c r="AK52" s="5">
        <f>(AF52-S52)/S52</f>
        <v>0.28622540250447209</v>
      </c>
      <c r="AL52" s="5">
        <f>(AG52-T52)/T52</f>
        <v>-0.20312500000000006</v>
      </c>
      <c r="AM52" s="5">
        <f>(AH52-U52)/U52</f>
        <v>-0.54545454545454541</v>
      </c>
      <c r="AN52" s="9">
        <v>0.46500000000000002</v>
      </c>
      <c r="AO52" s="9">
        <v>0.749</v>
      </c>
      <c r="AP52" s="9">
        <v>0.124</v>
      </c>
      <c r="AQ52" s="9">
        <v>0.114</v>
      </c>
      <c r="AR52" s="9">
        <v>0.35699999999999998</v>
      </c>
      <c r="AS52" s="9">
        <v>0.626</v>
      </c>
      <c r="AT52" s="9">
        <v>9.7000000000000003E-2</v>
      </c>
      <c r="AU52" s="9">
        <v>9.8000000000000004E-2</v>
      </c>
      <c r="AV52" s="4">
        <v>0.39700000000000002</v>
      </c>
      <c r="AW52" s="4">
        <v>0.749</v>
      </c>
      <c r="AX52" s="4">
        <v>0.124</v>
      </c>
      <c r="AY52" s="4">
        <v>0.114</v>
      </c>
      <c r="AZ52" s="9">
        <v>0.94099999999999995</v>
      </c>
      <c r="BA52" s="6">
        <f>(AV52-AN52)/AN52</f>
        <v>-0.14623655913978495</v>
      </c>
      <c r="BB52" s="6">
        <f>(AW52-AO52)/AO52</f>
        <v>0</v>
      </c>
      <c r="BC52" s="6">
        <f>(AX52-AP52)/AP52</f>
        <v>0</v>
      </c>
      <c r="BD52" s="6">
        <f>(AY52-AQ52)/AQ52</f>
        <v>0</v>
      </c>
      <c r="BE52" s="4">
        <v>0.39700000000000002</v>
      </c>
      <c r="BF52" s="4">
        <v>0.64</v>
      </c>
      <c r="BG52" s="4">
        <v>9.5000000000000001E-2</v>
      </c>
      <c r="BH52" s="4">
        <v>9.8000000000000004E-2</v>
      </c>
      <c r="BI52" s="9">
        <v>0.92800000000000005</v>
      </c>
      <c r="BJ52" s="5">
        <f>(BE52-AN52)/AN52</f>
        <v>-0.14623655913978495</v>
      </c>
      <c r="BK52" s="5">
        <f>(BF52-AO52)/AO52</f>
        <v>-0.14552736982643522</v>
      </c>
      <c r="BL52" s="5">
        <f>(BG52-AP52)/AP52</f>
        <v>-0.23387096774193547</v>
      </c>
      <c r="BM52" s="5">
        <f>(BH52-AQ52)/AQ52</f>
        <v>-0.14035087719298245</v>
      </c>
      <c r="BN52" s="9">
        <v>0.39600000000000002</v>
      </c>
      <c r="BO52" s="9">
        <v>0.53500000000000003</v>
      </c>
      <c r="BP52" s="9">
        <v>0.108</v>
      </c>
      <c r="BQ52" s="9">
        <v>0.30199999999999999</v>
      </c>
      <c r="BR52" s="5">
        <f>(BN52-AR52)/AR52</f>
        <v>0.10924369747899169</v>
      </c>
      <c r="BS52" s="5">
        <f>(BO52-AS52)/AS52</f>
        <v>-0.14536741214057503</v>
      </c>
      <c r="BT52" s="5">
        <f>(BP52-AT52)/AT52</f>
        <v>0.11340206185567006</v>
      </c>
      <c r="BU52" s="5">
        <f>(BQ52-AU52)/AU52</f>
        <v>2.0816326530612241</v>
      </c>
      <c r="BV52" s="4">
        <f>(BN52-BE52)/BE52</f>
        <v>-2.5188916876574328E-3</v>
      </c>
      <c r="BW52" s="4">
        <f>(BO52-BF52)/BF52</f>
        <v>-0.16406249999999997</v>
      </c>
      <c r="BX52" s="4">
        <f>(BP52-BG52)/BG52</f>
        <v>0.13684210526315788</v>
      </c>
      <c r="BY52" s="4">
        <f>(BQ52-BH52)/BH52</f>
        <v>2.0816326530612241</v>
      </c>
      <c r="BZ52" s="4">
        <v>0.47199999999999998</v>
      </c>
      <c r="CA52" s="4">
        <v>0.71499999999999997</v>
      </c>
      <c r="CB52" s="4">
        <v>8.5000000000000006E-2</v>
      </c>
      <c r="CC52" s="4">
        <v>9.0999999999999998E-2</v>
      </c>
      <c r="CD52" s="4">
        <f>(BZ52-AR52)/AR52</f>
        <v>0.32212885154061621</v>
      </c>
      <c r="CE52" s="4">
        <f>(CA52-AS52)/AS52</f>
        <v>0.1421725239616613</v>
      </c>
      <c r="CF52" s="4">
        <f>(CB52-AT52)/AT52</f>
        <v>-0.12371134020618553</v>
      </c>
      <c r="CG52" s="4">
        <f>(CC52-AU52)/AU52</f>
        <v>-7.1428571428571494E-2</v>
      </c>
      <c r="CH52" s="4">
        <f>(BZ52-BN52)/BN52</f>
        <v>0.19191919191919179</v>
      </c>
      <c r="CI52" s="4">
        <f>(CA52-BO52)/BO52</f>
        <v>0.33644859813084099</v>
      </c>
      <c r="CJ52" s="4">
        <f>(CB52-BP52)/BP52</f>
        <v>-0.21296296296296291</v>
      </c>
      <c r="CK52" s="4">
        <f>(CC52-BQ52)/BQ52</f>
        <v>-0.69867549668874174</v>
      </c>
      <c r="CL52" s="4">
        <v>0.78600000000000003</v>
      </c>
      <c r="CM52" s="4">
        <v>0.21199999999999999</v>
      </c>
      <c r="CN52" s="4">
        <f>CL52/CM52</f>
        <v>3.7075471698113209</v>
      </c>
    </row>
    <row r="53" spans="1:92" x14ac:dyDescent="0.3">
      <c r="A53" s="1" t="s">
        <v>54</v>
      </c>
      <c r="B53">
        <v>325</v>
      </c>
      <c r="C53">
        <v>9</v>
      </c>
      <c r="D53">
        <v>5</v>
      </c>
      <c r="E53">
        <v>1</v>
      </c>
      <c r="F53">
        <v>2</v>
      </c>
      <c r="G53" s="3" t="s">
        <v>43</v>
      </c>
      <c r="H53" s="4">
        <v>5.54</v>
      </c>
      <c r="I53" s="4">
        <v>0.56999999999999995</v>
      </c>
      <c r="J53" s="4">
        <v>6.18</v>
      </c>
      <c r="K53" s="4">
        <v>0.37</v>
      </c>
      <c r="L53" s="4">
        <f>(H53-I53)/(H53+I53)</f>
        <v>0.81342062193126019</v>
      </c>
      <c r="M53" s="10">
        <f>(J53-K53)/(J53+K53)</f>
        <v>0.88702290076335877</v>
      </c>
      <c r="N53" s="4">
        <v>0.62</v>
      </c>
      <c r="O53" s="4">
        <v>0.82099999999999995</v>
      </c>
      <c r="P53" s="4">
        <v>0.184</v>
      </c>
      <c r="Q53" s="4">
        <v>0.06</v>
      </c>
      <c r="R53" s="4">
        <v>0.69</v>
      </c>
      <c r="S53" s="4">
        <v>0.77</v>
      </c>
      <c r="T53" s="4">
        <v>0.24199999999999999</v>
      </c>
      <c r="U53" s="4">
        <v>0.06</v>
      </c>
      <c r="V53" s="4">
        <v>0.68</v>
      </c>
      <c r="W53" s="4">
        <v>0.91700000000000004</v>
      </c>
      <c r="X53" s="4">
        <v>0.126</v>
      </c>
      <c r="Y53" s="4">
        <v>0.04</v>
      </c>
      <c r="Z53" s="9">
        <v>0.73</v>
      </c>
      <c r="AA53" s="5">
        <f>(V53-N53)/N53</f>
        <v>9.6774193548387177E-2</v>
      </c>
      <c r="AB53" s="5">
        <f>(W53-O53)/O53</f>
        <v>0.1169305724725945</v>
      </c>
      <c r="AC53" s="5">
        <f>(X53-P53)/P53</f>
        <v>-0.31521739130434778</v>
      </c>
      <c r="AD53" s="5">
        <f>(Y53-Q53)/Q53</f>
        <v>-0.33333333333333331</v>
      </c>
      <c r="AE53" s="4">
        <v>0.75</v>
      </c>
      <c r="AF53" s="4">
        <v>0.87</v>
      </c>
      <c r="AG53" s="4">
        <v>0.182</v>
      </c>
      <c r="AH53" s="4">
        <v>0.04</v>
      </c>
      <c r="AI53" s="4">
        <v>0.76</v>
      </c>
      <c r="AJ53" s="5">
        <f>(AE53-R53)/R53</f>
        <v>8.6956521739130516E-2</v>
      </c>
      <c r="AK53" s="5">
        <f>(AF53-S53)/S53</f>
        <v>0.12987012987012983</v>
      </c>
      <c r="AL53" s="5">
        <f>(AG53-T53)/T53</f>
        <v>-0.24793388429752067</v>
      </c>
      <c r="AM53" s="5">
        <f>(AH53-U53)/U53</f>
        <v>-0.33333333333333331</v>
      </c>
      <c r="AN53" s="9">
        <v>0.70699999999999996</v>
      </c>
      <c r="AO53" s="9">
        <v>0.96199999999999997</v>
      </c>
      <c r="AP53" s="9">
        <v>0.19700000000000001</v>
      </c>
      <c r="AQ53" s="9">
        <v>6.7000000000000004E-2</v>
      </c>
      <c r="AR53" s="9">
        <v>0.57099999999999995</v>
      </c>
      <c r="AS53" s="9">
        <v>0.82399999999999995</v>
      </c>
      <c r="AT53" s="9">
        <v>0.151</v>
      </c>
      <c r="AU53" s="9">
        <v>5.8000000000000003E-2</v>
      </c>
      <c r="AV53" s="4">
        <v>0.755</v>
      </c>
      <c r="AW53" s="4">
        <v>0.97</v>
      </c>
      <c r="AX53" s="4">
        <v>0.17699999999999999</v>
      </c>
      <c r="AY53" s="4">
        <v>5.7000000000000002E-2</v>
      </c>
      <c r="AZ53" s="9">
        <v>0.89400000000000002</v>
      </c>
      <c r="BA53" s="6">
        <f>(AV53-AN53)/AN53</f>
        <v>6.7892503536067961E-2</v>
      </c>
      <c r="BB53" s="6">
        <f>(AW53-AO53)/AO53</f>
        <v>8.3160083160083234E-3</v>
      </c>
      <c r="BC53" s="6">
        <f>(AX53-AP53)/AP53</f>
        <v>-0.10152284263959399</v>
      </c>
      <c r="BD53" s="6">
        <f>(AY53-AQ53)/AQ53</f>
        <v>-0.1492537313432836</v>
      </c>
      <c r="BE53" s="4">
        <v>0.67100000000000004</v>
      </c>
      <c r="BF53" s="4">
        <v>0.873</v>
      </c>
      <c r="BG53" s="4">
        <v>0.129</v>
      </c>
      <c r="BH53" s="4">
        <v>5.8000000000000003E-2</v>
      </c>
      <c r="BI53" s="9">
        <v>0.85399999999999998</v>
      </c>
      <c r="BJ53" s="5">
        <f>(BE53-AN53)/AN53</f>
        <v>-5.0919377652050811E-2</v>
      </c>
      <c r="BK53" s="5">
        <f>(BF53-AO53)/AO53</f>
        <v>-9.2515592515592479E-2</v>
      </c>
      <c r="BL53" s="5">
        <f>(BG53-AP53)/AP53</f>
        <v>-0.34517766497461932</v>
      </c>
      <c r="BM53" s="5">
        <f>(BH53-AQ53)/AQ53</f>
        <v>-0.13432835820895522</v>
      </c>
      <c r="BN53" s="9">
        <v>0.61099999999999999</v>
      </c>
      <c r="BO53" s="9">
        <v>0.70599999999999996</v>
      </c>
      <c r="BP53" s="9">
        <v>0.19600000000000001</v>
      </c>
      <c r="BQ53" s="9">
        <v>0.377</v>
      </c>
      <c r="BR53" s="5">
        <f>(BN53-AR53)/AR53</f>
        <v>7.0052539404553485E-2</v>
      </c>
      <c r="BS53" s="5">
        <f>(BO53-AS53)/AS53</f>
        <v>-0.14320388349514562</v>
      </c>
      <c r="BT53" s="5">
        <f>(BP53-AT53)/AT53</f>
        <v>0.29801324503311266</v>
      </c>
      <c r="BU53" s="5">
        <f>(BQ53-AU53)/AU53</f>
        <v>5.5</v>
      </c>
      <c r="BV53" s="4">
        <f>(BN53-BE53)/BE53</f>
        <v>-8.941877794336818E-2</v>
      </c>
      <c r="BW53" s="4">
        <f>(BO53-BF53)/BF53</f>
        <v>-0.19129438717067587</v>
      </c>
      <c r="BX53" s="4">
        <f>(BP53-BG53)/BG53</f>
        <v>0.51937984496124034</v>
      </c>
      <c r="BY53" s="4">
        <f>(BQ53-BH53)/BH53</f>
        <v>5.5</v>
      </c>
      <c r="BZ53" s="7">
        <v>0.61199999999999999</v>
      </c>
      <c r="CA53" s="7">
        <v>0.94799999999999995</v>
      </c>
      <c r="CB53" s="7">
        <v>8.3000000000000004E-2</v>
      </c>
      <c r="CC53" s="7">
        <v>3.2000000000000001E-2</v>
      </c>
      <c r="CD53" s="7">
        <f>(BZ53-AR53)/AR53</f>
        <v>7.1803852889667313E-2</v>
      </c>
      <c r="CE53" s="7">
        <f>(CA53-AS53)/AS53</f>
        <v>0.1504854368932039</v>
      </c>
      <c r="CF53" s="7">
        <f>(CB53-AT53)/AT53</f>
        <v>-0.45033112582781454</v>
      </c>
      <c r="CG53" s="7">
        <f>(CC53-AU53)/AU53</f>
        <v>-0.44827586206896552</v>
      </c>
      <c r="CH53" s="4">
        <f>(BZ53-BN53)/BN53</f>
        <v>1.6366612111292978E-3</v>
      </c>
      <c r="CI53" s="4">
        <f>(CA53-BO53)/BO53</f>
        <v>0.34277620396600567</v>
      </c>
      <c r="CJ53" s="4">
        <f>(CB53-BP53)/BP53</f>
        <v>-0.57653061224489799</v>
      </c>
      <c r="CK53" s="4">
        <f>(CC53-BQ53)/BQ53</f>
        <v>-0.91511936339522537</v>
      </c>
      <c r="CL53" s="7">
        <v>3.7999999999999999E-2</v>
      </c>
      <c r="CM53" s="7">
        <v>0.60299999999999998</v>
      </c>
      <c r="CN53" s="7">
        <f>CL53/CM53</f>
        <v>6.3018242122719739E-2</v>
      </c>
    </row>
    <row r="54" spans="1:92" x14ac:dyDescent="0.3">
      <c r="A54" s="1" t="s">
        <v>55</v>
      </c>
      <c r="B54">
        <v>421</v>
      </c>
      <c r="C54">
        <v>9</v>
      </c>
      <c r="D54">
        <v>5</v>
      </c>
      <c r="E54">
        <v>1</v>
      </c>
      <c r="F54">
        <v>2</v>
      </c>
      <c r="G54" s="3" t="s">
        <v>43</v>
      </c>
      <c r="H54" s="4">
        <v>3.75</v>
      </c>
      <c r="I54" s="4">
        <v>0.53</v>
      </c>
      <c r="J54" s="4">
        <v>4.34</v>
      </c>
      <c r="K54" s="4">
        <v>0.43</v>
      </c>
      <c r="L54" s="4">
        <f>(H54-I54)/(H54+I54)</f>
        <v>0.75233644859813076</v>
      </c>
      <c r="M54" s="10">
        <f>(J54-K54)/(J54+K54)</f>
        <v>0.81970649895178194</v>
      </c>
      <c r="N54" s="4">
        <v>0.42</v>
      </c>
      <c r="O54" s="4">
        <v>0.79100000000000004</v>
      </c>
      <c r="P54" s="4">
        <v>0.14199999999999999</v>
      </c>
      <c r="Q54" s="4">
        <v>7.0000000000000007E-2</v>
      </c>
      <c r="R54" s="4">
        <v>0.42</v>
      </c>
      <c r="S54" s="4">
        <v>0.74199999999999999</v>
      </c>
      <c r="T54" s="4">
        <v>0.185</v>
      </c>
      <c r="U54" s="4">
        <v>7.0000000000000007E-2</v>
      </c>
      <c r="V54" s="4">
        <v>0.49</v>
      </c>
      <c r="W54" s="4">
        <v>0.91400000000000003</v>
      </c>
      <c r="X54" s="4">
        <v>9.0999999999999998E-2</v>
      </c>
      <c r="Y54" s="4">
        <v>0.04</v>
      </c>
      <c r="Z54" s="9">
        <v>0.66</v>
      </c>
      <c r="AA54" s="5">
        <f>(V54-N54)/N54</f>
        <v>0.16666666666666669</v>
      </c>
      <c r="AB54" s="5">
        <f>(W54-O54)/O54</f>
        <v>0.15549936788874841</v>
      </c>
      <c r="AC54" s="5">
        <f>(X54-P54)/P54</f>
        <v>-0.35915492957746475</v>
      </c>
      <c r="AD54" s="5">
        <f>(Y54-Q54)/Q54</f>
        <v>-0.4285714285714286</v>
      </c>
      <c r="AE54" s="4">
        <v>0.48</v>
      </c>
      <c r="AF54" s="4">
        <v>0.876</v>
      </c>
      <c r="AG54" s="4">
        <v>0.128</v>
      </c>
      <c r="AH54" s="4">
        <v>0.04</v>
      </c>
      <c r="AI54" s="4">
        <v>0.66</v>
      </c>
      <c r="AJ54" s="5">
        <f>(AE54-R54)/R54</f>
        <v>0.14285714285714285</v>
      </c>
      <c r="AK54" s="5">
        <f>(AF54-S54)/S54</f>
        <v>0.18059299191374664</v>
      </c>
      <c r="AL54" s="5">
        <f>(AG54-T54)/T54</f>
        <v>-0.30810810810810807</v>
      </c>
      <c r="AM54" s="5">
        <f>(AH54-U54)/U54</f>
        <v>-0.4285714285714286</v>
      </c>
      <c r="AN54" s="9">
        <v>0.504</v>
      </c>
      <c r="AO54" s="9">
        <v>0.90500000000000003</v>
      </c>
      <c r="AP54" s="9">
        <v>0.17799999999999999</v>
      </c>
      <c r="AQ54" s="9">
        <v>7.5999999999999998E-2</v>
      </c>
      <c r="AR54" s="9">
        <v>0.46400000000000002</v>
      </c>
      <c r="AS54" s="9">
        <v>0.77400000000000002</v>
      </c>
      <c r="AT54" s="9">
        <v>0.127</v>
      </c>
      <c r="AU54" s="9">
        <v>6.0999999999999999E-2</v>
      </c>
      <c r="AV54" s="4">
        <v>0.57999999999999996</v>
      </c>
      <c r="AW54" s="4">
        <v>0.93899999999999995</v>
      </c>
      <c r="AX54" s="4">
        <v>0.14299999999999999</v>
      </c>
      <c r="AY54" s="4">
        <v>0.06</v>
      </c>
      <c r="AZ54" s="9">
        <v>0.82</v>
      </c>
      <c r="BA54" s="6">
        <f>(AV54-AN54)/AN54</f>
        <v>0.1507936507936507</v>
      </c>
      <c r="BB54" s="6">
        <f>(AW54-AO54)/AO54</f>
        <v>3.7569060773480573E-2</v>
      </c>
      <c r="BC54" s="6">
        <f>(AX54-AP54)/AP54</f>
        <v>-0.1966292134831461</v>
      </c>
      <c r="BD54" s="6">
        <f>(AY54-AQ54)/AQ54</f>
        <v>-0.2105263157894737</v>
      </c>
      <c r="BE54" s="4">
        <v>0.36899999999999999</v>
      </c>
      <c r="BF54" s="4">
        <v>0.871</v>
      </c>
      <c r="BG54" s="4">
        <v>9.6000000000000002E-2</v>
      </c>
      <c r="BH54" s="4">
        <v>6.4000000000000001E-2</v>
      </c>
      <c r="BI54" s="9">
        <v>0.82</v>
      </c>
      <c r="BJ54" s="5">
        <f>(BE54-AN54)/AN54</f>
        <v>-0.26785714285714285</v>
      </c>
      <c r="BK54" s="5">
        <f>(BF54-AO54)/AO54</f>
        <v>-3.7569060773480698E-2</v>
      </c>
      <c r="BL54" s="5">
        <f>(BG54-AP54)/AP54</f>
        <v>-0.46067415730337075</v>
      </c>
      <c r="BM54" s="5">
        <f>(BH54-AQ54)/AQ54</f>
        <v>-0.15789473684210523</v>
      </c>
      <c r="BN54" s="9">
        <v>0.315</v>
      </c>
      <c r="BO54" s="9">
        <v>0.67</v>
      </c>
      <c r="BP54" s="9">
        <v>0.154</v>
      </c>
      <c r="BQ54" s="9">
        <v>0.26</v>
      </c>
      <c r="BR54" s="5">
        <f>(BN54-AR54)/AR54</f>
        <v>-0.32112068965517243</v>
      </c>
      <c r="BS54" s="5">
        <f>(BO54-AS54)/AS54</f>
        <v>-0.13436692506459946</v>
      </c>
      <c r="BT54" s="5">
        <f>(BP54-AT54)/AT54</f>
        <v>0.21259842519685035</v>
      </c>
      <c r="BU54" s="5">
        <f>(BQ54-AU54)/AU54</f>
        <v>3.2622950819672134</v>
      </c>
      <c r="BV54" s="4">
        <f>(BN54-BE54)/BE54</f>
        <v>-0.14634146341463414</v>
      </c>
      <c r="BW54" s="4">
        <f>(BO54-BF54)/BF54</f>
        <v>-0.23076923076923073</v>
      </c>
      <c r="BX54" s="4">
        <f>(BP54-BG54)/BG54</f>
        <v>0.60416666666666663</v>
      </c>
      <c r="BY54" s="4">
        <f>(BQ54-BH54)/BH54</f>
        <v>3.0625</v>
      </c>
      <c r="BZ54" s="7">
        <v>0.45200000000000001</v>
      </c>
      <c r="CA54" s="7">
        <v>0.96499999999999997</v>
      </c>
      <c r="CB54" s="7">
        <v>0.05</v>
      </c>
      <c r="CC54" s="7">
        <v>3.1E-2</v>
      </c>
      <c r="CD54" s="7">
        <f>(BZ54-AR54)/AR54</f>
        <v>-2.5862068965517262E-2</v>
      </c>
      <c r="CE54" s="7">
        <f>(CA54-AS54)/AS54</f>
        <v>0.24677002583979321</v>
      </c>
      <c r="CF54" s="7">
        <f>(CB54-AT54)/AT54</f>
        <v>-0.60629921259842523</v>
      </c>
      <c r="CG54" s="7">
        <f>(CC54-AU54)/AU54</f>
        <v>-0.49180327868852458</v>
      </c>
      <c r="CH54" s="4">
        <f>(BZ54-BN54)/BN54</f>
        <v>0.43492063492063493</v>
      </c>
      <c r="CI54" s="4">
        <f>(CA54-BO54)/BO54</f>
        <v>0.44029850746268645</v>
      </c>
      <c r="CJ54" s="4">
        <f>(CB54-BP54)/BP54</f>
        <v>-0.67532467532467533</v>
      </c>
      <c r="CK54" s="4">
        <f>(CC54-BQ54)/BQ54</f>
        <v>-0.88076923076923075</v>
      </c>
      <c r="CL54" s="7">
        <v>0.68899999999999995</v>
      </c>
      <c r="CM54" s="7">
        <v>0.309</v>
      </c>
      <c r="CN54" s="7">
        <f>CL54/CM54</f>
        <v>2.2297734627831716</v>
      </c>
    </row>
    <row r="55" spans="1:92" x14ac:dyDescent="0.3">
      <c r="A55" s="1" t="s">
        <v>56</v>
      </c>
      <c r="B55">
        <v>325</v>
      </c>
      <c r="C55">
        <v>10</v>
      </c>
      <c r="D55">
        <v>7</v>
      </c>
      <c r="E55">
        <v>5</v>
      </c>
      <c r="F55">
        <v>5</v>
      </c>
      <c r="G55" s="3" t="s">
        <v>1</v>
      </c>
      <c r="H55" s="4">
        <v>1.98</v>
      </c>
      <c r="I55" s="4">
        <v>0.98</v>
      </c>
      <c r="J55" s="4">
        <v>2.11</v>
      </c>
      <c r="K55" s="4">
        <v>1.07</v>
      </c>
      <c r="L55" s="4">
        <f>(H55-I55)/(H55+I55)</f>
        <v>0.33783783783783783</v>
      </c>
      <c r="M55" s="10">
        <f>(J55-K55)/(J55+K55)</f>
        <v>0.32704402515723269</v>
      </c>
      <c r="N55" s="4">
        <v>0.2</v>
      </c>
      <c r="O55" s="4">
        <v>0.32600000000000001</v>
      </c>
      <c r="P55" s="4">
        <v>0.17899999999999999</v>
      </c>
      <c r="Q55" s="4">
        <v>0.14000000000000001</v>
      </c>
      <c r="R55" s="4">
        <v>0.21</v>
      </c>
      <c r="S55" s="4">
        <v>0.26500000000000001</v>
      </c>
      <c r="T55" s="4">
        <v>0.21099999999999999</v>
      </c>
      <c r="U55" s="4">
        <v>0.16</v>
      </c>
      <c r="V55" s="4">
        <v>0.57999999999999996</v>
      </c>
      <c r="W55" s="4">
        <v>0.89600000000000002</v>
      </c>
      <c r="X55" s="4">
        <v>7.0000000000000007E-2</v>
      </c>
      <c r="Y55" s="4">
        <v>0.02</v>
      </c>
      <c r="Z55" s="9">
        <v>0.187</v>
      </c>
      <c r="AA55" s="5">
        <f>(V55-N55)/N55</f>
        <v>1.8999999999999997</v>
      </c>
      <c r="AB55" s="5">
        <f>(W55-O55)/O55</f>
        <v>1.7484662576687118</v>
      </c>
      <c r="AC55" s="5">
        <f>(X55-P55)/P55</f>
        <v>-0.60893854748603349</v>
      </c>
      <c r="AD55" s="5">
        <f>(Y55-Q55)/Q55</f>
        <v>-0.8571428571428571</v>
      </c>
      <c r="AE55" s="4">
        <v>0.63</v>
      </c>
      <c r="AF55" s="4">
        <v>0.83099999999999996</v>
      </c>
      <c r="AG55" s="4">
        <v>0.10100000000000001</v>
      </c>
      <c r="AH55" s="4">
        <v>0.02</v>
      </c>
      <c r="AI55" s="4">
        <v>0.19600000000000001</v>
      </c>
      <c r="AJ55" s="5">
        <f>(AE55-R55)/R55</f>
        <v>2.0000000000000004</v>
      </c>
      <c r="AK55" s="5">
        <f>(AF55-S55)/S55</f>
        <v>2.1358490566037731</v>
      </c>
      <c r="AL55" s="5">
        <f>(AG55-T55)/T55</f>
        <v>-0.52132701421800942</v>
      </c>
      <c r="AM55" s="5">
        <f>(AH55-U55)/U55</f>
        <v>-0.87500000000000011</v>
      </c>
      <c r="AN55" s="9">
        <v>0.20799999999999999</v>
      </c>
      <c r="AO55" s="9">
        <v>0.438</v>
      </c>
      <c r="AP55" s="9">
        <v>0.22800000000000001</v>
      </c>
      <c r="AQ55" s="9">
        <v>0.14899999999999999</v>
      </c>
      <c r="AR55" s="9">
        <v>0.11700000000000001</v>
      </c>
      <c r="AS55" s="9">
        <v>0.318</v>
      </c>
      <c r="AT55" s="9">
        <v>0.16500000000000001</v>
      </c>
      <c r="AU55" s="9">
        <v>0.13100000000000001</v>
      </c>
      <c r="AV55" s="7">
        <v>0.501</v>
      </c>
      <c r="AW55" s="7">
        <v>0.876</v>
      </c>
      <c r="AX55" s="7">
        <v>0.107</v>
      </c>
      <c r="AY55" s="7">
        <v>6.7000000000000004E-2</v>
      </c>
      <c r="AZ55" s="7">
        <v>0.24099999999999999</v>
      </c>
      <c r="BA55" s="8">
        <f>(AV55-AN55)/AN55</f>
        <v>1.4086538461538465</v>
      </c>
      <c r="BB55" s="8">
        <f>(AW55-AO55)/AO55</f>
        <v>1</v>
      </c>
      <c r="BC55" s="8">
        <f>(AX55-AP55)/AP55</f>
        <v>-0.5307017543859649</v>
      </c>
      <c r="BD55" s="8">
        <f>(AY55-AQ55)/AQ55</f>
        <v>-0.55033557046979864</v>
      </c>
      <c r="BE55" s="7">
        <v>0.47299999999999998</v>
      </c>
      <c r="BF55" s="7">
        <v>0.81200000000000006</v>
      </c>
      <c r="BG55" s="7">
        <v>8.6999999999999994E-2</v>
      </c>
      <c r="BH55" s="7">
        <v>6.4000000000000001E-2</v>
      </c>
      <c r="BI55" s="7">
        <v>0.24099999999999999</v>
      </c>
      <c r="BJ55" s="8">
        <f>(BE55-AN55)/AN55</f>
        <v>1.2740384615384617</v>
      </c>
      <c r="BK55" s="8">
        <f>(BF55-AO55)/AO55</f>
        <v>0.8538812785388129</v>
      </c>
      <c r="BL55" s="8">
        <f>(BG55-AP55)/AP55</f>
        <v>-0.61842105263157898</v>
      </c>
      <c r="BM55" s="8">
        <f>(BH55-AQ55)/AQ55</f>
        <v>-0.57046979865771807</v>
      </c>
      <c r="BN55" s="7">
        <v>0.54400000000000004</v>
      </c>
      <c r="BO55" s="7">
        <v>0.56299999999999994</v>
      </c>
      <c r="BP55" s="7">
        <v>0.13200000000000001</v>
      </c>
      <c r="BQ55" s="7">
        <v>0.157</v>
      </c>
      <c r="BR55" s="8">
        <f>(BN55-AR55)/AR55</f>
        <v>3.6495726495726499</v>
      </c>
      <c r="BS55" s="8">
        <f>(BO55-AS55)/AS55</f>
        <v>0.77044025157232687</v>
      </c>
      <c r="BT55" s="8">
        <f>(BP55-AT55)/AT55</f>
        <v>-0.2</v>
      </c>
      <c r="BU55" s="8">
        <f>(BQ55-AU55)/AU55</f>
        <v>0.19847328244274806</v>
      </c>
      <c r="BV55" s="7">
        <f>(BN55-BE55)/BE55</f>
        <v>0.15010570824524327</v>
      </c>
      <c r="BW55" s="7">
        <f>(BO55-BF55)/BF55</f>
        <v>-0.30665024630541882</v>
      </c>
      <c r="BX55" s="7">
        <f>(BP55-BG55)/BG55</f>
        <v>0.51724137931034497</v>
      </c>
      <c r="BY55" s="7">
        <f>(BQ55-BH55)/BH55</f>
        <v>1.453125</v>
      </c>
      <c r="BZ55" s="7">
        <v>0.57099999999999995</v>
      </c>
      <c r="CA55" s="7">
        <v>0.503</v>
      </c>
      <c r="CB55" s="7">
        <v>0.14099999999999999</v>
      </c>
      <c r="CC55" s="7">
        <v>0.10199999999999999</v>
      </c>
      <c r="CD55" s="7">
        <f>(BZ55-AR55)/AR55</f>
        <v>3.8803418803418799</v>
      </c>
      <c r="CE55" s="7">
        <f>(CA55-AS55)/AS55</f>
        <v>0.58176100628930816</v>
      </c>
      <c r="CF55" s="7">
        <f>(CB55-AT55)/AT55</f>
        <v>-0.14545454545454559</v>
      </c>
      <c r="CG55" s="7">
        <f>(CC55-AU55)/AU55</f>
        <v>-0.22137404580152681</v>
      </c>
      <c r="CH55" s="4">
        <f>(BZ55-BN55)/BN55</f>
        <v>4.9632352941176308E-2</v>
      </c>
      <c r="CI55" s="4">
        <f>(CA55-BO55)/BO55</f>
        <v>-0.10657193605683828</v>
      </c>
      <c r="CJ55" s="4">
        <f>(CB55-BP55)/BP55</f>
        <v>6.8181818181818024E-2</v>
      </c>
      <c r="CK55" s="4">
        <f>(CC55-BQ55)/BQ55</f>
        <v>-0.35031847133757965</v>
      </c>
      <c r="CL55" s="7">
        <v>0.27600000000000002</v>
      </c>
      <c r="CM55" s="7">
        <v>0.72499999999999998</v>
      </c>
      <c r="CN55" s="7">
        <f>CL55/CM55</f>
        <v>0.38068965517241382</v>
      </c>
    </row>
    <row r="56" spans="1:92" x14ac:dyDescent="0.3">
      <c r="A56" s="1" t="s">
        <v>57</v>
      </c>
      <c r="B56">
        <v>421</v>
      </c>
      <c r="C56">
        <v>10</v>
      </c>
      <c r="D56">
        <v>7</v>
      </c>
      <c r="E56">
        <v>5</v>
      </c>
      <c r="F56">
        <v>5</v>
      </c>
      <c r="G56" s="3" t="s">
        <v>1</v>
      </c>
      <c r="H56" s="4">
        <v>1.34</v>
      </c>
      <c r="I56" s="4">
        <v>0.78</v>
      </c>
      <c r="J56" s="4">
        <v>1.53</v>
      </c>
      <c r="K56" s="4">
        <v>0.88</v>
      </c>
      <c r="L56" s="4">
        <f>(H56-I56)/(H56+I56)</f>
        <v>0.26415094339622641</v>
      </c>
      <c r="M56" s="10">
        <f>(J56-K56)/(J56+K56)</f>
        <v>0.26970954356846472</v>
      </c>
      <c r="N56" s="4">
        <v>0.13</v>
      </c>
      <c r="O56" s="4">
        <v>0.24</v>
      </c>
      <c r="P56" s="4">
        <v>0.14199999999999999</v>
      </c>
      <c r="Q56" s="4">
        <v>0.12</v>
      </c>
      <c r="R56" s="4">
        <v>0.15</v>
      </c>
      <c r="S56" s="4">
        <v>0.21</v>
      </c>
      <c r="T56" s="4">
        <v>0.17</v>
      </c>
      <c r="U56" s="4">
        <v>0.14000000000000001</v>
      </c>
      <c r="V56" s="4">
        <v>0.51</v>
      </c>
      <c r="W56" s="4">
        <v>0.79300000000000004</v>
      </c>
      <c r="X56" s="4">
        <v>7.3999999999999996E-2</v>
      </c>
      <c r="Y56" s="4">
        <v>0.02</v>
      </c>
      <c r="Z56" s="9">
        <v>0.09</v>
      </c>
      <c r="AA56" s="5">
        <f>(V56-N56)/N56</f>
        <v>2.9230769230769229</v>
      </c>
      <c r="AB56" s="5">
        <f>(W56-O56)/O56</f>
        <v>2.3041666666666671</v>
      </c>
      <c r="AC56" s="5">
        <f>(X56-P56)/P56</f>
        <v>-0.47887323943661969</v>
      </c>
      <c r="AD56" s="5">
        <f>(Y56-Q56)/Q56</f>
        <v>-0.83333333333333326</v>
      </c>
      <c r="AE56" s="4">
        <v>0.56000000000000005</v>
      </c>
      <c r="AF56" s="4">
        <v>0.68</v>
      </c>
      <c r="AG56" s="4">
        <v>0.108</v>
      </c>
      <c r="AH56" s="4">
        <v>0.02</v>
      </c>
      <c r="AI56" s="4">
        <v>9.0999999999999998E-2</v>
      </c>
      <c r="AJ56" s="5">
        <f>(AE56-R56)/R56</f>
        <v>2.7333333333333338</v>
      </c>
      <c r="AK56" s="5">
        <f>(AF56-S56)/S56</f>
        <v>2.2380952380952386</v>
      </c>
      <c r="AL56" s="5">
        <f>(AG56-T56)/T56</f>
        <v>-0.36470588235294121</v>
      </c>
      <c r="AM56" s="5">
        <f>(AH56-U56)/U56</f>
        <v>-0.8571428571428571</v>
      </c>
      <c r="AN56" s="9">
        <v>0.114</v>
      </c>
      <c r="AO56" s="9">
        <v>0.26800000000000002</v>
      </c>
      <c r="AP56" s="9">
        <v>0.16800000000000001</v>
      </c>
      <c r="AQ56" s="9">
        <v>0.124</v>
      </c>
      <c r="AR56" s="9">
        <v>3.4000000000000002E-2</v>
      </c>
      <c r="AS56" s="9">
        <v>0.24199999999999999</v>
      </c>
      <c r="AT56" s="9">
        <v>0.13700000000000001</v>
      </c>
      <c r="AU56" s="9">
        <v>0.11</v>
      </c>
      <c r="AV56" s="7">
        <v>0.29599999999999999</v>
      </c>
      <c r="AW56" s="7">
        <v>0.63700000000000001</v>
      </c>
      <c r="AX56" s="7">
        <v>0.11799999999999999</v>
      </c>
      <c r="AY56" s="7">
        <v>7.3999999999999996E-2</v>
      </c>
      <c r="AZ56" s="7">
        <v>0.16300000000000001</v>
      </c>
      <c r="BA56" s="8">
        <f>(AV56-AN56)/AN56</f>
        <v>1.5964912280701753</v>
      </c>
      <c r="BB56" s="8">
        <f>(AW56-AO56)/AO56</f>
        <v>1.3768656716417909</v>
      </c>
      <c r="BC56" s="8">
        <f>(AX56-AP56)/AP56</f>
        <v>-0.29761904761904773</v>
      </c>
      <c r="BD56" s="8">
        <f>(AY56-AQ56)/AQ56</f>
        <v>-0.40322580645161293</v>
      </c>
      <c r="BE56" s="7">
        <v>0.3</v>
      </c>
      <c r="BF56" s="7">
        <v>0.63700000000000001</v>
      </c>
      <c r="BG56" s="7">
        <v>0.11799999999999999</v>
      </c>
      <c r="BH56" s="7">
        <v>7.3999999999999996E-2</v>
      </c>
      <c r="BI56" s="7">
        <v>0.16300000000000001</v>
      </c>
      <c r="BJ56" s="8">
        <f>(BE56-AN56)/AN56</f>
        <v>1.631578947368421</v>
      </c>
      <c r="BK56" s="8">
        <f>(BF56-AO56)/AO56</f>
        <v>1.3768656716417909</v>
      </c>
      <c r="BL56" s="8">
        <f>(BG56-AP56)/AP56</f>
        <v>-0.29761904761904773</v>
      </c>
      <c r="BM56" s="8">
        <f>(BH56-AQ56)/AQ56</f>
        <v>-0.40322580645161293</v>
      </c>
      <c r="BN56" s="7">
        <v>0.47399999999999998</v>
      </c>
      <c r="BO56" s="7">
        <v>0.55100000000000005</v>
      </c>
      <c r="BP56" s="7">
        <v>0.106</v>
      </c>
      <c r="BQ56" s="7">
        <v>0.11</v>
      </c>
      <c r="BR56" s="8">
        <f>(BN56-AR56)/AR56</f>
        <v>12.941176470588232</v>
      </c>
      <c r="BS56" s="8">
        <f>(BO56-AS56)/AS56</f>
        <v>1.2768595041322317</v>
      </c>
      <c r="BT56" s="8">
        <f>(BP56-AT56)/AT56</f>
        <v>-0.22627737226277381</v>
      </c>
      <c r="BU56" s="8">
        <f>(BQ56-AU56)/AU56</f>
        <v>0</v>
      </c>
      <c r="BV56" s="7">
        <f>(BN56-BE56)/BE56</f>
        <v>0.57999999999999996</v>
      </c>
      <c r="BW56" s="7">
        <f>(BO56-BF56)/BF56</f>
        <v>-0.13500784929356352</v>
      </c>
      <c r="BX56" s="7">
        <f>(BP56-BG56)/BG56</f>
        <v>-0.10169491525423727</v>
      </c>
      <c r="BY56" s="7">
        <f>(BQ56-BH56)/BH56</f>
        <v>0.48648648648648657</v>
      </c>
      <c r="BZ56" s="7">
        <v>0.48</v>
      </c>
      <c r="CA56" s="7">
        <v>0.69899999999999995</v>
      </c>
      <c r="CB56" s="7">
        <v>8.6999999999999994E-2</v>
      </c>
      <c r="CC56" s="7">
        <v>7.0000000000000007E-2</v>
      </c>
      <c r="CD56" s="7">
        <f>(BZ56-AR56)/AR56</f>
        <v>13.117647058823527</v>
      </c>
      <c r="CE56" s="7">
        <f>(CA56-AS56)/AS56</f>
        <v>1.8884297520661155</v>
      </c>
      <c r="CF56" s="7">
        <f>(CB56-AT56)/AT56</f>
        <v>-0.36496350364963515</v>
      </c>
      <c r="CG56" s="7">
        <f>(CC56-AU56)/AU56</f>
        <v>-0.36363636363636359</v>
      </c>
      <c r="CH56" s="4">
        <f>(BZ56-BN56)/BN56</f>
        <v>1.2658227848101278E-2</v>
      </c>
      <c r="CI56" s="4">
        <f>(CA56-BO56)/BO56</f>
        <v>0.26860254083484553</v>
      </c>
      <c r="CJ56" s="4">
        <f>(CB56-BP56)/BP56</f>
        <v>-0.17924528301886797</v>
      </c>
      <c r="CK56" s="4">
        <f>(CC56-BQ56)/BQ56</f>
        <v>-0.36363636363636359</v>
      </c>
      <c r="CL56" s="7">
        <v>0.23899999999999999</v>
      </c>
      <c r="CM56" s="7">
        <v>0.77600000000000002</v>
      </c>
      <c r="CN56" s="7">
        <f>CL56/CM56</f>
        <v>0.30798969072164945</v>
      </c>
    </row>
    <row r="57" spans="1:92" x14ac:dyDescent="0.3">
      <c r="A57" s="1" t="s">
        <v>58</v>
      </c>
      <c r="B57">
        <v>222</v>
      </c>
      <c r="C57">
        <v>12</v>
      </c>
      <c r="D57">
        <v>8</v>
      </c>
      <c r="E57">
        <v>2</v>
      </c>
      <c r="F57">
        <v>2</v>
      </c>
      <c r="G57" s="3" t="s">
        <v>9</v>
      </c>
      <c r="H57" s="4">
        <v>4.71</v>
      </c>
      <c r="I57" s="4">
        <v>0.69</v>
      </c>
      <c r="J57" s="4">
        <v>4.9400000000000004</v>
      </c>
      <c r="K57" s="4">
        <v>0.76</v>
      </c>
      <c r="L57" s="4">
        <f>(H57-I57)/(H57+I57)</f>
        <v>0.74444444444444435</v>
      </c>
      <c r="M57" s="10">
        <f>(J57-K57)/(J57+K57)</f>
        <v>0.73333333333333339</v>
      </c>
      <c r="N57" s="4">
        <v>0.39</v>
      </c>
      <c r="O57" s="4">
        <v>0.80600000000000005</v>
      </c>
      <c r="P57" s="4">
        <v>0.121</v>
      </c>
      <c r="Q57" s="4">
        <v>0.09</v>
      </c>
      <c r="R57" s="4">
        <v>0.41</v>
      </c>
      <c r="S57" s="4">
        <v>0.77</v>
      </c>
      <c r="T57" s="4">
        <v>0.14000000000000001</v>
      </c>
      <c r="U57" s="4">
        <v>0.09</v>
      </c>
      <c r="V57" s="4">
        <v>0.47</v>
      </c>
      <c r="W57" s="4">
        <v>0.88400000000000001</v>
      </c>
      <c r="X57" s="4">
        <v>9.2999999999999999E-2</v>
      </c>
      <c r="Y57" s="4">
        <v>0.06</v>
      </c>
      <c r="Z57" s="9">
        <v>0.4</v>
      </c>
      <c r="AA57" s="5">
        <f>(V57-N57)/N57</f>
        <v>0.20512820512820501</v>
      </c>
      <c r="AB57" s="5">
        <f>(W57-O57)/O57</f>
        <v>9.6774193548387039E-2</v>
      </c>
      <c r="AC57" s="5">
        <f>(X57-P57)/P57</f>
        <v>-0.23140495867768593</v>
      </c>
      <c r="AD57" s="5">
        <f>(Y57-Q57)/Q57</f>
        <v>-0.33333333333333331</v>
      </c>
      <c r="AE57" s="4">
        <v>0.5</v>
      </c>
      <c r="AF57" s="4">
        <v>0.83799999999999997</v>
      </c>
      <c r="AG57" s="4">
        <v>0.11799999999999999</v>
      </c>
      <c r="AH57" s="4">
        <v>0.06</v>
      </c>
      <c r="AI57" s="4">
        <v>0.35</v>
      </c>
      <c r="AJ57" s="5">
        <f>(AE57-R57)/R57</f>
        <v>0.2195121951219513</v>
      </c>
      <c r="AK57" s="5">
        <f>(AF57-S57)/S57</f>
        <v>8.8311688311688244E-2</v>
      </c>
      <c r="AL57" s="5">
        <f>(AG57-T57)/T57</f>
        <v>-0.15714285714285728</v>
      </c>
      <c r="AM57" s="5">
        <f>(AH57-U57)/U57</f>
        <v>-0.33333333333333331</v>
      </c>
      <c r="AN57" s="7">
        <v>0.56499999999999995</v>
      </c>
      <c r="AO57" s="7">
        <v>0.84599999999999997</v>
      </c>
      <c r="AP57" s="7">
        <v>0.16500000000000001</v>
      </c>
      <c r="AQ57" s="7">
        <v>8.7999999999999995E-2</v>
      </c>
      <c r="AR57" s="9">
        <v>0.501</v>
      </c>
      <c r="AS57" s="9">
        <v>0.80300000000000005</v>
      </c>
      <c r="AT57" s="9">
        <v>0.113</v>
      </c>
      <c r="AU57" s="9">
        <v>0.08</v>
      </c>
      <c r="AV57" s="7">
        <v>0.61</v>
      </c>
      <c r="AW57" s="7">
        <v>0.86499999999999999</v>
      </c>
      <c r="AX57" s="7">
        <v>0.14799999999999999</v>
      </c>
      <c r="AY57" s="7">
        <v>0.08</v>
      </c>
      <c r="AZ57" s="7">
        <v>0.83</v>
      </c>
      <c r="BA57" s="8">
        <f>(AV57-AN57)/AN57</f>
        <v>7.9646017699115126E-2</v>
      </c>
      <c r="BB57" s="8">
        <f>(AW57-AO57)/AO57</f>
        <v>2.2458628841607587E-2</v>
      </c>
      <c r="BC57" s="8">
        <f>(AX57-AP57)/AP57</f>
        <v>-0.10303030303030311</v>
      </c>
      <c r="BD57" s="8">
        <f>(AY57-AQ57)/AQ57</f>
        <v>-9.0909090909090842E-2</v>
      </c>
      <c r="BE57" s="4">
        <v>0.57299999999999995</v>
      </c>
      <c r="BF57" s="4">
        <v>0.876</v>
      </c>
      <c r="BG57" s="4">
        <v>0.09</v>
      </c>
      <c r="BH57" s="4">
        <v>7.3999999999999996E-2</v>
      </c>
      <c r="BI57" s="9">
        <v>0.81299999999999994</v>
      </c>
      <c r="BJ57" s="5">
        <f>(BE57-AN57)/AN57</f>
        <v>1.4159292035398244E-2</v>
      </c>
      <c r="BK57" s="5">
        <f>(BF57-AO57)/AO57</f>
        <v>3.5460992907801449E-2</v>
      </c>
      <c r="BL57" s="5">
        <f>(BG57-AP57)/AP57</f>
        <v>-0.45454545454545459</v>
      </c>
      <c r="BM57" s="5">
        <f>(BH57-AQ57)/AQ57</f>
        <v>-0.15909090909090909</v>
      </c>
      <c r="BN57" s="9">
        <v>0.56100000000000005</v>
      </c>
      <c r="BO57" s="9">
        <v>0.71299999999999997</v>
      </c>
      <c r="BP57" s="9">
        <v>0.13600000000000001</v>
      </c>
      <c r="BQ57" s="9">
        <v>0.252</v>
      </c>
      <c r="BR57" s="5">
        <f>(BN57-AR57)/AR57</f>
        <v>0.11976047904191628</v>
      </c>
      <c r="BS57" s="5">
        <f>(BO57-AS57)/AS57</f>
        <v>-0.1120797011207971</v>
      </c>
      <c r="BT57" s="5">
        <f>(BP57-AT57)/AT57</f>
        <v>0.2035398230088496</v>
      </c>
      <c r="BU57" s="5">
        <f>(BQ57-AU57)/AU57</f>
        <v>2.15</v>
      </c>
      <c r="BV57" s="4">
        <f>(BN57-BE57)/BE57</f>
        <v>-2.0942408376963179E-2</v>
      </c>
      <c r="BW57" s="4">
        <f>(BO57-BF57)/BF57</f>
        <v>-0.18607305936073062</v>
      </c>
      <c r="BX57" s="4">
        <f>(BP57-BG57)/BG57</f>
        <v>0.51111111111111129</v>
      </c>
      <c r="BY57" s="4">
        <f>(BQ57-BH57)/BH57</f>
        <v>2.4054054054054053</v>
      </c>
      <c r="BZ57" s="4">
        <v>0.61</v>
      </c>
      <c r="CA57" s="4">
        <v>0.875</v>
      </c>
      <c r="CB57" s="4">
        <v>0.09</v>
      </c>
      <c r="CC57" s="4">
        <v>6.4000000000000001E-2</v>
      </c>
      <c r="CD57" s="4">
        <f>(BZ57-AR57)/AR57</f>
        <v>0.21756487025948101</v>
      </c>
      <c r="CE57" s="4">
        <f>(CA57-AS57)/AS57</f>
        <v>8.9663760896637551E-2</v>
      </c>
      <c r="CF57" s="4">
        <f>(CB57-AT57)/AT57</f>
        <v>-0.2035398230088496</v>
      </c>
      <c r="CG57" s="4">
        <f>(CC57-AU57)/AU57</f>
        <v>-0.2</v>
      </c>
      <c r="CH57" s="4">
        <f>(BZ57-BN57)/BN57</f>
        <v>8.7344028520498981E-2</v>
      </c>
      <c r="CI57" s="4">
        <f>(CA57-BO57)/BO57</f>
        <v>0.2272089761570828</v>
      </c>
      <c r="CJ57" s="4">
        <f>(CB57-BP57)/BP57</f>
        <v>-0.33823529411764713</v>
      </c>
      <c r="CK57" s="4">
        <f>(CC57-BQ57)/BQ57</f>
        <v>-0.74603174603174605</v>
      </c>
      <c r="CL57" s="4">
        <v>0.78100000000000003</v>
      </c>
      <c r="CM57" s="4">
        <v>0.223</v>
      </c>
      <c r="CN57" s="4">
        <f>CL57/CM57</f>
        <v>3.5022421524663678</v>
      </c>
    </row>
    <row r="58" spans="1:92" x14ac:dyDescent="0.3">
      <c r="A58" s="1" t="s">
        <v>59</v>
      </c>
      <c r="B58">
        <v>475</v>
      </c>
      <c r="C58">
        <v>60</v>
      </c>
      <c r="D58">
        <v>5</v>
      </c>
      <c r="E58">
        <v>5</v>
      </c>
      <c r="F58">
        <v>5</v>
      </c>
      <c r="G58" s="3" t="s">
        <v>1</v>
      </c>
      <c r="H58" s="4">
        <v>6.51</v>
      </c>
      <c r="I58" s="4">
        <v>4.38</v>
      </c>
      <c r="J58" s="4">
        <v>7.63</v>
      </c>
      <c r="K58" s="4">
        <v>5.03</v>
      </c>
      <c r="L58" s="4">
        <f>(H58-I58)/(H58+I58)</f>
        <v>0.19559228650137739</v>
      </c>
      <c r="M58" s="10">
        <f>(J58-K58)/(J58+K58)</f>
        <v>0.20537124802527643</v>
      </c>
      <c r="N58" s="4">
        <v>0.11</v>
      </c>
      <c r="O58" s="4">
        <v>0.48</v>
      </c>
      <c r="P58" s="4">
        <v>8.1000000000000003E-2</v>
      </c>
      <c r="Q58" s="4">
        <v>0.11</v>
      </c>
      <c r="R58" s="4">
        <v>0.13</v>
      </c>
      <c r="S58" s="4">
        <v>0.222</v>
      </c>
      <c r="T58" s="4">
        <v>0.10199999999999999</v>
      </c>
      <c r="U58" s="4">
        <v>0.13</v>
      </c>
      <c r="V58" s="4">
        <v>0.31</v>
      </c>
      <c r="W58" s="4">
        <v>0.76400000000000001</v>
      </c>
      <c r="X58" s="4">
        <v>4.5999999999999999E-2</v>
      </c>
      <c r="Y58" s="4">
        <v>0.04</v>
      </c>
      <c r="Z58" s="9">
        <v>0.13300000000000001</v>
      </c>
      <c r="AA58" s="5">
        <f>(V58-N58)/N58</f>
        <v>1.8181818181818183</v>
      </c>
      <c r="AB58" s="5">
        <f>(W58-O58)/O58</f>
        <v>0.59166666666666679</v>
      </c>
      <c r="AC58" s="5">
        <f>(X58-P58)/P58</f>
        <v>-0.4320987654320988</v>
      </c>
      <c r="AD58" s="5">
        <f>(Y58-Q58)/Q58</f>
        <v>-0.63636363636363646</v>
      </c>
      <c r="AE58" s="4">
        <v>0.31</v>
      </c>
      <c r="AF58" s="4">
        <v>0.76400000000000001</v>
      </c>
      <c r="AG58" s="4">
        <v>4.5999999999999999E-2</v>
      </c>
      <c r="AH58" s="4">
        <v>0.04</v>
      </c>
      <c r="AI58" s="4">
        <v>0.13300000000000001</v>
      </c>
      <c r="AJ58" s="5">
        <f>(AE58-R58)/R58</f>
        <v>1.3846153846153846</v>
      </c>
      <c r="AK58" s="5">
        <f>(AF58-S58)/S58</f>
        <v>2.4414414414414414</v>
      </c>
      <c r="AL58" s="5">
        <f>(AG58-T58)/T58</f>
        <v>-0.54901960784313719</v>
      </c>
      <c r="AM58" s="5">
        <f>(AH58-U58)/U58</f>
        <v>-0.69230769230769229</v>
      </c>
      <c r="AN58" s="9">
        <v>0.122</v>
      </c>
      <c r="AO58" s="9">
        <v>0.35499999999999998</v>
      </c>
      <c r="AP58" s="9">
        <v>8.6999999999999994E-2</v>
      </c>
      <c r="AQ58" s="9">
        <v>0.129</v>
      </c>
      <c r="AR58" s="9">
        <v>7.8E-2</v>
      </c>
      <c r="AS58" s="9">
        <v>0.255</v>
      </c>
      <c r="AT58" s="9">
        <v>7.8E-2</v>
      </c>
      <c r="AU58" s="9">
        <v>0.11</v>
      </c>
      <c r="AV58" s="4">
        <v>0.307</v>
      </c>
      <c r="AW58" s="4">
        <v>0.71199999999999997</v>
      </c>
      <c r="AX58" s="4">
        <v>5.8000000000000003E-2</v>
      </c>
      <c r="AY58" s="4">
        <v>9.5000000000000001E-2</v>
      </c>
      <c r="AZ58" s="9">
        <v>0.26300000000000001</v>
      </c>
      <c r="BA58" s="6">
        <f>(AV58-AN58)/AN58</f>
        <v>1.5163934426229508</v>
      </c>
      <c r="BB58" s="6">
        <f>(AW58-AO58)/AO58</f>
        <v>1.0056338028169014</v>
      </c>
      <c r="BC58" s="6">
        <f>(AX58-AP58)/AP58</f>
        <v>-0.33333333333333326</v>
      </c>
      <c r="BD58" s="6">
        <f>(AY58-AQ58)/AQ58</f>
        <v>-0.26356589147286824</v>
      </c>
      <c r="BE58" s="4">
        <v>0.217</v>
      </c>
      <c r="BF58" s="4">
        <v>0.63500000000000001</v>
      </c>
      <c r="BG58" s="4">
        <v>5.5E-2</v>
      </c>
      <c r="BH58" s="4">
        <v>8.2000000000000003E-2</v>
      </c>
      <c r="BI58" s="9">
        <v>0.247</v>
      </c>
      <c r="BJ58" s="5">
        <f>(BE58-AN58)/AN58</f>
        <v>0.77868852459016391</v>
      </c>
      <c r="BK58" s="5">
        <f>(BF58-AO58)/AO58</f>
        <v>0.78873239436619724</v>
      </c>
      <c r="BL58" s="5">
        <f>(BG58-AP58)/AP58</f>
        <v>-0.36781609195402293</v>
      </c>
      <c r="BM58" s="5">
        <f>(BH58-AQ58)/AQ58</f>
        <v>-0.36434108527131781</v>
      </c>
      <c r="BN58" s="9">
        <v>0.21299999999999999</v>
      </c>
      <c r="BO58" s="9">
        <v>0.59299999999999997</v>
      </c>
      <c r="BP58" s="9">
        <v>5.8000000000000003E-2</v>
      </c>
      <c r="BQ58" s="9">
        <v>0.108</v>
      </c>
      <c r="BR58" s="5">
        <f>(BN58-AR58)/AR58</f>
        <v>1.7307692307692308</v>
      </c>
      <c r="BS58" s="5">
        <f>(BO58-AS58)/AS58</f>
        <v>1.3254901960784313</v>
      </c>
      <c r="BT58" s="5">
        <f>(BP58-AT58)/AT58</f>
        <v>-0.25641025641025639</v>
      </c>
      <c r="BU58" s="5">
        <f>(BQ58-AU58)/AU58</f>
        <v>-1.8181818181818198E-2</v>
      </c>
      <c r="BV58" s="4">
        <f>(BN58-BE58)/BE58</f>
        <v>-1.8433179723502321E-2</v>
      </c>
      <c r="BW58" s="4">
        <f>(BO58-BF58)/BF58</f>
        <v>-6.6141732283464622E-2</v>
      </c>
      <c r="BX58" s="4">
        <f>(BP58-BG58)/BG58</f>
        <v>5.4545454545454591E-2</v>
      </c>
      <c r="BY58" s="4">
        <f>(BQ58-BH58)/BH58</f>
        <v>0.31707317073170727</v>
      </c>
      <c r="BZ58" s="4">
        <v>0.246</v>
      </c>
      <c r="CA58" s="4">
        <v>0.67400000000000004</v>
      </c>
      <c r="CB58" s="4">
        <v>5.1999999999999998E-2</v>
      </c>
      <c r="CC58" s="4">
        <v>9.5000000000000001E-2</v>
      </c>
      <c r="CD58" s="4">
        <f>(BZ58-AR58)/AR58</f>
        <v>2.1538461538461537</v>
      </c>
      <c r="CE58" s="4">
        <f>(CA58-AS58)/AS58</f>
        <v>1.6431372549019609</v>
      </c>
      <c r="CF58" s="4">
        <f>(CB58-AT58)/AT58</f>
        <v>-0.33333333333333337</v>
      </c>
      <c r="CG58" s="4">
        <f>(CC58-AU58)/AU58</f>
        <v>-0.13636363636363635</v>
      </c>
      <c r="CH58" s="4">
        <f>(BZ58-BN58)/BN58</f>
        <v>0.15492957746478875</v>
      </c>
      <c r="CI58" s="4">
        <f>(CA58-BO58)/BO58</f>
        <v>0.13659359190556505</v>
      </c>
      <c r="CJ58" s="4">
        <f>(CB58-BP58)/BP58</f>
        <v>-0.10344827586206905</v>
      </c>
      <c r="CK58" s="4">
        <f>(CC58-BQ58)/BQ58</f>
        <v>-0.12037037037037035</v>
      </c>
      <c r="CL58" s="4">
        <v>0.191</v>
      </c>
      <c r="CM58" s="4">
        <v>0.81499999999999995</v>
      </c>
      <c r="CN58" s="4">
        <f>CL58/CM58</f>
        <v>0.2343558282208589</v>
      </c>
    </row>
    <row r="59" spans="1:92" x14ac:dyDescent="0.3">
      <c r="A59" s="1" t="s">
        <v>60</v>
      </c>
      <c r="B59">
        <v>5583</v>
      </c>
      <c r="C59">
        <v>12</v>
      </c>
      <c r="D59">
        <v>4</v>
      </c>
      <c r="E59">
        <v>2</v>
      </c>
      <c r="F59">
        <v>2</v>
      </c>
      <c r="G59" s="3" t="s">
        <v>9</v>
      </c>
      <c r="H59" s="4">
        <v>5.32</v>
      </c>
      <c r="I59" s="4">
        <v>0.54</v>
      </c>
      <c r="J59" s="4">
        <v>6.38</v>
      </c>
      <c r="K59" s="4">
        <v>0.57999999999999996</v>
      </c>
      <c r="L59" s="4">
        <f>(H59-I59)/(H59+I59)</f>
        <v>0.81569965870307171</v>
      </c>
      <c r="M59" s="10">
        <f>(J59-K59)/(J59+K59)</f>
        <v>0.83333333333333326</v>
      </c>
      <c r="N59" s="4">
        <v>0.44</v>
      </c>
      <c r="O59" s="4">
        <v>0.89</v>
      </c>
      <c r="P59" s="4">
        <v>9.4E-2</v>
      </c>
      <c r="Q59" s="4">
        <v>0.06</v>
      </c>
      <c r="R59" s="4">
        <v>0.53</v>
      </c>
      <c r="S59" s="4">
        <v>0.873</v>
      </c>
      <c r="T59" s="4">
        <v>0.12</v>
      </c>
      <c r="U59" s="4">
        <v>0.06</v>
      </c>
      <c r="V59" s="4">
        <v>0.5</v>
      </c>
      <c r="W59" s="4">
        <v>0.96</v>
      </c>
      <c r="X59" s="4">
        <v>5.7000000000000002E-2</v>
      </c>
      <c r="Y59" s="4">
        <v>0.02</v>
      </c>
      <c r="Z59" s="9">
        <v>0.73</v>
      </c>
      <c r="AA59" s="5">
        <f>(V59-N59)/N59</f>
        <v>0.13636363636363635</v>
      </c>
      <c r="AB59" s="5">
        <f>(W59-O59)/O59</f>
        <v>7.8651685393258369E-2</v>
      </c>
      <c r="AC59" s="5">
        <f>(X59-P59)/P59</f>
        <v>-0.3936170212765957</v>
      </c>
      <c r="AD59" s="5">
        <f>(Y59-Q59)/Q59</f>
        <v>-0.66666666666666663</v>
      </c>
      <c r="AE59" s="4">
        <v>0.59</v>
      </c>
      <c r="AF59" s="4">
        <v>0.94899999999999995</v>
      </c>
      <c r="AG59" s="4">
        <v>7.5999999999999998E-2</v>
      </c>
      <c r="AH59" s="4">
        <v>0.03</v>
      </c>
      <c r="AI59" s="4">
        <v>0.76</v>
      </c>
      <c r="AJ59" s="5">
        <f>(AE59-R59)/R59</f>
        <v>0.11320754716981121</v>
      </c>
      <c r="AK59" s="5">
        <f>(AF59-S59)/S59</f>
        <v>8.705612829324165E-2</v>
      </c>
      <c r="AL59" s="5">
        <f>(AG59-T59)/T59</f>
        <v>-0.36666666666666664</v>
      </c>
      <c r="AM59" s="5">
        <f>(AH59-U59)/U59</f>
        <v>-0.5</v>
      </c>
      <c r="AN59" s="9">
        <v>0.51900000000000002</v>
      </c>
      <c r="AO59" s="9">
        <v>0.93899999999999995</v>
      </c>
      <c r="AP59" s="9">
        <v>0.112</v>
      </c>
      <c r="AQ59" s="9">
        <v>5.7000000000000002E-2</v>
      </c>
      <c r="AR59" s="9">
        <v>0.51900000000000002</v>
      </c>
      <c r="AS59" s="9">
        <v>0.93899999999999995</v>
      </c>
      <c r="AT59" s="9">
        <v>0.112</v>
      </c>
      <c r="AU59" s="9">
        <v>5.7000000000000002E-2</v>
      </c>
      <c r="AV59" s="4">
        <v>0.57299999999999995</v>
      </c>
      <c r="AW59" s="4">
        <v>0.97899999999999998</v>
      </c>
      <c r="AX59" s="4">
        <v>6.5000000000000002E-2</v>
      </c>
      <c r="AY59" s="4">
        <v>3.3000000000000002E-2</v>
      </c>
      <c r="AZ59" s="9">
        <v>0.82399999999999995</v>
      </c>
      <c r="BA59" s="6">
        <f>(AV59-AN59)/AN59</f>
        <v>0.10404624277456635</v>
      </c>
      <c r="BB59" s="6">
        <f>(AW59-AO59)/AO59</f>
        <v>4.2598509052183216E-2</v>
      </c>
      <c r="BC59" s="6">
        <f>(AX59-AP59)/AP59</f>
        <v>-0.41964285714285715</v>
      </c>
      <c r="BD59" s="6">
        <f>(AY59-AQ59)/AQ59</f>
        <v>-0.42105263157894735</v>
      </c>
      <c r="BE59" s="4">
        <v>0.57299999999999995</v>
      </c>
      <c r="BF59" s="4">
        <v>0.97899999999999998</v>
      </c>
      <c r="BG59" s="4">
        <v>6.5000000000000002E-2</v>
      </c>
      <c r="BH59" s="4">
        <v>3.3000000000000002E-2</v>
      </c>
      <c r="BI59" s="9">
        <v>0.82399999999999995</v>
      </c>
      <c r="BJ59" s="5">
        <f>(BE59-AN59)/AN59</f>
        <v>0.10404624277456635</v>
      </c>
      <c r="BK59" s="5">
        <f>(BF59-AO59)/AO59</f>
        <v>4.2598509052183216E-2</v>
      </c>
      <c r="BL59" s="5">
        <f>(BG59-AP59)/AP59</f>
        <v>-0.41964285714285715</v>
      </c>
      <c r="BM59" s="5">
        <f>(BH59-AQ59)/AQ59</f>
        <v>-0.42105263157894735</v>
      </c>
      <c r="BN59" s="9">
        <v>0.57499999999999996</v>
      </c>
      <c r="BO59" s="9">
        <v>0.436</v>
      </c>
      <c r="BP59" s="9">
        <v>0.33900000000000002</v>
      </c>
      <c r="BQ59" s="9">
        <v>0.32700000000000001</v>
      </c>
      <c r="BR59" s="5">
        <f>(BN59-AR59)/AR59</f>
        <v>0.10789980732177251</v>
      </c>
      <c r="BS59" s="5">
        <f>(BO59-AS59)/AS59</f>
        <v>-0.53567625133120333</v>
      </c>
      <c r="BT59" s="5">
        <f>(BP59-AT59)/AT59</f>
        <v>2.0267857142857144</v>
      </c>
      <c r="BU59" s="5">
        <f>(BQ59-AU59)/AU59</f>
        <v>4.7368421052631584</v>
      </c>
      <c r="BV59" s="4">
        <f>(BN59-BE59)/BE59</f>
        <v>3.490401396160562E-3</v>
      </c>
      <c r="BW59" s="4">
        <f>(BO59-BF59)/BF59</f>
        <v>-0.55464759959141974</v>
      </c>
      <c r="BX59" s="4">
        <f>(BP59-BG59)/BG59</f>
        <v>4.2153846153846155</v>
      </c>
      <c r="BY59" s="4">
        <f>(BQ59-BH59)/BH59</f>
        <v>8.9090909090909101</v>
      </c>
      <c r="BZ59" s="4">
        <v>0.59599999999999997</v>
      </c>
      <c r="CA59" s="4">
        <v>0.98799999999999999</v>
      </c>
      <c r="CB59" s="4">
        <v>0.05</v>
      </c>
      <c r="CC59" s="4">
        <v>0.02</v>
      </c>
      <c r="CD59" s="4">
        <f>(BZ59-AR59)/AR59</f>
        <v>0.14836223506743729</v>
      </c>
      <c r="CE59" s="4">
        <f>(CA59-AS59)/AS59</f>
        <v>5.2183173588924436E-2</v>
      </c>
      <c r="CF59" s="4">
        <f>(CB59-AT59)/AT59</f>
        <v>-0.5535714285714286</v>
      </c>
      <c r="CG59" s="4">
        <f>(CC59-AU59)/AU59</f>
        <v>-0.64912280701754388</v>
      </c>
      <c r="CH59" s="4">
        <f>(BZ59-BN59)/BN59</f>
        <v>3.652173913043482E-2</v>
      </c>
      <c r="CI59" s="4">
        <f>(CA59-BO59)/BO59</f>
        <v>1.2660550458715598</v>
      </c>
      <c r="CJ59" s="4">
        <f>(CB59-BP59)/BP59</f>
        <v>-0.85250737463126847</v>
      </c>
      <c r="CK59" s="4">
        <f>(CC59-BQ59)/BQ59</f>
        <v>-0.9388379204892966</v>
      </c>
      <c r="CL59" s="4">
        <v>0.77400000000000002</v>
      </c>
      <c r="CM59" s="4">
        <v>0.217</v>
      </c>
      <c r="CN59" s="4">
        <f>CL59/CM59</f>
        <v>3.5668202764976962</v>
      </c>
    </row>
    <row r="60" spans="1:92" x14ac:dyDescent="0.3">
      <c r="A60" s="1" t="s">
        <v>61</v>
      </c>
      <c r="B60">
        <v>357</v>
      </c>
      <c r="C60">
        <v>64</v>
      </c>
      <c r="D60">
        <v>5</v>
      </c>
      <c r="E60">
        <v>4</v>
      </c>
      <c r="F60">
        <v>4</v>
      </c>
      <c r="G60" s="3" t="s">
        <v>1</v>
      </c>
      <c r="H60" s="4">
        <v>12.22</v>
      </c>
      <c r="I60" s="4">
        <v>2.68</v>
      </c>
      <c r="J60" s="4">
        <v>16.690000000000001</v>
      </c>
      <c r="K60" s="4">
        <v>3.2</v>
      </c>
      <c r="L60" s="4">
        <f>(H60-I60)/(H60+I60)</f>
        <v>0.64026845637583896</v>
      </c>
      <c r="M60" s="10">
        <f>(J60-K60)/(J60+K60)</f>
        <v>0.67823026646556062</v>
      </c>
      <c r="N60" s="4">
        <v>0.19</v>
      </c>
      <c r="O60" s="4">
        <v>0.54</v>
      </c>
      <c r="P60" s="4">
        <v>6.5000000000000002E-2</v>
      </c>
      <c r="Q60" s="4">
        <v>0.08</v>
      </c>
      <c r="R60" s="4">
        <v>0.26</v>
      </c>
      <c r="S60" s="4">
        <v>0.13500000000000001</v>
      </c>
      <c r="T60" s="4">
        <v>0.20599999999999999</v>
      </c>
      <c r="U60" s="4">
        <v>0.1</v>
      </c>
      <c r="V60" s="4">
        <v>0.3</v>
      </c>
      <c r="W60" s="4">
        <v>0.74299999999999999</v>
      </c>
      <c r="X60" s="4">
        <v>4.9000000000000002E-2</v>
      </c>
      <c r="Y60" s="4">
        <v>0.05</v>
      </c>
      <c r="Z60" s="9">
        <v>0.27500000000000002</v>
      </c>
      <c r="AA60" s="5">
        <f>(V60-N60)/N60</f>
        <v>0.57894736842105254</v>
      </c>
      <c r="AB60" s="5">
        <f>(W60-O60)/O60</f>
        <v>0.37592592592592583</v>
      </c>
      <c r="AC60" s="5">
        <f>(X60-P60)/P60</f>
        <v>-0.24615384615384614</v>
      </c>
      <c r="AD60" s="5">
        <f>(Y60-Q60)/Q60</f>
        <v>-0.375</v>
      </c>
      <c r="AE60" s="4">
        <v>0.4</v>
      </c>
      <c r="AF60" s="4">
        <v>0.124</v>
      </c>
      <c r="AG60" s="4">
        <v>0.20699999999999999</v>
      </c>
      <c r="AH60" s="4">
        <v>0.06</v>
      </c>
      <c r="AI60" s="4">
        <v>0.253</v>
      </c>
      <c r="AJ60" s="5">
        <f>(AE60-R60)/R60</f>
        <v>0.53846153846153855</v>
      </c>
      <c r="AK60" s="5">
        <f>(AF60-S60)/S60</f>
        <v>-8.1481481481481544E-2</v>
      </c>
      <c r="AL60" s="5">
        <f>(AG60-T60)/T60</f>
        <v>4.8543689320388397E-3</v>
      </c>
      <c r="AM60" s="5">
        <f>(AH60-U60)/U60</f>
        <v>-0.40000000000000008</v>
      </c>
      <c r="AN60" s="9">
        <v>0.188</v>
      </c>
      <c r="AO60" s="9">
        <v>0.54</v>
      </c>
      <c r="AP60" s="9">
        <v>6.4000000000000001E-2</v>
      </c>
      <c r="AQ60" s="9">
        <v>7.9000000000000001E-2</v>
      </c>
      <c r="AR60" s="9">
        <v>0.188</v>
      </c>
      <c r="AS60" s="9">
        <v>0.54</v>
      </c>
      <c r="AT60" s="9">
        <v>6.4000000000000001E-2</v>
      </c>
      <c r="AU60" s="9">
        <v>7.9000000000000001E-2</v>
      </c>
      <c r="AV60" s="4">
        <v>0.23499999999999999</v>
      </c>
      <c r="AW60" s="4">
        <v>0.61299999999999999</v>
      </c>
      <c r="AX60" s="4">
        <v>5.8000000000000003E-2</v>
      </c>
      <c r="AY60" s="4">
        <v>7.8E-2</v>
      </c>
      <c r="AZ60" s="9">
        <v>0.72499999999999998</v>
      </c>
      <c r="BA60" s="6">
        <f>(AV60-AN60)/AN60</f>
        <v>0.24999999999999992</v>
      </c>
      <c r="BB60" s="6">
        <f>(AW60-AO60)/AO60</f>
        <v>0.1351851851851851</v>
      </c>
      <c r="BC60" s="6">
        <f>(AX60-AP60)/AP60</f>
        <v>-9.3749999999999972E-2</v>
      </c>
      <c r="BD60" s="6">
        <f>(AY60-AQ60)/AQ60</f>
        <v>-1.2658227848101278E-2</v>
      </c>
      <c r="BE60" s="4">
        <v>0.23499999999999999</v>
      </c>
      <c r="BF60" s="4">
        <v>0.61299999999999999</v>
      </c>
      <c r="BG60" s="4">
        <v>5.8000000000000003E-2</v>
      </c>
      <c r="BH60" s="4">
        <v>7.8E-2</v>
      </c>
      <c r="BI60" s="9">
        <v>0.72499999999999998</v>
      </c>
      <c r="BJ60" s="5">
        <f>(BE60-AN60)/AN60</f>
        <v>0.24999999999999992</v>
      </c>
      <c r="BK60" s="5">
        <f>(BF60-AO60)/AO60</f>
        <v>0.1351851851851851</v>
      </c>
      <c r="BL60" s="5">
        <f>(BG60-AP60)/AP60</f>
        <v>-9.3749999999999972E-2</v>
      </c>
      <c r="BM60" s="5">
        <f>(BH60-AQ60)/AQ60</f>
        <v>-1.2658227848101278E-2</v>
      </c>
      <c r="BN60" s="9">
        <v>0.23200000000000001</v>
      </c>
      <c r="BO60" s="9">
        <v>0.51700000000000002</v>
      </c>
      <c r="BP60" s="9">
        <v>6.5000000000000002E-2</v>
      </c>
      <c r="BQ60" s="9">
        <v>0.16800000000000001</v>
      </c>
      <c r="BR60" s="5">
        <f>(BN60-AR60)/AR60</f>
        <v>0.23404255319148942</v>
      </c>
      <c r="BS60" s="5">
        <f>(BO60-AS60)/AS60</f>
        <v>-4.2592592592592626E-2</v>
      </c>
      <c r="BT60" s="5">
        <f>(BP60-AT60)/AT60</f>
        <v>1.5625000000000014E-2</v>
      </c>
      <c r="BU60" s="5">
        <f>(BQ60-AU60)/AU60</f>
        <v>1.1265822784810127</v>
      </c>
      <c r="BV60" s="4">
        <f>(BN60-BE60)/BE60</f>
        <v>-1.2765957446808404E-2</v>
      </c>
      <c r="BW60" s="4">
        <f>(BO60-BF60)/BF60</f>
        <v>-0.15660685154975526</v>
      </c>
      <c r="BX60" s="4">
        <f>(BP60-BG60)/BG60</f>
        <v>0.12068965517241377</v>
      </c>
      <c r="BY60" s="4">
        <f>(BQ60-BH60)/BH60</f>
        <v>1.153846153846154</v>
      </c>
      <c r="BZ60" s="4">
        <v>0.26900000000000002</v>
      </c>
      <c r="CA60" s="4">
        <v>0.65900000000000003</v>
      </c>
      <c r="CB60" s="4">
        <v>5.5E-2</v>
      </c>
      <c r="CC60" s="4">
        <v>6.8000000000000005E-2</v>
      </c>
      <c r="CD60" s="4">
        <f>(BZ60-AR60)/AR60</f>
        <v>0.43085106382978733</v>
      </c>
      <c r="CE60" s="4">
        <f>(CA60-AS60)/AS60</f>
        <v>0.22037037037037036</v>
      </c>
      <c r="CF60" s="4">
        <f>(CB60-AT60)/AT60</f>
        <v>-0.140625</v>
      </c>
      <c r="CG60" s="4">
        <f>(CC60-AU60)/AU60</f>
        <v>-0.13924050632911386</v>
      </c>
      <c r="CH60" s="4">
        <f>(BZ60-BN60)/BN60</f>
        <v>0.15948275862068967</v>
      </c>
      <c r="CI60" s="4">
        <f>(CA60-BO60)/BO60</f>
        <v>0.27466150870406192</v>
      </c>
      <c r="CJ60" s="4">
        <f>(CB60-BP60)/BP60</f>
        <v>-0.15384615384615388</v>
      </c>
      <c r="CK60" s="4">
        <f>(CC60-BQ60)/BQ60</f>
        <v>-0.59523809523809523</v>
      </c>
      <c r="CL60" s="4">
        <v>0.65500000000000003</v>
      </c>
      <c r="CM60" s="4">
        <v>0.35</v>
      </c>
      <c r="CN60" s="4">
        <f>CL60/CM60</f>
        <v>1.8714285714285717</v>
      </c>
    </row>
    <row r="61" spans="1:92" x14ac:dyDescent="0.3">
      <c r="A61" s="1" t="s">
        <v>62</v>
      </c>
      <c r="B61">
        <v>373</v>
      </c>
      <c r="C61">
        <v>19</v>
      </c>
      <c r="D61">
        <v>4</v>
      </c>
      <c r="E61">
        <v>3</v>
      </c>
      <c r="F61">
        <v>3</v>
      </c>
      <c r="G61" s="3" t="s">
        <v>9</v>
      </c>
      <c r="H61" s="4">
        <v>5.42</v>
      </c>
      <c r="I61" s="4">
        <v>0.92</v>
      </c>
      <c r="J61" s="4">
        <v>7.06</v>
      </c>
      <c r="K61" s="4">
        <v>1.1000000000000001</v>
      </c>
      <c r="L61" s="4">
        <f>(H61-I61)/(H61+I61)</f>
        <v>0.70977917981072558</v>
      </c>
      <c r="M61" s="10">
        <f>(J61-K61)/(J61+K61)</f>
        <v>0.73039215686274495</v>
      </c>
      <c r="N61" s="4">
        <v>0.28999999999999998</v>
      </c>
      <c r="O61" s="4">
        <v>0.72499999999999998</v>
      </c>
      <c r="P61" s="4">
        <v>9.6000000000000002E-2</v>
      </c>
      <c r="Q61" s="4">
        <v>0.08</v>
      </c>
      <c r="R61" s="4">
        <v>0.37</v>
      </c>
      <c r="S61" s="4">
        <v>0.67200000000000004</v>
      </c>
      <c r="T61" s="4">
        <v>0.13500000000000001</v>
      </c>
      <c r="U61" s="4">
        <v>0.09</v>
      </c>
      <c r="V61" s="4">
        <v>0.39</v>
      </c>
      <c r="W61" s="4">
        <v>0.84599999999999997</v>
      </c>
      <c r="X61" s="4">
        <v>7.1999999999999995E-2</v>
      </c>
      <c r="Y61" s="4">
        <v>0.05</v>
      </c>
      <c r="Z61" s="9">
        <v>0.43</v>
      </c>
      <c r="AA61" s="5">
        <f>(V61-N61)/N61</f>
        <v>0.34482758620689669</v>
      </c>
      <c r="AB61" s="5">
        <f>(W61-O61)/O61</f>
        <v>0.16689655172413792</v>
      </c>
      <c r="AC61" s="5">
        <f>(X61-P61)/P61</f>
        <v>-0.25000000000000006</v>
      </c>
      <c r="AD61" s="5">
        <f>(Y61-Q61)/Q61</f>
        <v>-0.375</v>
      </c>
      <c r="AE61" s="4">
        <v>0.5</v>
      </c>
      <c r="AF61" s="4">
        <v>0.78200000000000003</v>
      </c>
      <c r="AG61" s="4">
        <v>0.11</v>
      </c>
      <c r="AH61" s="4">
        <v>0.05</v>
      </c>
      <c r="AI61" s="4">
        <v>0.45</v>
      </c>
      <c r="AJ61" s="5">
        <f>(AE61-R61)/R61</f>
        <v>0.35135135135135137</v>
      </c>
      <c r="AK61" s="5">
        <f>(AF61-S61)/S61</f>
        <v>0.16369047619047616</v>
      </c>
      <c r="AL61" s="5">
        <f>(AG61-T61)/T61</f>
        <v>-0.18518518518518523</v>
      </c>
      <c r="AM61" s="5">
        <f>(AH61-U61)/U61</f>
        <v>-0.44444444444444442</v>
      </c>
      <c r="AN61" s="9">
        <v>0.36099999999999999</v>
      </c>
      <c r="AO61" s="9">
        <v>0.85</v>
      </c>
      <c r="AP61" s="9">
        <v>0.114</v>
      </c>
      <c r="AQ61" s="9">
        <v>9.1999999999999998E-2</v>
      </c>
      <c r="AR61" s="9">
        <v>0.36099999999999999</v>
      </c>
      <c r="AS61" s="9">
        <v>0.85</v>
      </c>
      <c r="AT61" s="9">
        <v>0.114</v>
      </c>
      <c r="AU61" s="9">
        <v>9.1999999999999998E-2</v>
      </c>
      <c r="AV61" s="4">
        <v>0.44700000000000001</v>
      </c>
      <c r="AW61" s="4">
        <v>0.92800000000000005</v>
      </c>
      <c r="AX61" s="4">
        <v>7.9000000000000001E-2</v>
      </c>
      <c r="AY61" s="4">
        <v>6.9000000000000006E-2</v>
      </c>
      <c r="AZ61" s="9">
        <v>0.60699999999999998</v>
      </c>
      <c r="BA61" s="6">
        <f>(AV61-AN61)/AN61</f>
        <v>0.23822714681440449</v>
      </c>
      <c r="BB61" s="6">
        <f>(AW61-AO61)/AO61</f>
        <v>9.1764705882353026E-2</v>
      </c>
      <c r="BC61" s="6">
        <f>(AX61-AP61)/AP61</f>
        <v>-0.30701754385964913</v>
      </c>
      <c r="BD61" s="6">
        <f>(AY61-AQ61)/AQ61</f>
        <v>-0.24999999999999992</v>
      </c>
      <c r="BE61" s="4">
        <v>0.44700000000000001</v>
      </c>
      <c r="BF61" s="4">
        <v>0.92800000000000005</v>
      </c>
      <c r="BG61" s="4">
        <v>7.9000000000000001E-2</v>
      </c>
      <c r="BH61" s="4">
        <v>6.9000000000000006E-2</v>
      </c>
      <c r="BI61" s="9">
        <v>0.60699999999999998</v>
      </c>
      <c r="BJ61" s="5">
        <f>(BE61-AN61)/AN61</f>
        <v>0.23822714681440449</v>
      </c>
      <c r="BK61" s="5">
        <f>(BF61-AO61)/AO61</f>
        <v>9.1764705882353026E-2</v>
      </c>
      <c r="BL61" s="5">
        <f>(BG61-AP61)/AP61</f>
        <v>-0.30701754385964913</v>
      </c>
      <c r="BM61" s="5">
        <f>(BH61-AQ61)/AQ61</f>
        <v>-0.24999999999999992</v>
      </c>
      <c r="BN61" s="9">
        <v>0.437</v>
      </c>
      <c r="BO61" s="9">
        <v>0.47899999999999998</v>
      </c>
      <c r="BP61" s="9">
        <v>0.21299999999999999</v>
      </c>
      <c r="BQ61" s="9">
        <v>0.245</v>
      </c>
      <c r="BR61" s="5">
        <f>(BN61-AR61)/AR61</f>
        <v>0.21052631578947373</v>
      </c>
      <c r="BS61" s="5">
        <f>(BO61-AS61)/AS61</f>
        <v>-0.43647058823529411</v>
      </c>
      <c r="BT61" s="5">
        <f>(BP61-AT61)/AT61</f>
        <v>0.86842105263157887</v>
      </c>
      <c r="BU61" s="5">
        <f>(BQ61-AU61)/AU61</f>
        <v>1.6630434782608696</v>
      </c>
      <c r="BV61" s="4">
        <f>(BN61-BE61)/BE61</f>
        <v>-2.2371364653243866E-2</v>
      </c>
      <c r="BW61" s="4">
        <f>(BO61-BF61)/BF61</f>
        <v>-0.48383620689655177</v>
      </c>
      <c r="BX61" s="4">
        <f>(BP61-BG61)/BG61</f>
        <v>1.6962025316455698</v>
      </c>
      <c r="BY61" s="4">
        <f>(BQ61-BH61)/BH61</f>
        <v>2.5507246376811592</v>
      </c>
      <c r="BZ61" s="4">
        <v>0.49</v>
      </c>
      <c r="CA61" s="4">
        <v>0.94</v>
      </c>
      <c r="CB61" s="4">
        <v>7.1999999999999995E-2</v>
      </c>
      <c r="CC61" s="4">
        <v>5.8999999999999997E-2</v>
      </c>
      <c r="CD61" s="4">
        <f>(BZ61-AR61)/AR61</f>
        <v>0.35734072022160668</v>
      </c>
      <c r="CE61" s="4">
        <f>(CA61-AS61)/AS61</f>
        <v>0.10588235294117644</v>
      </c>
      <c r="CF61" s="4">
        <f>(CB61-AT61)/AT61</f>
        <v>-0.36842105263157904</v>
      </c>
      <c r="CG61" s="4">
        <f>(CC61-AU61)/AU61</f>
        <v>-0.35869565217391308</v>
      </c>
      <c r="CH61" s="4">
        <f>(BZ61-BN61)/BN61</f>
        <v>0.12128146453089243</v>
      </c>
      <c r="CI61" s="4">
        <f>(CA61-BO61)/BO61</f>
        <v>0.9624217118997912</v>
      </c>
      <c r="CJ61" s="4">
        <f>(CB61-BP61)/BP61</f>
        <v>-0.66197183098591561</v>
      </c>
      <c r="CK61" s="4">
        <f>(CC61-BQ61)/BQ61</f>
        <v>-0.75918367346938775</v>
      </c>
      <c r="CL61" s="4">
        <v>0.68600000000000005</v>
      </c>
      <c r="CM61" s="4">
        <v>0.39700000000000002</v>
      </c>
      <c r="CN61" s="4">
        <f>CL61/CM61</f>
        <v>1.7279596977329976</v>
      </c>
    </row>
    <row r="62" spans="1:92" x14ac:dyDescent="0.3">
      <c r="A62" s="1" t="s">
        <v>63</v>
      </c>
      <c r="B62">
        <v>195</v>
      </c>
      <c r="C62">
        <v>52</v>
      </c>
      <c r="D62">
        <v>5</v>
      </c>
      <c r="E62">
        <v>5</v>
      </c>
      <c r="F62">
        <v>3</v>
      </c>
      <c r="G62" s="3" t="s">
        <v>9</v>
      </c>
      <c r="H62" s="4">
        <v>6.11</v>
      </c>
      <c r="I62" s="4">
        <v>4.5</v>
      </c>
      <c r="J62" s="7">
        <v>6.11</v>
      </c>
      <c r="K62" s="7">
        <v>4.5</v>
      </c>
      <c r="L62" s="4">
        <f>(H62-I62)/(H62+I62)</f>
        <v>0.15174363807728561</v>
      </c>
      <c r="M62" s="7">
        <f>(J62-K62)/(J62+K62)</f>
        <v>0.15174363807728561</v>
      </c>
      <c r="N62" s="4">
        <v>0.12</v>
      </c>
      <c r="O62" s="4">
        <v>0.27800000000000002</v>
      </c>
      <c r="P62" s="4">
        <v>8.5999999999999993E-2</v>
      </c>
      <c r="Q62" s="4">
        <v>0.13</v>
      </c>
      <c r="R62" s="7">
        <v>0.12</v>
      </c>
      <c r="S62" s="7">
        <v>0.27800000000000002</v>
      </c>
      <c r="T62" s="7">
        <v>8.5999999999999993E-2</v>
      </c>
      <c r="U62" s="7">
        <v>0.13</v>
      </c>
      <c r="V62" s="4">
        <v>0.34</v>
      </c>
      <c r="W62" s="4">
        <v>0.71199999999999997</v>
      </c>
      <c r="X62" s="4">
        <v>5.3999999999999999E-2</v>
      </c>
      <c r="Y62" s="4">
        <v>0.06</v>
      </c>
      <c r="Z62" s="9">
        <v>0.111</v>
      </c>
      <c r="AA62" s="5">
        <f>(V62-N62)/N62</f>
        <v>1.8333333333333337</v>
      </c>
      <c r="AB62" s="5">
        <f>(W62-O62)/O62</f>
        <v>1.5611510791366903</v>
      </c>
      <c r="AC62" s="5">
        <f>(X62-P62)/P62</f>
        <v>-0.37209302325581389</v>
      </c>
      <c r="AD62" s="5">
        <f>(Y62-Q62)/Q62</f>
        <v>-0.53846153846153855</v>
      </c>
      <c r="AE62" s="7">
        <v>0.34</v>
      </c>
      <c r="AF62" s="7">
        <v>0.71199999999999997</v>
      </c>
      <c r="AG62" s="7">
        <v>5.3999999999999999E-2</v>
      </c>
      <c r="AH62" s="7">
        <v>0.06</v>
      </c>
      <c r="AI62" s="7">
        <v>0.111</v>
      </c>
      <c r="AJ62" s="5">
        <f>(AE62-R62)/R62</f>
        <v>1.8333333333333337</v>
      </c>
      <c r="AK62" s="5">
        <f>(AF62-S62)/S62</f>
        <v>1.5611510791366903</v>
      </c>
      <c r="AL62" s="5">
        <f>(AG62-T62)/T62</f>
        <v>-0.37209302325581389</v>
      </c>
      <c r="AM62" s="5">
        <f>(AH62-U62)/U62</f>
        <v>-0.53846153846153855</v>
      </c>
      <c r="AN62" s="9">
        <v>0.6</v>
      </c>
      <c r="AO62" s="9">
        <v>0.25</v>
      </c>
      <c r="AP62" s="9">
        <v>9.1999999999999998E-2</v>
      </c>
      <c r="AQ62" s="9">
        <v>0.125</v>
      </c>
      <c r="AR62" s="9">
        <v>0.6</v>
      </c>
      <c r="AS62" s="9">
        <v>0.25</v>
      </c>
      <c r="AT62" s="9">
        <v>9.1999999999999998E-2</v>
      </c>
      <c r="AU62" s="9">
        <v>0.125</v>
      </c>
      <c r="AV62" s="4">
        <v>0.17100000000000001</v>
      </c>
      <c r="AW62" s="4">
        <v>0.43099999999999999</v>
      </c>
      <c r="AX62" s="4">
        <v>0.08</v>
      </c>
      <c r="AY62" s="4">
        <v>0.115</v>
      </c>
      <c r="AZ62" s="9">
        <v>0.23699999999999999</v>
      </c>
      <c r="BA62" s="6">
        <f>(AV62-AN62)/AN62</f>
        <v>-0.71499999999999997</v>
      </c>
      <c r="BB62" s="6">
        <f>(AW62-AO62)/AO62</f>
        <v>0.72399999999999998</v>
      </c>
      <c r="BC62" s="6">
        <f>(AX62-AP62)/AP62</f>
        <v>-0.13043478260869562</v>
      </c>
      <c r="BD62" s="6">
        <f>(AY62-AQ62)/AQ62</f>
        <v>-7.999999999999996E-2</v>
      </c>
      <c r="BE62" s="4">
        <v>0.17100000000000001</v>
      </c>
      <c r="BF62" s="4">
        <v>0.43099999999999999</v>
      </c>
      <c r="BG62" s="4">
        <v>0.08</v>
      </c>
      <c r="BH62" s="4">
        <v>0.115</v>
      </c>
      <c r="BI62" s="9">
        <v>0.23699999999999999</v>
      </c>
      <c r="BJ62" s="5">
        <f>(BE62-AN62)/AN62</f>
        <v>-0.71499999999999997</v>
      </c>
      <c r="BK62" s="5">
        <f>(BF62-AO62)/AO62</f>
        <v>0.72399999999999998</v>
      </c>
      <c r="BL62" s="5">
        <f>(BG62-AP62)/AP62</f>
        <v>-0.13043478260869562</v>
      </c>
      <c r="BM62" s="5">
        <f>(BH62-AQ62)/AQ62</f>
        <v>-7.999999999999996E-2</v>
      </c>
      <c r="BN62" s="9">
        <v>0.16600000000000001</v>
      </c>
      <c r="BO62" s="9">
        <v>0.42499999999999999</v>
      </c>
      <c r="BP62" s="9">
        <v>8.1000000000000003E-2</v>
      </c>
      <c r="BQ62" s="9">
        <v>0.121</v>
      </c>
      <c r="BR62" s="5">
        <f>(BN62-AR62)/AR62</f>
        <v>-0.72333333333333327</v>
      </c>
      <c r="BS62" s="5">
        <f>(BO62-AS62)/AS62</f>
        <v>0.7</v>
      </c>
      <c r="BT62" s="5">
        <f>(BP62-AT62)/AT62</f>
        <v>-0.11956521739130431</v>
      </c>
      <c r="BU62" s="5">
        <f>(BQ62-AU62)/AU62</f>
        <v>-3.2000000000000028E-2</v>
      </c>
      <c r="BV62" s="4">
        <f>(BN62-BE62)/BE62</f>
        <v>-2.9239766081871368E-2</v>
      </c>
      <c r="BW62" s="4">
        <f>(BO62-BF62)/BF62</f>
        <v>-1.3921113689095141E-2</v>
      </c>
      <c r="BX62" s="4">
        <f>(BP62-BG62)/BG62</f>
        <v>1.2500000000000011E-2</v>
      </c>
      <c r="BY62" s="4">
        <f>(BQ62-BH62)/BH62</f>
        <v>5.2173913043478182E-2</v>
      </c>
      <c r="BZ62" s="4">
        <v>0.28199999999999997</v>
      </c>
      <c r="CA62" s="4">
        <v>0.57299999999999995</v>
      </c>
      <c r="CB62" s="4">
        <v>6.9000000000000006E-2</v>
      </c>
      <c r="CC62" s="4">
        <v>9.4E-2</v>
      </c>
      <c r="CD62" s="4">
        <f>(BZ62-AR62)/AR62</f>
        <v>-0.53</v>
      </c>
      <c r="CE62" s="4">
        <f>(CA62-AS62)/AS62</f>
        <v>1.2919999999999998</v>
      </c>
      <c r="CF62" s="4">
        <f>(CB62-AT62)/AT62</f>
        <v>-0.24999999999999992</v>
      </c>
      <c r="CG62" s="4">
        <f>(CC62-AU62)/AU62</f>
        <v>-0.248</v>
      </c>
      <c r="CH62" s="4">
        <f>(BZ62-BN62)/BN62</f>
        <v>0.69879518072289126</v>
      </c>
      <c r="CI62" s="4">
        <f>(CA62-BO62)/BO62</f>
        <v>0.34823529411764698</v>
      </c>
      <c r="CJ62" s="4">
        <f>(CB62-BP62)/BP62</f>
        <v>-0.14814814814814811</v>
      </c>
      <c r="CK62" s="4">
        <f>(CC62-BQ62)/BQ62</f>
        <v>-0.22314049586776857</v>
      </c>
      <c r="CL62" s="4">
        <v>0.314</v>
      </c>
      <c r="CM62" s="4">
        <v>0.71599999999999997</v>
      </c>
      <c r="CN62" s="4">
        <f>CL62/CM62</f>
        <v>0.43854748603351956</v>
      </c>
    </row>
    <row r="63" spans="1:92" x14ac:dyDescent="0.3">
      <c r="A63" s="1" t="s">
        <v>64</v>
      </c>
      <c r="B63">
        <v>487</v>
      </c>
      <c r="C63">
        <v>50</v>
      </c>
      <c r="D63">
        <v>11</v>
      </c>
      <c r="E63">
        <v>5</v>
      </c>
      <c r="F63">
        <v>5</v>
      </c>
      <c r="G63" s="3" t="s">
        <v>1</v>
      </c>
      <c r="H63" s="4">
        <v>9.56</v>
      </c>
      <c r="I63" s="4">
        <v>3.08</v>
      </c>
      <c r="J63" s="7">
        <v>11.6</v>
      </c>
      <c r="K63" s="7">
        <v>4.21</v>
      </c>
      <c r="L63" s="4">
        <f>(H63-I63)/(H63+I63)</f>
        <v>0.51265822784810122</v>
      </c>
      <c r="M63" s="7">
        <f>(J63-K63)/(J63+K63)</f>
        <v>0.46742567994939915</v>
      </c>
      <c r="N63" s="4">
        <v>0.19</v>
      </c>
      <c r="O63" s="4">
        <v>0.79</v>
      </c>
      <c r="P63" s="4">
        <v>8.5999999999999993E-2</v>
      </c>
      <c r="Q63" s="4">
        <v>0.1</v>
      </c>
      <c r="R63" s="7">
        <v>0.23</v>
      </c>
      <c r="S63" s="7">
        <v>0.378</v>
      </c>
      <c r="T63" s="7">
        <v>0.121</v>
      </c>
      <c r="U63" s="7">
        <v>0.13</v>
      </c>
      <c r="V63" s="4">
        <v>0.37</v>
      </c>
      <c r="W63" s="4">
        <v>0.86</v>
      </c>
      <c r="X63" s="4">
        <v>4.3999999999999997E-2</v>
      </c>
      <c r="Y63" s="4">
        <v>0.04</v>
      </c>
      <c r="Z63" s="9">
        <v>0.154</v>
      </c>
      <c r="AA63" s="5">
        <f>(V63-N63)/N63</f>
        <v>0.94736842105263153</v>
      </c>
      <c r="AB63" s="5">
        <f>(W63-O63)/O63</f>
        <v>8.8607594936708792E-2</v>
      </c>
      <c r="AC63" s="5">
        <f>(X63-P63)/P63</f>
        <v>-0.48837209302325579</v>
      </c>
      <c r="AD63" s="5">
        <f>(Y63-Q63)/Q63</f>
        <v>-0.6</v>
      </c>
      <c r="AE63" s="7">
        <v>0.46</v>
      </c>
      <c r="AF63" s="7">
        <v>0.73599999999999999</v>
      </c>
      <c r="AG63" s="7">
        <v>7.8E-2</v>
      </c>
      <c r="AH63" s="7">
        <v>0.04</v>
      </c>
      <c r="AI63" s="7">
        <v>0.154</v>
      </c>
      <c r="AJ63" s="8">
        <f>(AE63-R63)/R63</f>
        <v>1</v>
      </c>
      <c r="AK63" s="8">
        <f>(AF63-S63)/S63</f>
        <v>0.94708994708994709</v>
      </c>
      <c r="AL63" s="8">
        <f>(AG63-T63)/T63</f>
        <v>-0.35537190082644626</v>
      </c>
      <c r="AM63" s="8">
        <f>(AH63-U63)/U63</f>
        <v>-0.69230769230769229</v>
      </c>
      <c r="AN63" s="7">
        <v>0.2</v>
      </c>
      <c r="AO63" s="7">
        <v>0.754</v>
      </c>
      <c r="AP63" s="7">
        <v>9.8000000000000004E-2</v>
      </c>
      <c r="AQ63" s="7">
        <v>0.126</v>
      </c>
      <c r="AR63" s="9">
        <v>0.16700000000000001</v>
      </c>
      <c r="AS63" s="9">
        <v>0.48499999999999999</v>
      </c>
      <c r="AT63" s="9">
        <v>0.08</v>
      </c>
      <c r="AU63" s="9">
        <v>9.7000000000000003E-2</v>
      </c>
      <c r="AV63" s="7">
        <v>0.44800000000000001</v>
      </c>
      <c r="AW63" s="7">
        <v>0.88</v>
      </c>
      <c r="AX63" s="7">
        <v>6.9000000000000006E-2</v>
      </c>
      <c r="AY63" s="7">
        <v>9.6000000000000002E-2</v>
      </c>
      <c r="AZ63" s="7">
        <v>0.40600000000000003</v>
      </c>
      <c r="BA63" s="8">
        <f>(AV63-AN63)/AN63</f>
        <v>1.24</v>
      </c>
      <c r="BB63" s="8">
        <f>(AW63-AO63)/AO63</f>
        <v>0.16710875331564987</v>
      </c>
      <c r="BC63" s="8">
        <f>(AX63-AP63)/AP63</f>
        <v>-0.29591836734693877</v>
      </c>
      <c r="BD63" s="8">
        <f>(AY63-AQ63)/AQ63</f>
        <v>-0.23809523809523808</v>
      </c>
      <c r="BE63" s="4">
        <v>0.28699999999999998</v>
      </c>
      <c r="BF63" s="4">
        <v>0.72699999999999998</v>
      </c>
      <c r="BG63" s="4">
        <v>5.8000000000000003E-2</v>
      </c>
      <c r="BH63" s="4">
        <v>8.2000000000000003E-2</v>
      </c>
      <c r="BI63" s="9">
        <v>0.36499999999999999</v>
      </c>
      <c r="BJ63" s="5">
        <f>(BE63-AN63)/AN63</f>
        <v>0.43499999999999983</v>
      </c>
      <c r="BK63" s="5">
        <f>(BF63-AO63)/AO63</f>
        <v>-3.5809018567639288E-2</v>
      </c>
      <c r="BL63" s="5">
        <f>(BG63-AP63)/AP63</f>
        <v>-0.40816326530612246</v>
      </c>
      <c r="BM63" s="5">
        <f>(BH63-AQ63)/AQ63</f>
        <v>-0.34920634920634919</v>
      </c>
      <c r="BN63" s="9">
        <v>0.26300000000000001</v>
      </c>
      <c r="BO63" s="9">
        <v>0.66300000000000003</v>
      </c>
      <c r="BP63" s="9">
        <v>6.4000000000000001E-2</v>
      </c>
      <c r="BQ63" s="9">
        <v>0.15</v>
      </c>
      <c r="BR63" s="5">
        <f>(BN63-AR63)/AR63</f>
        <v>0.57485029940119758</v>
      </c>
      <c r="BS63" s="5">
        <f>(BO63-AS63)/AS63</f>
        <v>0.3670103092783506</v>
      </c>
      <c r="BT63" s="5">
        <f>(BP63-AT63)/AT63</f>
        <v>-0.2</v>
      </c>
      <c r="BU63" s="5">
        <f>(BQ63-AU63)/AU63</f>
        <v>0.54639175257731953</v>
      </c>
      <c r="BV63" s="4">
        <f>(BN63-BE63)/BE63</f>
        <v>-8.3623693379790823E-2</v>
      </c>
      <c r="BW63" s="4">
        <f>(BO63-BF63)/BF63</f>
        <v>-8.8033012379642298E-2</v>
      </c>
      <c r="BX63" s="4">
        <f>(BP63-BG63)/BG63</f>
        <v>0.10344827586206894</v>
      </c>
      <c r="BY63" s="4">
        <f>(BQ63-BH63)/BH63</f>
        <v>0.82926829268292668</v>
      </c>
      <c r="BZ63" s="4">
        <v>0.28000000000000003</v>
      </c>
      <c r="CA63" s="4">
        <v>0.76800000000000002</v>
      </c>
      <c r="CB63" s="4">
        <v>5.2999999999999999E-2</v>
      </c>
      <c r="CC63" s="4">
        <v>7.4999999999999997E-2</v>
      </c>
      <c r="CD63" s="4">
        <f>(BZ63-AR63)/AR63</f>
        <v>0.67664670658682646</v>
      </c>
      <c r="CE63" s="4">
        <f>(CA63-AS63)/AS63</f>
        <v>0.58350515463917529</v>
      </c>
      <c r="CF63" s="4">
        <f>(CB63-AT63)/AT63</f>
        <v>-0.33750000000000002</v>
      </c>
      <c r="CG63" s="4">
        <f>(CC63-AU63)/AU63</f>
        <v>-0.22680412371134026</v>
      </c>
      <c r="CH63" s="4">
        <f>(BZ63-BN63)/BN63</f>
        <v>6.463878326996203E-2</v>
      </c>
      <c r="CI63" s="4">
        <f>(CA63-BO63)/BO63</f>
        <v>0.15837104072398187</v>
      </c>
      <c r="CJ63" s="4">
        <f>(CB63-BP63)/BP63</f>
        <v>-0.17187500000000003</v>
      </c>
      <c r="CK63" s="4">
        <f>(CC63-BQ63)/BQ63</f>
        <v>-0.5</v>
      </c>
      <c r="CL63" s="4">
        <v>0.503</v>
      </c>
      <c r="CM63" s="4">
        <v>0.60799999999999998</v>
      </c>
      <c r="CN63" s="4">
        <f>CL63/CM63</f>
        <v>0.82730263157894735</v>
      </c>
    </row>
    <row r="64" spans="1:92" x14ac:dyDescent="0.3">
      <c r="A64" s="1" t="s">
        <v>65</v>
      </c>
      <c r="B64">
        <v>8137</v>
      </c>
      <c r="C64">
        <v>14</v>
      </c>
      <c r="D64">
        <v>10</v>
      </c>
      <c r="E64">
        <v>2</v>
      </c>
      <c r="F64">
        <v>2</v>
      </c>
      <c r="G64" s="3" t="s">
        <v>9</v>
      </c>
      <c r="H64" s="4">
        <v>5.45</v>
      </c>
      <c r="I64" s="4">
        <v>1.62</v>
      </c>
      <c r="J64" s="7">
        <v>5.69</v>
      </c>
      <c r="K64" s="7">
        <v>1.61</v>
      </c>
      <c r="L64" s="4">
        <f>(H64-I64)/(H64+I64)</f>
        <v>0.54172560113154167</v>
      </c>
      <c r="M64" s="7">
        <f>(J64-K64)/(J64+K64)</f>
        <v>0.55890410958904102</v>
      </c>
      <c r="N64" s="4">
        <v>0.39</v>
      </c>
      <c r="O64" s="4">
        <v>0.499</v>
      </c>
      <c r="P64" s="4">
        <v>0.21199999999999999</v>
      </c>
      <c r="Q64" s="4">
        <v>0.14000000000000001</v>
      </c>
      <c r="R64" s="7">
        <v>0.41</v>
      </c>
      <c r="S64" s="7">
        <v>0.49199999999999999</v>
      </c>
      <c r="T64" s="7">
        <v>0.222</v>
      </c>
      <c r="U64" s="7">
        <v>0.14000000000000001</v>
      </c>
      <c r="V64" s="4">
        <v>0.54</v>
      </c>
      <c r="W64" s="4">
        <v>0.82699999999999996</v>
      </c>
      <c r="X64" s="4">
        <v>0.124</v>
      </c>
      <c r="Y64" s="4">
        <v>0.06</v>
      </c>
      <c r="Z64" s="9">
        <v>0.41</v>
      </c>
      <c r="AA64" s="5">
        <f>(V64-N64)/N64</f>
        <v>0.38461538461538464</v>
      </c>
      <c r="AB64" s="5">
        <f>(W64-O64)/O64</f>
        <v>0.65731462925851691</v>
      </c>
      <c r="AC64" s="5">
        <f>(X64-P64)/P64</f>
        <v>-0.41509433962264147</v>
      </c>
      <c r="AD64" s="5">
        <f>(Y64-Q64)/Q64</f>
        <v>-0.57142857142857151</v>
      </c>
      <c r="AE64" s="7">
        <v>0.55000000000000004</v>
      </c>
      <c r="AF64" s="7">
        <v>0.80700000000000005</v>
      </c>
      <c r="AG64" s="7">
        <v>0.13700000000000001</v>
      </c>
      <c r="AH64" s="7">
        <v>0.06</v>
      </c>
      <c r="AI64" s="7">
        <v>0.43</v>
      </c>
      <c r="AJ64" s="8">
        <f>(AE64-R64)/R64</f>
        <v>0.34146341463414653</v>
      </c>
      <c r="AK64" s="8">
        <f>(AF64-S64)/S64</f>
        <v>0.64024390243902451</v>
      </c>
      <c r="AL64" s="8">
        <f>(AG64-T64)/T64</f>
        <v>-0.38288288288288286</v>
      </c>
      <c r="AM64" s="8">
        <f>(AH64-U64)/U64</f>
        <v>-0.57142857142857151</v>
      </c>
      <c r="AN64" s="9">
        <v>0.44700000000000001</v>
      </c>
      <c r="AO64" s="9">
        <v>0.70399999999999996</v>
      </c>
      <c r="AP64" s="9">
        <v>0.248</v>
      </c>
      <c r="AQ64" s="9">
        <v>0.16300000000000001</v>
      </c>
      <c r="AR64" s="9">
        <v>0.33700000000000002</v>
      </c>
      <c r="AS64" s="9">
        <v>0.47599999999999998</v>
      </c>
      <c r="AT64" s="9">
        <v>0.19</v>
      </c>
      <c r="AU64" s="9">
        <v>0.13700000000000001</v>
      </c>
      <c r="AV64" s="4">
        <v>0.53</v>
      </c>
      <c r="AW64" s="4">
        <v>0.85499999999999998</v>
      </c>
      <c r="AX64" s="4">
        <v>0.17299999999999999</v>
      </c>
      <c r="AY64" s="4">
        <v>9.5000000000000001E-2</v>
      </c>
      <c r="AZ64" s="9">
        <v>0.53100000000000003</v>
      </c>
      <c r="BA64" s="6">
        <f>(AV64-AN64)/AN64</f>
        <v>0.18568232662192397</v>
      </c>
      <c r="BB64" s="6">
        <f>(AW64-AO64)/AO64</f>
        <v>0.21448863636363641</v>
      </c>
      <c r="BC64" s="6">
        <f>(AX64-AP64)/AP64</f>
        <v>-0.30241935483870974</v>
      </c>
      <c r="BD64" s="6">
        <f>(AY64-AQ64)/AQ64</f>
        <v>-0.41717791411042948</v>
      </c>
      <c r="BE64" s="4">
        <v>0.52900000000000003</v>
      </c>
      <c r="BF64" s="4">
        <v>0.80900000000000005</v>
      </c>
      <c r="BG64" s="4">
        <v>0.115</v>
      </c>
      <c r="BH64" s="4">
        <v>9.6000000000000002E-2</v>
      </c>
      <c r="BI64" s="9">
        <v>0.442</v>
      </c>
      <c r="BJ64" s="5">
        <f>(BE64-AN64)/AN64</f>
        <v>0.18344519015659957</v>
      </c>
      <c r="BK64" s="5">
        <f>(BF64-AO64)/AO64</f>
        <v>0.1491477272727274</v>
      </c>
      <c r="BL64" s="5">
        <f>(BG64-AP64)/AP64</f>
        <v>-0.53629032258064524</v>
      </c>
      <c r="BM64" s="5">
        <f>(BH64-AQ64)/AQ64</f>
        <v>-0.41104294478527609</v>
      </c>
      <c r="BN64" s="9">
        <v>0.52900000000000003</v>
      </c>
      <c r="BO64" s="9">
        <v>0.78400000000000003</v>
      </c>
      <c r="BP64" s="9">
        <v>0.122</v>
      </c>
      <c r="BQ64" s="9">
        <v>0.20100000000000001</v>
      </c>
      <c r="BR64" s="5">
        <f>(BN64-AR64)/AR64</f>
        <v>0.56973293768545996</v>
      </c>
      <c r="BS64" s="5">
        <f>(BO64-AS64)/AS64</f>
        <v>0.64705882352941191</v>
      </c>
      <c r="BT64" s="5">
        <f>(BP64-AT64)/AT64</f>
        <v>-0.35789473684210527</v>
      </c>
      <c r="BU64" s="5">
        <f>(BQ64-AU64)/AU64</f>
        <v>0.46715328467153283</v>
      </c>
      <c r="BV64" s="4">
        <f>(BN64-BE64)/BE64</f>
        <v>0</v>
      </c>
      <c r="BW64" s="4">
        <f>(BO64-BF64)/BF64</f>
        <v>-3.090234857849199E-2</v>
      </c>
      <c r="BX64" s="4">
        <f>(BP64-BG64)/BG64</f>
        <v>6.0869565217391237E-2</v>
      </c>
      <c r="BY64" s="4">
        <f>(BQ64-BH64)/BH64</f>
        <v>1.09375</v>
      </c>
      <c r="BZ64" s="4">
        <v>0.61599999999999999</v>
      </c>
      <c r="CA64" s="4">
        <v>0.91</v>
      </c>
      <c r="CB64" s="4">
        <v>7.9000000000000001E-2</v>
      </c>
      <c r="CC64" s="4">
        <v>4.4999999999999998E-2</v>
      </c>
      <c r="CD64" s="4">
        <f>(BZ64-AR64)/AR64</f>
        <v>0.82789317507418381</v>
      </c>
      <c r="CE64" s="4">
        <f>(CA64-AS64)/AS64</f>
        <v>0.91176470588235314</v>
      </c>
      <c r="CF64" s="4">
        <f>(CB64-AT64)/AT64</f>
        <v>-0.58421052631578951</v>
      </c>
      <c r="CG64" s="4">
        <f>(CC64-AU64)/AU64</f>
        <v>-0.67153284671532854</v>
      </c>
      <c r="CH64" s="4">
        <f>(BZ64-BN64)/BN64</f>
        <v>0.16446124763705097</v>
      </c>
      <c r="CI64" s="4">
        <f>(CA64-BO64)/BO64</f>
        <v>0.1607142857142857</v>
      </c>
      <c r="CJ64" s="4">
        <f>(CB64-BP64)/BP64</f>
        <v>-0.35245901639344263</v>
      </c>
      <c r="CK64" s="4">
        <f>(CC64-BQ64)/BQ64</f>
        <v>-0.77611940298507476</v>
      </c>
      <c r="CL64" s="4">
        <v>0.60699999999999998</v>
      </c>
      <c r="CM64" s="4">
        <v>0.44</v>
      </c>
      <c r="CN64" s="4">
        <f>CL64/CM64</f>
        <v>1.3795454545454544</v>
      </c>
    </row>
    <row r="65" spans="1:92" x14ac:dyDescent="0.3">
      <c r="A65" s="1" t="s">
        <v>66</v>
      </c>
      <c r="B65">
        <v>189</v>
      </c>
      <c r="C65">
        <v>50</v>
      </c>
      <c r="D65">
        <v>5</v>
      </c>
      <c r="E65">
        <v>5</v>
      </c>
      <c r="F65">
        <v>5</v>
      </c>
      <c r="G65" s="3" t="s">
        <v>1</v>
      </c>
      <c r="H65" s="4">
        <v>6.78</v>
      </c>
      <c r="I65" s="4">
        <v>4.6500000000000004</v>
      </c>
      <c r="J65" s="7">
        <v>7.72</v>
      </c>
      <c r="K65" s="7">
        <v>5.3</v>
      </c>
      <c r="L65" s="4">
        <f>(H65-I65)/(H65+I65)</f>
        <v>0.18635170603674539</v>
      </c>
      <c r="M65" s="7">
        <f>(J65-K65)/(J65+K65)</f>
        <v>0.18586789554531491</v>
      </c>
      <c r="N65" s="4">
        <v>0.14000000000000001</v>
      </c>
      <c r="O65" s="4">
        <v>0.20799999999999999</v>
      </c>
      <c r="P65" s="4">
        <v>0.112</v>
      </c>
      <c r="Q65" s="4">
        <v>0.16</v>
      </c>
      <c r="R65" s="7">
        <v>0.15</v>
      </c>
      <c r="S65" s="7">
        <v>7.0000000000000007E-2</v>
      </c>
      <c r="T65" s="7">
        <v>0.19900000000000001</v>
      </c>
      <c r="U65" s="7">
        <v>0.18</v>
      </c>
      <c r="V65" s="4">
        <v>0.43</v>
      </c>
      <c r="W65" s="4">
        <v>0.74099999999999999</v>
      </c>
      <c r="X65" s="4">
        <v>6.3E-2</v>
      </c>
      <c r="Y65" s="4">
        <v>0.05</v>
      </c>
      <c r="Z65" s="9">
        <v>9.8000000000000004E-2</v>
      </c>
      <c r="AA65" s="5">
        <f>(V65-N65)/N65</f>
        <v>2.0714285714285712</v>
      </c>
      <c r="AB65" s="5">
        <f>(W65-O65)/O65</f>
        <v>2.5625000000000004</v>
      </c>
      <c r="AC65" s="5">
        <f>(X65-P65)/P65</f>
        <v>-0.4375</v>
      </c>
      <c r="AD65" s="5">
        <f>(Y65-Q65)/Q65</f>
        <v>-0.6875</v>
      </c>
      <c r="AE65" s="7">
        <v>0.5</v>
      </c>
      <c r="AF65" s="7">
        <v>0.23599999999999999</v>
      </c>
      <c r="AG65" s="7">
        <v>0.17799999999999999</v>
      </c>
      <c r="AH65" s="7">
        <v>0.06</v>
      </c>
      <c r="AI65" s="7">
        <v>9.7000000000000003E-2</v>
      </c>
      <c r="AJ65" s="8">
        <f>(AE65-R65)/R65</f>
        <v>2.3333333333333335</v>
      </c>
      <c r="AK65" s="8">
        <f>(AF65-S65)/S65</f>
        <v>2.371428571428571</v>
      </c>
      <c r="AL65" s="8">
        <f>(AG65-T65)/T65</f>
        <v>-0.10552763819095486</v>
      </c>
      <c r="AM65" s="8">
        <f>(AH65-U65)/U65</f>
        <v>-0.66666666666666663</v>
      </c>
      <c r="AN65" s="7">
        <v>0.16300000000000001</v>
      </c>
      <c r="AO65" s="7">
        <v>0.33600000000000002</v>
      </c>
      <c r="AP65" s="7">
        <v>0.128</v>
      </c>
      <c r="AQ65" s="7">
        <v>0.187</v>
      </c>
      <c r="AR65" s="9">
        <v>0.38200000000000001</v>
      </c>
      <c r="AS65" s="9">
        <v>0.19900000000000001</v>
      </c>
      <c r="AT65" s="9">
        <v>0.11600000000000001</v>
      </c>
      <c r="AU65" s="9">
        <v>0.156</v>
      </c>
      <c r="AV65" s="7">
        <v>0.47399999999999998</v>
      </c>
      <c r="AW65" s="7">
        <v>0.84</v>
      </c>
      <c r="AX65" s="7">
        <v>6.3E-2</v>
      </c>
      <c r="AY65" s="7">
        <v>0.108</v>
      </c>
      <c r="AZ65" s="7">
        <v>0.161</v>
      </c>
      <c r="BA65" s="8">
        <f>(AV65-AN65)/AN65</f>
        <v>1.907975460122699</v>
      </c>
      <c r="BB65" s="8">
        <f>(AW65-AO65)/AO65</f>
        <v>1.5</v>
      </c>
      <c r="BC65" s="8">
        <f>(AX65-AP65)/AP65</f>
        <v>-0.5078125</v>
      </c>
      <c r="BD65" s="8">
        <f>(AY65-AQ65)/AQ65</f>
        <v>-0.42245989304812837</v>
      </c>
      <c r="BE65" s="4">
        <v>0.39</v>
      </c>
      <c r="BF65" s="4">
        <v>0.68600000000000005</v>
      </c>
      <c r="BG65" s="4">
        <v>7.2999999999999995E-2</v>
      </c>
      <c r="BH65" s="4">
        <v>9.1999999999999998E-2</v>
      </c>
      <c r="BI65" s="9">
        <v>0.154</v>
      </c>
      <c r="BJ65" s="5">
        <f>(BE65-AN65)/AN65</f>
        <v>1.3926380368098159</v>
      </c>
      <c r="BK65" s="5">
        <f>(BF65-AO65)/AO65</f>
        <v>1.0416666666666667</v>
      </c>
      <c r="BL65" s="5">
        <f>(BG65-AP65)/AP65</f>
        <v>-0.42968750000000006</v>
      </c>
      <c r="BM65" s="5">
        <f>(BH65-AQ65)/AQ65</f>
        <v>-0.50802139037433158</v>
      </c>
      <c r="BN65" s="9">
        <v>0.39700000000000002</v>
      </c>
      <c r="BO65" s="9">
        <v>0.68</v>
      </c>
      <c r="BP65" s="9">
        <v>7.2999999999999995E-2</v>
      </c>
      <c r="BQ65" s="9">
        <v>0.112</v>
      </c>
      <c r="BR65" s="5">
        <f>(BN65-AR65)/AR65</f>
        <v>3.9267015706806317E-2</v>
      </c>
      <c r="BS65" s="5">
        <f>(BO65-AS65)/AS65</f>
        <v>2.4170854271356785</v>
      </c>
      <c r="BT65" s="5">
        <f>(BP65-AT65)/AT65</f>
        <v>-0.37068965517241387</v>
      </c>
      <c r="BU65" s="5">
        <f>(BQ65-AU65)/AU65</f>
        <v>-0.28205128205128205</v>
      </c>
      <c r="BV65" s="4">
        <f>(BN65-BE65)/BE65</f>
        <v>1.7948717948717965E-2</v>
      </c>
      <c r="BW65" s="4">
        <f>(BO65-BF65)/BF65</f>
        <v>-8.7463556851312026E-3</v>
      </c>
      <c r="BX65" s="4">
        <f>(BP65-BG65)/BG65</f>
        <v>0</v>
      </c>
      <c r="BY65" s="4">
        <f>(BQ65-BH65)/BH65</f>
        <v>0.21739130434782614</v>
      </c>
      <c r="BZ65" s="4">
        <v>0.439</v>
      </c>
      <c r="CA65" s="4">
        <v>0.66300000000000003</v>
      </c>
      <c r="CB65" s="4">
        <v>7.4999999999999997E-2</v>
      </c>
      <c r="CC65" s="4">
        <v>8.8999999999999996E-2</v>
      </c>
      <c r="CD65" s="4">
        <f>(BZ65-AR65)/AR65</f>
        <v>0.14921465968586387</v>
      </c>
      <c r="CE65" s="4">
        <f>(CA65-AS65)/AS65</f>
        <v>2.3316582914572863</v>
      </c>
      <c r="CF65" s="4">
        <f>(CB65-AT65)/AT65</f>
        <v>-0.35344827586206901</v>
      </c>
      <c r="CG65" s="4">
        <f>(CC65-AU65)/AU65</f>
        <v>-0.42948717948717952</v>
      </c>
      <c r="CH65" s="4">
        <f>(BZ65-BN65)/BN65</f>
        <v>0.10579345088161204</v>
      </c>
      <c r="CI65" s="4">
        <f>(CA65-BO65)/BO65</f>
        <v>-2.5000000000000019E-2</v>
      </c>
      <c r="CJ65" s="4">
        <f>(CB65-BP65)/BP65</f>
        <v>2.7397260273972629E-2</v>
      </c>
      <c r="CK65" s="4">
        <f>(CC65-BQ65)/BQ65</f>
        <v>-0.2053571428571429</v>
      </c>
      <c r="CL65" s="4">
        <v>0.17499999999999999</v>
      </c>
      <c r="CM65" s="4">
        <v>0.82499999999999996</v>
      </c>
      <c r="CN65" s="4">
        <f>CL65/CM65</f>
        <v>0.21212121212121213</v>
      </c>
    </row>
    <row r="66" spans="1:92" x14ac:dyDescent="0.3">
      <c r="A66" s="1" t="s">
        <v>67</v>
      </c>
      <c r="B66">
        <v>468</v>
      </c>
      <c r="C66">
        <v>60</v>
      </c>
      <c r="D66">
        <v>5</v>
      </c>
      <c r="E66">
        <v>6</v>
      </c>
      <c r="F66">
        <v>6</v>
      </c>
      <c r="G66" s="3" t="s">
        <v>1</v>
      </c>
      <c r="H66" s="4">
        <v>10</v>
      </c>
      <c r="I66" s="4">
        <v>4.0999999999999996</v>
      </c>
      <c r="J66" s="4">
        <v>11.85</v>
      </c>
      <c r="K66" s="4">
        <v>4.99</v>
      </c>
      <c r="L66" s="4">
        <f>(H66-I66)/(H66+I66)</f>
        <v>0.41843971631205679</v>
      </c>
      <c r="M66" s="10">
        <f>(J66-K66)/(J66+K66)</f>
        <v>0.40736342042755341</v>
      </c>
      <c r="N66" s="4">
        <v>0.17</v>
      </c>
      <c r="O66" s="4">
        <v>0.30199999999999999</v>
      </c>
      <c r="P66" s="4">
        <v>0.10100000000000001</v>
      </c>
      <c r="Q66" s="4">
        <v>0.12</v>
      </c>
      <c r="R66" s="9">
        <v>0.2</v>
      </c>
      <c r="S66" s="9">
        <v>0.247</v>
      </c>
      <c r="T66" s="9">
        <v>0.129</v>
      </c>
      <c r="U66" s="9">
        <v>0.14000000000000001</v>
      </c>
      <c r="V66" s="4">
        <v>0.43</v>
      </c>
      <c r="W66" s="4">
        <v>0.752</v>
      </c>
      <c r="X66" s="4">
        <v>0.06</v>
      </c>
      <c r="Y66" s="4">
        <v>0.04</v>
      </c>
      <c r="Z66" s="9">
        <v>0.153</v>
      </c>
      <c r="AA66" s="5">
        <f>(V66-N66)/N66</f>
        <v>1.5294117647058822</v>
      </c>
      <c r="AB66" s="5">
        <f>(W66-O66)/O66</f>
        <v>1.490066225165563</v>
      </c>
      <c r="AC66" s="5">
        <f>(X66-P66)/P66</f>
        <v>-0.40594059405940602</v>
      </c>
      <c r="AD66" s="5">
        <f>(Y66-Q66)/Q66</f>
        <v>-0.66666666666666663</v>
      </c>
      <c r="AE66" s="4">
        <v>0.51</v>
      </c>
      <c r="AF66" s="4">
        <v>0.63500000000000001</v>
      </c>
      <c r="AG66" s="4">
        <v>8.8999999999999996E-2</v>
      </c>
      <c r="AH66" s="4">
        <v>0.05</v>
      </c>
      <c r="AI66" s="9">
        <v>0.156</v>
      </c>
      <c r="AJ66" s="5">
        <f>(AE66-R66)/R66</f>
        <v>1.5499999999999998</v>
      </c>
      <c r="AK66" s="5">
        <f>(AF66-S66)/S66</f>
        <v>1.57085020242915</v>
      </c>
      <c r="AL66" s="5">
        <f>(AG66-T66)/T66</f>
        <v>-0.31007751937984501</v>
      </c>
      <c r="AM66" s="5">
        <f>(AH66-U66)/U66</f>
        <v>-0.6428571428571429</v>
      </c>
      <c r="AN66" s="9">
        <v>0.215</v>
      </c>
      <c r="AO66" s="9">
        <v>0.38</v>
      </c>
      <c r="AP66" s="9">
        <v>0.115</v>
      </c>
      <c r="AQ66" s="9">
        <v>0.14799999999999999</v>
      </c>
      <c r="AR66" s="9">
        <v>0.13</v>
      </c>
      <c r="AS66" s="9">
        <v>0.33100000000000002</v>
      </c>
      <c r="AT66" s="9">
        <v>9.5000000000000001E-2</v>
      </c>
      <c r="AU66" s="9">
        <v>0.123</v>
      </c>
      <c r="AV66" s="4">
        <v>0.46500000000000002</v>
      </c>
      <c r="AW66" s="4">
        <v>0.73599999999999999</v>
      </c>
      <c r="AX66" s="4">
        <v>7.4999999999999997E-2</v>
      </c>
      <c r="AY66" s="4">
        <v>0.10299999999999999</v>
      </c>
      <c r="AZ66" s="9">
        <v>0.315</v>
      </c>
      <c r="BA66" s="6">
        <f>(AV66-AN66)/AN66</f>
        <v>1.1627906976744187</v>
      </c>
      <c r="BB66" s="6">
        <f>(AW66-AO66)/AO66</f>
        <v>0.93684210526315781</v>
      </c>
      <c r="BC66" s="6">
        <f>(AX66-AP66)/AP66</f>
        <v>-0.34782608695652178</v>
      </c>
      <c r="BD66" s="6">
        <f>(AY66-AQ66)/AQ66</f>
        <v>-0.30405405405405406</v>
      </c>
      <c r="BE66" s="4">
        <v>0.376</v>
      </c>
      <c r="BF66" s="4">
        <v>0.64700000000000002</v>
      </c>
      <c r="BG66" s="4">
        <v>6.8000000000000005E-2</v>
      </c>
      <c r="BH66" s="4">
        <v>9.0999999999999998E-2</v>
      </c>
      <c r="BI66" s="9">
        <v>0.30499999999999999</v>
      </c>
      <c r="BJ66" s="5">
        <f>(BE66-AN66)/AN66</f>
        <v>0.74883720930232556</v>
      </c>
      <c r="BK66" s="5">
        <f>(BF66-AO66)/AO66</f>
        <v>0.7026315789473685</v>
      </c>
      <c r="BL66" s="5">
        <f>(BG66-AP66)/AP66</f>
        <v>-0.40869565217391302</v>
      </c>
      <c r="BM66" s="5">
        <f>(BH66-AQ66)/AQ66</f>
        <v>-0.38513513513513514</v>
      </c>
      <c r="BN66" s="9">
        <v>0.38200000000000001</v>
      </c>
      <c r="BO66" s="9">
        <v>0.61399999999999999</v>
      </c>
      <c r="BP66" s="9">
        <v>7.0999999999999994E-2</v>
      </c>
      <c r="BQ66" s="9">
        <v>0.14399999999999999</v>
      </c>
      <c r="BR66" s="5">
        <f>(BN66-AR66)/AR66</f>
        <v>1.9384615384615385</v>
      </c>
      <c r="BS66" s="5">
        <f>(BO66-AS66)/AS66</f>
        <v>0.85498489425981861</v>
      </c>
      <c r="BT66" s="5">
        <f>(BP66-AT66)/AT66</f>
        <v>-0.25263157894736848</v>
      </c>
      <c r="BU66" s="5">
        <f>(BQ66-AU66)/AU66</f>
        <v>0.1707317073170731</v>
      </c>
      <c r="BV66" s="4">
        <f>(BN66-BE66)/BE66</f>
        <v>1.5957446808510651E-2</v>
      </c>
      <c r="BW66" s="4">
        <f>(BO66-BF66)/BF66</f>
        <v>-5.100463678516233E-2</v>
      </c>
      <c r="BX66" s="4">
        <f>(BP66-BG66)/BG66</f>
        <v>4.4117647058823359E-2</v>
      </c>
      <c r="BY66" s="4">
        <f>(BQ66-BH66)/BH66</f>
        <v>0.58241758241758235</v>
      </c>
      <c r="BZ66" s="4">
        <v>0.39300000000000002</v>
      </c>
      <c r="CA66" s="4">
        <v>0.71</v>
      </c>
      <c r="CB66" s="4">
        <v>6.0999999999999999E-2</v>
      </c>
      <c r="CC66" s="4">
        <v>8.3000000000000004E-2</v>
      </c>
      <c r="CD66" s="4">
        <f>(BZ66-AR66)/AR66</f>
        <v>2.023076923076923</v>
      </c>
      <c r="CE66" s="4">
        <f>(CA66-AS66)/AS66</f>
        <v>1.1450151057401809</v>
      </c>
      <c r="CF66" s="4">
        <f>(CB66-AT66)/AT66</f>
        <v>-0.35789473684210527</v>
      </c>
      <c r="CG66" s="4">
        <f>(CC66-AU66)/AU66</f>
        <v>-0.32520325203252026</v>
      </c>
      <c r="CH66" s="4">
        <f>(BZ66-BN66)/BN66</f>
        <v>2.8795811518324631E-2</v>
      </c>
      <c r="CI66" s="4">
        <f>(CA66-BO66)/BO66</f>
        <v>0.15635179153094458</v>
      </c>
      <c r="CJ66" s="4">
        <f>(CB66-BP66)/BP66</f>
        <v>-0.14084507042253516</v>
      </c>
      <c r="CK66" s="4">
        <f>(CC66-BQ66)/BQ66</f>
        <v>-0.42361111111111105</v>
      </c>
      <c r="CL66" s="4">
        <v>0.34699999999999998</v>
      </c>
      <c r="CM66" s="4">
        <v>0.69599999999999995</v>
      </c>
      <c r="CN66" s="4">
        <f>CL66/CM66</f>
        <v>0.49856321839080459</v>
      </c>
    </row>
    <row r="67" spans="1:92" x14ac:dyDescent="0.3">
      <c r="A67" s="1" t="s">
        <v>68</v>
      </c>
      <c r="B67">
        <v>422</v>
      </c>
      <c r="C67">
        <v>100</v>
      </c>
      <c r="D67">
        <v>5</v>
      </c>
      <c r="E67">
        <v>5</v>
      </c>
      <c r="F67">
        <v>5</v>
      </c>
      <c r="G67" s="3" t="s">
        <v>1</v>
      </c>
      <c r="H67" s="4">
        <v>10.29</v>
      </c>
      <c r="I67" s="4">
        <v>8.75</v>
      </c>
      <c r="J67" s="4">
        <v>11.5</v>
      </c>
      <c r="K67" s="4">
        <v>10.26</v>
      </c>
      <c r="L67" s="4">
        <f>(H67-I67)/(H67+I67)</f>
        <v>8.0882352941176433E-2</v>
      </c>
      <c r="M67" s="10">
        <f>(J67-K67)/(J67+K67)</f>
        <v>5.6985294117647071E-2</v>
      </c>
      <c r="N67" s="4">
        <v>0.1</v>
      </c>
      <c r="O67" s="4">
        <v>0.19700000000000001</v>
      </c>
      <c r="P67" s="4">
        <v>7.8E-2</v>
      </c>
      <c r="Q67" s="4">
        <v>0.13</v>
      </c>
      <c r="R67" s="9">
        <v>0.11</v>
      </c>
      <c r="S67" s="9">
        <v>0.129</v>
      </c>
      <c r="T67" s="9">
        <v>0.107</v>
      </c>
      <c r="U67" s="9">
        <v>0.15</v>
      </c>
      <c r="V67" s="4">
        <v>0.34</v>
      </c>
      <c r="W67" s="4">
        <v>0.69099999999999995</v>
      </c>
      <c r="X67" s="4">
        <v>4.8000000000000001E-2</v>
      </c>
      <c r="Y67" s="4">
        <v>0.05</v>
      </c>
      <c r="Z67" s="9">
        <v>9.6000000000000002E-2</v>
      </c>
      <c r="AA67" s="5">
        <f>(V67-N67)/N67</f>
        <v>2.4</v>
      </c>
      <c r="AB67" s="5">
        <f>(W67-O67)/O67</f>
        <v>2.5076142131979693</v>
      </c>
      <c r="AC67" s="5">
        <f>(X67-P67)/P67</f>
        <v>-0.38461538461538458</v>
      </c>
      <c r="AD67" s="5">
        <f>(Y67-Q67)/Q67</f>
        <v>-0.61538461538461542</v>
      </c>
      <c r="AE67" s="4">
        <v>0.39</v>
      </c>
      <c r="AF67" s="4">
        <v>0.47099999999999997</v>
      </c>
      <c r="AG67" s="4">
        <v>8.3000000000000004E-2</v>
      </c>
      <c r="AH67" s="4">
        <v>0.06</v>
      </c>
      <c r="AI67" s="9">
        <v>9.7000000000000003E-2</v>
      </c>
      <c r="AJ67" s="5">
        <f>(AE67-R67)/R67</f>
        <v>2.5454545454545459</v>
      </c>
      <c r="AK67" s="5">
        <f>(AF67-S67)/S67</f>
        <v>2.6511627906976742</v>
      </c>
      <c r="AL67" s="5">
        <f>(AG67-T67)/T67</f>
        <v>-0.22429906542056069</v>
      </c>
      <c r="AM67" s="5">
        <f>(AH67-U67)/U67</f>
        <v>-0.6</v>
      </c>
      <c r="AN67" s="7">
        <v>7.9000000000000001E-2</v>
      </c>
      <c r="AO67" s="7">
        <v>0.29599999999999999</v>
      </c>
      <c r="AP67" s="7">
        <v>8.2000000000000003E-2</v>
      </c>
      <c r="AQ67" s="7">
        <v>0.156</v>
      </c>
      <c r="AR67" s="4">
        <v>4.8000000000000001E-2</v>
      </c>
      <c r="AS67" s="4">
        <v>0.184</v>
      </c>
      <c r="AT67" s="4">
        <v>0.08</v>
      </c>
      <c r="AU67" s="4">
        <v>0.13100000000000001</v>
      </c>
      <c r="AV67" s="7">
        <v>0.28399999999999997</v>
      </c>
      <c r="AW67" s="7">
        <v>0.56499999999999995</v>
      </c>
      <c r="AX67" s="7">
        <v>6.5000000000000002E-2</v>
      </c>
      <c r="AY67" s="7">
        <v>0.13</v>
      </c>
      <c r="AZ67" s="7">
        <v>0.254</v>
      </c>
      <c r="BA67" s="8">
        <f>(AV67-AN67)/AN67</f>
        <v>2.5949367088607591</v>
      </c>
      <c r="BB67" s="8">
        <f>(AW67-AO67)/AO67</f>
        <v>0.90878378378378366</v>
      </c>
      <c r="BC67" s="8">
        <f>(AX67-AP67)/AP67</f>
        <v>-0.20731707317073172</v>
      </c>
      <c r="BD67" s="8">
        <f>(AY67-AQ67)/AQ67</f>
        <v>-0.16666666666666663</v>
      </c>
      <c r="BE67" s="4">
        <v>0.20100000000000001</v>
      </c>
      <c r="BF67" s="4">
        <v>0.44900000000000001</v>
      </c>
      <c r="BG67" s="4">
        <v>6.5000000000000002E-2</v>
      </c>
      <c r="BH67" s="4">
        <v>0.114</v>
      </c>
      <c r="BI67" s="9">
        <v>0.252</v>
      </c>
      <c r="BJ67" s="5">
        <f>(BE67-AN67)/AN67</f>
        <v>1.5443037974683547</v>
      </c>
      <c r="BK67" s="5">
        <f>(BF67-AO67)/AO67</f>
        <v>0.516891891891892</v>
      </c>
      <c r="BL67" s="5">
        <f>(BG67-AP67)/AP67</f>
        <v>-0.20731707317073172</v>
      </c>
      <c r="BM67" s="5">
        <f>(BH67-AQ67)/AQ67</f>
        <v>-0.26923076923076922</v>
      </c>
      <c r="BN67" s="9">
        <v>0.20100000000000001</v>
      </c>
      <c r="BO67" s="9">
        <v>0.436</v>
      </c>
      <c r="BP67" s="9">
        <v>6.6000000000000003E-2</v>
      </c>
      <c r="BQ67" s="9">
        <v>0.127</v>
      </c>
      <c r="BR67" s="5">
        <f>(BN67-AR67)/AR67</f>
        <v>3.1875000000000004</v>
      </c>
      <c r="BS67" s="5">
        <f>(BO67-AS67)/AS67</f>
        <v>1.3695652173913044</v>
      </c>
      <c r="BT67" s="5">
        <f>(BP67-AT67)/AT67</f>
        <v>-0.17499999999999999</v>
      </c>
      <c r="BU67" s="5">
        <f>(BQ67-AU67)/AU67</f>
        <v>-3.0534351145038195E-2</v>
      </c>
      <c r="BV67" s="4">
        <f>(BN67-BE67)/BE67</f>
        <v>0</v>
      </c>
      <c r="BW67" s="4">
        <f>(BO67-BF67)/BF67</f>
        <v>-2.8953229398663721E-2</v>
      </c>
      <c r="BX67" s="4">
        <f>(BP67-BG67)/BG67</f>
        <v>1.5384615384615398E-2</v>
      </c>
      <c r="BY67" s="4">
        <f>(BQ67-BH67)/BH67</f>
        <v>0.11403508771929823</v>
      </c>
      <c r="BZ67" s="4">
        <v>0.27100000000000002</v>
      </c>
      <c r="CA67" s="4">
        <v>0.54700000000000004</v>
      </c>
      <c r="CB67" s="4">
        <v>5.8999999999999997E-2</v>
      </c>
      <c r="CC67" s="4">
        <v>0.109</v>
      </c>
      <c r="CD67" s="4">
        <f>(BZ67-AR67)/AR67</f>
        <v>4.6458333333333339</v>
      </c>
      <c r="CE67" s="4">
        <f>(CA67-AS67)/AS67</f>
        <v>1.972826086956522</v>
      </c>
      <c r="CF67" s="4">
        <f>(CB67-AT67)/AT67</f>
        <v>-0.26250000000000007</v>
      </c>
      <c r="CG67" s="4">
        <f>(CC67-AU67)/AU67</f>
        <v>-0.16793893129770995</v>
      </c>
      <c r="CH67" s="4">
        <f>(BZ67-BN67)/BN67</f>
        <v>0.34825870646766172</v>
      </c>
      <c r="CI67" s="4">
        <f>(CA67-BO67)/BO67</f>
        <v>0.25458715596330284</v>
      </c>
      <c r="CJ67" s="4">
        <f>(CB67-BP67)/BP67</f>
        <v>-0.10606060606060615</v>
      </c>
      <c r="CK67" s="4">
        <f>(CC67-BQ67)/BQ67</f>
        <v>-0.14173228346456695</v>
      </c>
      <c r="CL67" s="4">
        <v>0.24</v>
      </c>
      <c r="CM67" s="4">
        <v>0.76</v>
      </c>
      <c r="CN67" s="4">
        <f>CL67/CM67</f>
        <v>0.31578947368421051</v>
      </c>
    </row>
    <row r="68" spans="1:92" x14ac:dyDescent="0.3">
      <c r="A68" s="1" t="s">
        <v>69</v>
      </c>
      <c r="B68">
        <v>1973</v>
      </c>
      <c r="C68">
        <v>28</v>
      </c>
      <c r="D68">
        <v>5</v>
      </c>
      <c r="E68">
        <v>4</v>
      </c>
      <c r="F68">
        <v>4</v>
      </c>
      <c r="G68" s="3" t="s">
        <v>9</v>
      </c>
      <c r="H68" s="4">
        <v>3.79</v>
      </c>
      <c r="I68" s="4">
        <v>1.93</v>
      </c>
      <c r="J68" s="4">
        <v>4.4400000000000004</v>
      </c>
      <c r="K68" s="4">
        <v>2.2799999999999998</v>
      </c>
      <c r="L68" s="4">
        <f>(H68-I68)/(H68+I68)</f>
        <v>0.32517482517482521</v>
      </c>
      <c r="M68" s="10">
        <f>(J68-K68)/(J68+K68)</f>
        <v>0.32142857142857151</v>
      </c>
      <c r="N68" s="4">
        <v>0.14000000000000001</v>
      </c>
      <c r="O68" s="4">
        <v>0.63</v>
      </c>
      <c r="P68" s="4">
        <v>9.5000000000000001E-2</v>
      </c>
      <c r="Q68" s="4">
        <v>0.1</v>
      </c>
      <c r="R68" s="9">
        <v>0.16</v>
      </c>
      <c r="S68" s="9">
        <v>0.36499999999999999</v>
      </c>
      <c r="T68" s="9">
        <v>0.113</v>
      </c>
      <c r="U68" s="9">
        <v>0.12</v>
      </c>
      <c r="V68" s="4">
        <v>0.31</v>
      </c>
      <c r="W68" s="4">
        <v>0.84499999999999997</v>
      </c>
      <c r="X68" s="4">
        <v>4.8000000000000001E-2</v>
      </c>
      <c r="Y68" s="4">
        <v>0.03</v>
      </c>
      <c r="Z68" s="9">
        <v>0.17199999999999999</v>
      </c>
      <c r="AA68" s="5">
        <f>(V68-N68)/N68</f>
        <v>1.214285714285714</v>
      </c>
      <c r="AB68" s="5">
        <f>(W68-O68)/O68</f>
        <v>0.34126984126984122</v>
      </c>
      <c r="AC68" s="5">
        <f>(X68-P68)/P68</f>
        <v>-0.49473684210526314</v>
      </c>
      <c r="AD68" s="5">
        <f>(Y68-Q68)/Q68</f>
        <v>-0.70000000000000007</v>
      </c>
      <c r="AE68" s="4">
        <v>0.36</v>
      </c>
      <c r="AF68" s="4">
        <v>0.81599999999999995</v>
      </c>
      <c r="AG68" s="4">
        <v>6.0999999999999999E-2</v>
      </c>
      <c r="AH68" s="4">
        <v>0.04</v>
      </c>
      <c r="AI68" s="9">
        <v>0.17199999999999999</v>
      </c>
      <c r="AJ68" s="5">
        <f>(AE68-R68)/R68</f>
        <v>1.2499999999999998</v>
      </c>
      <c r="AK68" s="5">
        <f>(AF68-S68)/S68</f>
        <v>1.2356164383561643</v>
      </c>
      <c r="AL68" s="5">
        <f>(AG68-T68)/T68</f>
        <v>-0.46017699115044253</v>
      </c>
      <c r="AM68" s="5">
        <f>(AH68-U68)/U68</f>
        <v>-0.66666666666666663</v>
      </c>
      <c r="AN68" s="9">
        <v>0.17899999999999999</v>
      </c>
      <c r="AO68" s="9">
        <v>0.41199999999999998</v>
      </c>
      <c r="AP68" s="9">
        <v>0.13100000000000001</v>
      </c>
      <c r="AQ68" s="9">
        <v>0.11700000000000001</v>
      </c>
      <c r="AR68" s="9">
        <v>0.127</v>
      </c>
      <c r="AS68" s="9">
        <v>0.38500000000000001</v>
      </c>
      <c r="AT68" s="9">
        <v>8.5000000000000006E-2</v>
      </c>
      <c r="AU68" s="9">
        <v>9.8000000000000004E-2</v>
      </c>
      <c r="AV68" s="4">
        <v>0.35199999999999998</v>
      </c>
      <c r="AW68" s="4">
        <v>0.79900000000000004</v>
      </c>
      <c r="AX68" s="4">
        <v>7.5999999999999998E-2</v>
      </c>
      <c r="AY68" s="4">
        <v>7.2999999999999995E-2</v>
      </c>
      <c r="AZ68" s="9">
        <v>0.30399999999999999</v>
      </c>
      <c r="BA68" s="6">
        <f>(AV68-AN68)/AN68</f>
        <v>0.96648044692737423</v>
      </c>
      <c r="BB68" s="6">
        <f>(AW68-AO68)/AO68</f>
        <v>0.93932038834951481</v>
      </c>
      <c r="BC68" s="6">
        <f>(AX68-AP68)/AP68</f>
        <v>-0.41984732824427484</v>
      </c>
      <c r="BD68" s="6">
        <f>(AY68-AQ68)/AQ68</f>
        <v>-0.37606837606837612</v>
      </c>
      <c r="BE68" s="4">
        <v>0.29299999999999998</v>
      </c>
      <c r="BF68" s="4">
        <v>0.76900000000000002</v>
      </c>
      <c r="BG68" s="4">
        <v>5.1999999999999998E-2</v>
      </c>
      <c r="BH68" s="4">
        <v>6.2E-2</v>
      </c>
      <c r="BI68" s="9">
        <v>0.29599999999999999</v>
      </c>
      <c r="BJ68" s="5">
        <f>(BE68-AN68)/AN68</f>
        <v>0.63687150837988826</v>
      </c>
      <c r="BK68" s="5">
        <f>(BF68-AO68)/AO68</f>
        <v>0.86650485436893221</v>
      </c>
      <c r="BL68" s="5">
        <f>(BG68-AP68)/AP68</f>
        <v>-0.60305343511450393</v>
      </c>
      <c r="BM68" s="5">
        <f>(BH68-AQ68)/AQ68</f>
        <v>-0.47008547008547014</v>
      </c>
      <c r="BN68" s="9">
        <v>0.27900000000000003</v>
      </c>
      <c r="BO68" s="9">
        <v>0.70899999999999996</v>
      </c>
      <c r="BP68" s="9">
        <v>5.8999999999999997E-2</v>
      </c>
      <c r="BQ68" s="9">
        <v>0.10100000000000001</v>
      </c>
      <c r="BR68" s="5">
        <f>(BN68-AR68)/AR68</f>
        <v>1.1968503937007875</v>
      </c>
      <c r="BS68" s="5">
        <f>(BO68-AS68)/AS68</f>
        <v>0.84155844155844139</v>
      </c>
      <c r="BT68" s="5">
        <f>(BP68-AT68)/AT68</f>
        <v>-0.30588235294117655</v>
      </c>
      <c r="BU68" s="5">
        <f>(BQ68-AU68)/AU68</f>
        <v>3.0612244897959211E-2</v>
      </c>
      <c r="BV68" s="4">
        <f>(BN68-BE68)/BE68</f>
        <v>-4.7781569965870165E-2</v>
      </c>
      <c r="BW68" s="4">
        <f>(BO68-BF68)/BF68</f>
        <v>-7.8023407022106694E-2</v>
      </c>
      <c r="BX68" s="4">
        <f>(BP68-BG68)/BG68</f>
        <v>0.13461538461538461</v>
      </c>
      <c r="BY68" s="4">
        <f>(BQ68-BH68)/BH68</f>
        <v>0.62903225806451624</v>
      </c>
      <c r="BZ68" s="4">
        <v>0.32400000000000001</v>
      </c>
      <c r="CA68" s="4">
        <v>0.83899999999999997</v>
      </c>
      <c r="CB68" s="4">
        <v>4.3999999999999997E-2</v>
      </c>
      <c r="CC68" s="4">
        <v>5.8000000000000003E-2</v>
      </c>
      <c r="CD68" s="4">
        <f>(BZ68-AR68)/AR68</f>
        <v>1.5511811023622049</v>
      </c>
      <c r="CE68" s="4">
        <f>(CA68-AS68)/AS68</f>
        <v>1.1792207792207792</v>
      </c>
      <c r="CF68" s="4">
        <f>(CB68-AT68)/AT68</f>
        <v>-0.48235294117647065</v>
      </c>
      <c r="CG68" s="4">
        <f>(CC68-AU68)/AU68</f>
        <v>-0.40816326530612246</v>
      </c>
      <c r="CH68" s="4">
        <f>(BZ68-BN68)/BN68</f>
        <v>0.1612903225806451</v>
      </c>
      <c r="CI68" s="4">
        <f>(CA68-BO68)/BO68</f>
        <v>0.1833568406205924</v>
      </c>
      <c r="CJ68" s="4">
        <f>(CB68-BP68)/BP68</f>
        <v>-0.25423728813559321</v>
      </c>
      <c r="CK68" s="4">
        <f>(CC68-BQ68)/BQ68</f>
        <v>-0.42574257425742573</v>
      </c>
      <c r="CL68" s="4">
        <v>0.28499999999999998</v>
      </c>
      <c r="CM68" s="4">
        <v>0.72499999999999998</v>
      </c>
      <c r="CN68" s="4">
        <f>CL68/CM68</f>
        <v>0.39310344827586202</v>
      </c>
    </row>
    <row r="69" spans="1:92" x14ac:dyDescent="0.3">
      <c r="A69" s="1" t="s">
        <v>70</v>
      </c>
      <c r="B69">
        <v>398</v>
      </c>
      <c r="C69">
        <v>16</v>
      </c>
      <c r="D69">
        <v>5</v>
      </c>
      <c r="E69">
        <v>4</v>
      </c>
      <c r="F69">
        <v>4</v>
      </c>
      <c r="G69" s="3" t="s">
        <v>9</v>
      </c>
      <c r="H69" s="4">
        <v>3.54</v>
      </c>
      <c r="I69" s="4">
        <v>1.1200000000000001</v>
      </c>
      <c r="J69" s="4">
        <v>4.3</v>
      </c>
      <c r="K69" s="4">
        <v>1.32</v>
      </c>
      <c r="L69" s="4">
        <f>(H69-I69)/(H69+I69)</f>
        <v>0.51931330472102999</v>
      </c>
      <c r="M69" s="10">
        <f>(J69-K69)/(J69+K69)</f>
        <v>0.53024911032028466</v>
      </c>
      <c r="N69" s="4">
        <v>0.22</v>
      </c>
      <c r="O69" s="4">
        <v>0.52</v>
      </c>
      <c r="P69" s="4">
        <v>0.125</v>
      </c>
      <c r="Q69" s="4">
        <v>0.12</v>
      </c>
      <c r="R69" s="9">
        <v>0.27</v>
      </c>
      <c r="S69" s="9">
        <v>0.47899999999999998</v>
      </c>
      <c r="T69" s="9">
        <v>0.159</v>
      </c>
      <c r="U69" s="9">
        <v>0.13</v>
      </c>
      <c r="V69" s="4">
        <v>0.44</v>
      </c>
      <c r="W69" s="4">
        <v>0.94599999999999995</v>
      </c>
      <c r="X69" s="4">
        <v>4.2000000000000003E-2</v>
      </c>
      <c r="Y69" s="4">
        <v>0.03</v>
      </c>
      <c r="Z69" s="9">
        <v>0.252</v>
      </c>
      <c r="AA69" s="5">
        <f>(V69-N69)/N69</f>
        <v>1</v>
      </c>
      <c r="AB69" s="5">
        <f>(W69-O69)/O69</f>
        <v>0.8192307692307691</v>
      </c>
      <c r="AC69" s="5">
        <f>(X69-P69)/P69</f>
        <v>-0.66399999999999992</v>
      </c>
      <c r="AD69" s="5">
        <f>(Y69-Q69)/Q69</f>
        <v>-0.75</v>
      </c>
      <c r="AE69" s="4">
        <v>0.52</v>
      </c>
      <c r="AF69" s="4">
        <v>0.879</v>
      </c>
      <c r="AG69" s="4">
        <v>7.5999999999999998E-2</v>
      </c>
      <c r="AH69" s="4">
        <v>0.03</v>
      </c>
      <c r="AI69" s="9">
        <v>0.26500000000000001</v>
      </c>
      <c r="AJ69" s="5">
        <f>(AE69-R69)/R69</f>
        <v>0.92592592592592582</v>
      </c>
      <c r="AK69" s="5">
        <f>(AF69-S69)/S69</f>
        <v>0.83507306889352828</v>
      </c>
      <c r="AL69" s="5">
        <f>(AG69-T69)/T69</f>
        <v>-0.5220125786163522</v>
      </c>
      <c r="AM69" s="5">
        <f>(AH69-U69)/U69</f>
        <v>-0.76923076923076927</v>
      </c>
      <c r="AN69" s="9">
        <v>0.35699999999999998</v>
      </c>
      <c r="AO69" s="9">
        <v>0.61</v>
      </c>
      <c r="AP69" s="9">
        <v>0.16900000000000001</v>
      </c>
      <c r="AQ69" s="9">
        <v>0.129</v>
      </c>
      <c r="AR69" s="9">
        <v>0.26300000000000001</v>
      </c>
      <c r="AS69" s="9">
        <v>0.49099999999999999</v>
      </c>
      <c r="AT69" s="9">
        <v>0.11799999999999999</v>
      </c>
      <c r="AU69" s="9">
        <v>0.108</v>
      </c>
      <c r="AV69" s="4">
        <v>0.498</v>
      </c>
      <c r="AW69" s="4">
        <v>0.94599999999999995</v>
      </c>
      <c r="AX69" s="4">
        <v>6.3E-2</v>
      </c>
      <c r="AY69" s="4">
        <v>5.8999999999999997E-2</v>
      </c>
      <c r="AZ69" s="9">
        <v>0.30499999999999999</v>
      </c>
      <c r="BA69" s="6">
        <f>(AV69-AN69)/AN69</f>
        <v>0.39495798319327735</v>
      </c>
      <c r="BB69" s="6">
        <f>(AW69-AO69)/AO69</f>
        <v>0.55081967213114746</v>
      </c>
      <c r="BC69" s="6">
        <f>(AX69-AP69)/AP69</f>
        <v>-0.62721893491124259</v>
      </c>
      <c r="BD69" s="6">
        <f>(AY69-AQ69)/AQ69</f>
        <v>-0.54263565891472876</v>
      </c>
      <c r="BE69" s="4">
        <v>0.441</v>
      </c>
      <c r="BF69" s="4">
        <v>0.92500000000000004</v>
      </c>
      <c r="BG69" s="4">
        <v>4.4999999999999998E-2</v>
      </c>
      <c r="BH69" s="4">
        <v>5.1999999999999998E-2</v>
      </c>
      <c r="BI69" s="9">
        <v>0.318</v>
      </c>
      <c r="BJ69" s="5">
        <f>(BE69-AN69)/AN69</f>
        <v>0.23529411764705888</v>
      </c>
      <c r="BK69" s="5">
        <f>(BF69-AO69)/AO69</f>
        <v>0.51639344262295095</v>
      </c>
      <c r="BL69" s="5">
        <f>(BG69-AP69)/AP69</f>
        <v>-0.73372781065088755</v>
      </c>
      <c r="BM69" s="5">
        <f>(BH69-AQ69)/AQ69</f>
        <v>-0.59689922480620161</v>
      </c>
      <c r="BN69" s="9">
        <v>0.43099999999999999</v>
      </c>
      <c r="BO69" s="9">
        <v>0.79900000000000004</v>
      </c>
      <c r="BP69" s="9">
        <v>7.3999999999999996E-2</v>
      </c>
      <c r="BQ69" s="9">
        <v>0.152</v>
      </c>
      <c r="BR69" s="5">
        <f>(BN69-AR69)/AR69</f>
        <v>0.6387832699619771</v>
      </c>
      <c r="BS69" s="5">
        <f>(BO69-AS69)/AS69</f>
        <v>0.62729124236252554</v>
      </c>
      <c r="BT69" s="5">
        <f>(BP69-AT69)/AT69</f>
        <v>-0.3728813559322034</v>
      </c>
      <c r="BU69" s="5">
        <f>(BQ69-AU69)/AU69</f>
        <v>0.40740740740740738</v>
      </c>
      <c r="BV69" s="4">
        <f>(BN69-BE69)/BE69</f>
        <v>-2.2675736961451268E-2</v>
      </c>
      <c r="BW69" s="4">
        <f>(BO69-BF69)/BF69</f>
        <v>-0.13621621621621621</v>
      </c>
      <c r="BX69" s="4">
        <f>(BP69-BG69)/BG69</f>
        <v>0.64444444444444438</v>
      </c>
      <c r="BY69" s="4">
        <f>(BQ69-BH69)/BH69</f>
        <v>1.9230769230769234</v>
      </c>
      <c r="BZ69" s="7">
        <v>0.40699999999999997</v>
      </c>
      <c r="CA69" s="7">
        <v>0.96299999999999997</v>
      </c>
      <c r="CB69" s="7">
        <v>3.2000000000000001E-2</v>
      </c>
      <c r="CC69" s="7">
        <v>0.04</v>
      </c>
      <c r="CD69" s="7">
        <f>(BZ69-AR69)/AR69</f>
        <v>0.54752851711026596</v>
      </c>
      <c r="CE69" s="7">
        <f>(CA69-AS69)/AS69</f>
        <v>0.9613034623217922</v>
      </c>
      <c r="CF69" s="7">
        <f>(CB69-AT69)/AT69</f>
        <v>-0.72881355932203384</v>
      </c>
      <c r="CG69" s="7">
        <f>(CC69-AU69)/AU69</f>
        <v>-0.62962962962962965</v>
      </c>
      <c r="CH69" s="4">
        <f>(BZ69-BN69)/BN69</f>
        <v>-5.5684454756380564E-2</v>
      </c>
      <c r="CI69" s="4">
        <f>(CA69-BO69)/BO69</f>
        <v>0.20525657071339162</v>
      </c>
      <c r="CJ69" s="4">
        <f>(CB69-BP69)/BP69</f>
        <v>-0.56756756756756754</v>
      </c>
      <c r="CK69" s="4">
        <f>(CC69-BQ69)/BQ69</f>
        <v>-0.73684210526315785</v>
      </c>
      <c r="CL69" s="7">
        <v>0.35499999999999998</v>
      </c>
      <c r="CM69" s="7">
        <v>0.67400000000000004</v>
      </c>
      <c r="CN69" s="7">
        <f>CL69/CM69</f>
        <v>0.52670623145400586</v>
      </c>
    </row>
    <row r="70" spans="1:92" x14ac:dyDescent="0.3">
      <c r="A70" s="1" t="s">
        <v>71</v>
      </c>
      <c r="B70">
        <v>410</v>
      </c>
      <c r="C70">
        <v>28</v>
      </c>
      <c r="D70">
        <v>5</v>
      </c>
      <c r="E70">
        <v>4</v>
      </c>
      <c r="F70">
        <v>4</v>
      </c>
      <c r="G70" s="3" t="s">
        <v>9</v>
      </c>
      <c r="H70" s="4">
        <v>5.93</v>
      </c>
      <c r="I70" s="4">
        <v>2.68</v>
      </c>
      <c r="J70" s="4">
        <v>7.04</v>
      </c>
      <c r="K70" s="4">
        <v>3.02</v>
      </c>
      <c r="L70" s="4">
        <f>(H70-I70)/(H70+I70)</f>
        <v>0.37746806039488962</v>
      </c>
      <c r="M70" s="10">
        <f>(J70-K70)/(J70+K70)</f>
        <v>0.39960238568588463</v>
      </c>
      <c r="N70" s="4">
        <v>0.21</v>
      </c>
      <c r="O70" s="4">
        <v>0.441</v>
      </c>
      <c r="P70" s="4">
        <v>0.11899999999999999</v>
      </c>
      <c r="Q70" s="4">
        <v>0.13</v>
      </c>
      <c r="R70" s="9">
        <v>0.25</v>
      </c>
      <c r="S70" s="9">
        <v>0.41099999999999998</v>
      </c>
      <c r="T70" s="9">
        <v>0.14399999999999999</v>
      </c>
      <c r="U70" s="9">
        <v>0.15</v>
      </c>
      <c r="V70" s="4">
        <v>0.43</v>
      </c>
      <c r="W70" s="4">
        <v>0.87</v>
      </c>
      <c r="X70" s="4">
        <v>5.7000000000000002E-2</v>
      </c>
      <c r="Y70" s="4">
        <v>0.04</v>
      </c>
      <c r="Z70" s="9">
        <v>0.20200000000000001</v>
      </c>
      <c r="AA70" s="5">
        <f>(V70-N70)/N70</f>
        <v>1.0476190476190477</v>
      </c>
      <c r="AB70" s="5">
        <f>(W70-O70)/O70</f>
        <v>0.97278911564625847</v>
      </c>
      <c r="AC70" s="5">
        <f>(X70-P70)/P70</f>
        <v>-0.52100840336134446</v>
      </c>
      <c r="AD70" s="5">
        <f>(Y70-Q70)/Q70</f>
        <v>-0.69230769230769229</v>
      </c>
      <c r="AE70" s="4">
        <v>0.5</v>
      </c>
      <c r="AF70" s="4">
        <v>0.81</v>
      </c>
      <c r="AG70" s="4">
        <v>8.2000000000000003E-2</v>
      </c>
      <c r="AH70" s="4">
        <v>0.05</v>
      </c>
      <c r="AI70" s="9">
        <v>0.21</v>
      </c>
      <c r="AJ70" s="5">
        <f>(AE70-R70)/R70</f>
        <v>1</v>
      </c>
      <c r="AK70" s="5">
        <f>(AF70-S70)/S70</f>
        <v>0.97080291970802945</v>
      </c>
      <c r="AL70" s="5">
        <f>(AG70-T70)/T70</f>
        <v>-0.43055555555555547</v>
      </c>
      <c r="AM70" s="5">
        <f>(AH70-U70)/U70</f>
        <v>-0.66666666666666663</v>
      </c>
      <c r="AN70" s="9">
        <v>0.312</v>
      </c>
      <c r="AO70" s="9">
        <v>0.5</v>
      </c>
      <c r="AP70" s="9">
        <v>0.153</v>
      </c>
      <c r="AQ70" s="9">
        <v>0.14599999999999999</v>
      </c>
      <c r="AR70" s="9">
        <v>0.224</v>
      </c>
      <c r="AS70" s="9">
        <v>0.42599999999999999</v>
      </c>
      <c r="AT70" s="9">
        <v>0.111</v>
      </c>
      <c r="AU70" s="9">
        <v>0.128</v>
      </c>
      <c r="AV70" s="4">
        <v>0.495</v>
      </c>
      <c r="AW70" s="4">
        <v>0.872</v>
      </c>
      <c r="AX70" s="4">
        <v>7.8E-2</v>
      </c>
      <c r="AY70" s="4">
        <v>8.2000000000000003E-2</v>
      </c>
      <c r="AZ70" s="9">
        <v>0.311</v>
      </c>
      <c r="BA70" s="6">
        <f>(AV70-AN70)/AN70</f>
        <v>0.58653846153846156</v>
      </c>
      <c r="BB70" s="6">
        <f>(AW70-AO70)/AO70</f>
        <v>0.74399999999999999</v>
      </c>
      <c r="BC70" s="6">
        <f>(AX70-AP70)/AP70</f>
        <v>-0.49019607843137253</v>
      </c>
      <c r="BD70" s="6">
        <f>(AY70-AQ70)/AQ70</f>
        <v>-0.43835616438356156</v>
      </c>
      <c r="BE70" s="4">
        <v>0.42599999999999999</v>
      </c>
      <c r="BF70" s="4">
        <v>0.82399999999999995</v>
      </c>
      <c r="BG70" s="4">
        <v>6.0999999999999999E-2</v>
      </c>
      <c r="BH70" s="4">
        <v>7.3999999999999996E-2</v>
      </c>
      <c r="BI70" s="9">
        <v>0.29799999999999999</v>
      </c>
      <c r="BJ70" s="5">
        <f>(BE70-AN70)/AN70</f>
        <v>0.36538461538461536</v>
      </c>
      <c r="BK70" s="5">
        <f>(BF70-AO70)/AO70</f>
        <v>0.64799999999999991</v>
      </c>
      <c r="BL70" s="5">
        <f>(BG70-AP70)/AP70</f>
        <v>-0.60130718954248363</v>
      </c>
      <c r="BM70" s="5">
        <f>(BH70-AQ70)/AQ70</f>
        <v>-0.49315068493150682</v>
      </c>
      <c r="BN70" s="9">
        <v>0.42499999999999999</v>
      </c>
      <c r="BO70" s="9">
        <v>0.76300000000000001</v>
      </c>
      <c r="BP70" s="9">
        <v>7.0999999999999994E-2</v>
      </c>
      <c r="BQ70" s="9">
        <v>0.153</v>
      </c>
      <c r="BR70" s="5">
        <f>(BN70-AR70)/AR70</f>
        <v>0.89732142857142849</v>
      </c>
      <c r="BS70" s="5">
        <f>(BO70-AS70)/AS70</f>
        <v>0.79107981220657286</v>
      </c>
      <c r="BT70" s="5">
        <f>(BP70-AT70)/AT70</f>
        <v>-0.3603603603603604</v>
      </c>
      <c r="BU70" s="5">
        <f>(BQ70-AU70)/AU70</f>
        <v>0.19531249999999994</v>
      </c>
      <c r="BV70" s="4">
        <f>(BN70-BE70)/BE70</f>
        <v>-2.3474178403755891E-3</v>
      </c>
      <c r="BW70" s="4">
        <f>(BO70-BF70)/BF70</f>
        <v>-7.4029126213592172E-2</v>
      </c>
      <c r="BX70" s="4">
        <f>(BP70-BG70)/BG70</f>
        <v>0.16393442622950813</v>
      </c>
      <c r="BY70" s="4">
        <f>(BQ70-BH70)/BH70</f>
        <v>1.0675675675675675</v>
      </c>
      <c r="BZ70" s="4">
        <v>0.45200000000000001</v>
      </c>
      <c r="CA70" s="4">
        <v>0.85</v>
      </c>
      <c r="CB70" s="4">
        <v>5.7000000000000002E-2</v>
      </c>
      <c r="CC70" s="4">
        <v>6.6000000000000003E-2</v>
      </c>
      <c r="CD70" s="4">
        <f>(BZ70-AR70)/AR70</f>
        <v>1.0178571428571428</v>
      </c>
      <c r="CE70" s="4">
        <f>(CA70-AS70)/AS70</f>
        <v>0.99530516431924887</v>
      </c>
      <c r="CF70" s="4">
        <f>(CB70-AT70)/AT70</f>
        <v>-0.48648648648648646</v>
      </c>
      <c r="CG70" s="4">
        <f>(CC70-AU70)/AU70</f>
        <v>-0.484375</v>
      </c>
      <c r="CH70" s="4">
        <f>(BZ70-BN70)/BN70</f>
        <v>6.3529411764705945E-2</v>
      </c>
      <c r="CI70" s="4">
        <f>(CA70-BO70)/BO70</f>
        <v>0.11402359108781122</v>
      </c>
      <c r="CJ70" s="4">
        <f>(CB70-BP70)/BP70</f>
        <v>-0.1971830985915492</v>
      </c>
      <c r="CK70" s="4">
        <f>(CC70-BQ70)/BQ70</f>
        <v>-0.56862745098039214</v>
      </c>
      <c r="CL70" s="4">
        <v>0.42799999999999999</v>
      </c>
      <c r="CM70" s="4">
        <v>0.60499999999999998</v>
      </c>
      <c r="CN70" s="4">
        <f>CL70/CM70</f>
        <v>0.70743801652892557</v>
      </c>
    </row>
    <row r="71" spans="1:92" x14ac:dyDescent="0.3">
      <c r="A71" s="1" t="s">
        <v>72</v>
      </c>
      <c r="B71">
        <v>181</v>
      </c>
      <c r="C71">
        <v>28</v>
      </c>
      <c r="D71">
        <v>5</v>
      </c>
      <c r="E71">
        <v>4</v>
      </c>
      <c r="F71">
        <v>4</v>
      </c>
      <c r="G71" s="3" t="s">
        <v>9</v>
      </c>
      <c r="H71" s="4">
        <v>5.68</v>
      </c>
      <c r="I71" s="4">
        <v>2.79</v>
      </c>
      <c r="J71" s="9">
        <v>6.31</v>
      </c>
      <c r="K71" s="9">
        <v>3.21</v>
      </c>
      <c r="L71" s="9">
        <f>(H71-I71)/(H71+I71)</f>
        <v>0.34120425029515938</v>
      </c>
      <c r="M71" s="9">
        <f>(J71-K71)/(J71+K71)</f>
        <v>0.32563025210084029</v>
      </c>
      <c r="N71" s="9">
        <v>0.2</v>
      </c>
      <c r="O71" s="9">
        <v>0.39800000000000002</v>
      </c>
      <c r="P71" s="9">
        <v>0.122</v>
      </c>
      <c r="Q71" s="9">
        <v>0.15</v>
      </c>
      <c r="R71" s="9">
        <v>0.23</v>
      </c>
      <c r="S71" s="9">
        <v>0.318</v>
      </c>
      <c r="T71" s="9">
        <v>0.155</v>
      </c>
      <c r="U71" s="9">
        <v>0.17</v>
      </c>
      <c r="V71" s="9">
        <v>0.44</v>
      </c>
      <c r="W71" s="9">
        <v>0.86599999999999999</v>
      </c>
      <c r="X71" s="9">
        <v>5.7000000000000002E-2</v>
      </c>
      <c r="Y71" s="9">
        <v>0.05</v>
      </c>
      <c r="Z71" s="9">
        <v>0.218</v>
      </c>
      <c r="AA71" s="6">
        <f>(V71-N71)/N71</f>
        <v>1.2</v>
      </c>
      <c r="AB71" s="6">
        <f>(W71-O71)/O71</f>
        <v>1.1758793969849244</v>
      </c>
      <c r="AC71" s="6">
        <f>(X71-P71)/P71</f>
        <v>-0.53278688524590168</v>
      </c>
      <c r="AD71" s="6">
        <f>(Y71-Q71)/Q71</f>
        <v>-0.66666666666666663</v>
      </c>
      <c r="AE71" s="9">
        <v>0.5</v>
      </c>
      <c r="AF71" s="9">
        <v>0.73699999999999999</v>
      </c>
      <c r="AG71" s="9">
        <v>9.5000000000000001E-2</v>
      </c>
      <c r="AH71" s="9">
        <v>0.05</v>
      </c>
      <c r="AI71" s="9">
        <v>0.22</v>
      </c>
      <c r="AJ71" s="6">
        <f>(AE71-R71)/R71</f>
        <v>1.173913043478261</v>
      </c>
      <c r="AK71" s="6">
        <f>(AF71-S71)/S71</f>
        <v>1.3176100628930816</v>
      </c>
      <c r="AL71" s="6">
        <f>(AG71-T71)/T71</f>
        <v>-0.38709677419354838</v>
      </c>
      <c r="AM71" s="6">
        <f>(AH71-U71)/U71</f>
        <v>-0.70588235294117652</v>
      </c>
      <c r="AN71" s="9">
        <v>0.24399999999999999</v>
      </c>
      <c r="AO71" s="9">
        <v>0.39900000000000002</v>
      </c>
      <c r="AP71" s="9">
        <v>0.161</v>
      </c>
      <c r="AQ71" s="9">
        <v>0.16500000000000001</v>
      </c>
      <c r="AR71" s="9">
        <v>0.187</v>
      </c>
      <c r="AS71" s="9">
        <v>0.36099999999999999</v>
      </c>
      <c r="AT71" s="9">
        <v>0.123</v>
      </c>
      <c r="AU71" s="9">
        <v>0.14099999999999999</v>
      </c>
      <c r="AV71" s="4">
        <v>0.51200000000000001</v>
      </c>
      <c r="AW71" s="4">
        <v>0.88200000000000001</v>
      </c>
      <c r="AX71" s="4">
        <v>7.0999999999999994E-2</v>
      </c>
      <c r="AY71" s="4">
        <v>0.09</v>
      </c>
      <c r="AZ71" s="9">
        <v>0.30399999999999999</v>
      </c>
      <c r="BA71" s="6">
        <f>(AV71-AN71)/AN71</f>
        <v>1.098360655737705</v>
      </c>
      <c r="BB71" s="6">
        <f>(AW71-AO71)/AO71</f>
        <v>1.2105263157894737</v>
      </c>
      <c r="BC71" s="6">
        <f>(AX71-AP71)/AP71</f>
        <v>-0.55900621118012428</v>
      </c>
      <c r="BD71" s="6">
        <f>(AY71-AQ71)/AQ71</f>
        <v>-0.45454545454545459</v>
      </c>
      <c r="BE71" s="4">
        <v>0.42399999999999999</v>
      </c>
      <c r="BF71" s="4">
        <v>0.83099999999999996</v>
      </c>
      <c r="BG71" s="4">
        <v>6.3E-2</v>
      </c>
      <c r="BH71" s="4">
        <v>0.08</v>
      </c>
      <c r="BI71" s="9">
        <v>0.315</v>
      </c>
      <c r="BJ71" s="5">
        <f>(BE71-AN71)/AN71</f>
        <v>0.73770491803278693</v>
      </c>
      <c r="BK71" s="5">
        <f>(BF71-AO71)/AO71</f>
        <v>1.082706766917293</v>
      </c>
      <c r="BL71" s="5">
        <f>(BG71-AP71)/AP71</f>
        <v>-0.60869565217391308</v>
      </c>
      <c r="BM71" s="5">
        <f>(BH71-AQ71)/AQ71</f>
        <v>-0.51515151515151514</v>
      </c>
      <c r="BN71" s="9">
        <v>0.43099999999999999</v>
      </c>
      <c r="BO71" s="9">
        <v>0.77900000000000003</v>
      </c>
      <c r="BP71" s="9">
        <v>7.1999999999999995E-2</v>
      </c>
      <c r="BQ71" s="9">
        <v>0.14799999999999999</v>
      </c>
      <c r="BR71" s="5">
        <f>(BN71-AR71)/AR71</f>
        <v>1.3048128342245988</v>
      </c>
      <c r="BS71" s="5">
        <f>(BO71-AS71)/AS71</f>
        <v>1.1578947368421053</v>
      </c>
      <c r="BT71" s="5">
        <f>(BP71-AT71)/AT71</f>
        <v>-0.41463414634146345</v>
      </c>
      <c r="BU71" s="5">
        <f>(BQ71-AU71)/AU71</f>
        <v>4.9645390070922037E-2</v>
      </c>
      <c r="BV71" s="4">
        <f>(BN71-BE71)/BE71</f>
        <v>1.6509433962264165E-2</v>
      </c>
      <c r="BW71" s="4">
        <f>(BO71-BF71)/BF71</f>
        <v>-6.2575210589650945E-2</v>
      </c>
      <c r="BX71" s="4">
        <f>(BP71-BG71)/BG71</f>
        <v>0.14285714285714277</v>
      </c>
      <c r="BY71" s="4">
        <f>(BQ71-BH71)/BH71</f>
        <v>0.84999999999999987</v>
      </c>
      <c r="BZ71" s="4">
        <v>0.432</v>
      </c>
      <c r="CA71" s="4">
        <v>0.85199999999999998</v>
      </c>
      <c r="CB71" s="4">
        <v>5.8999999999999997E-2</v>
      </c>
      <c r="CC71" s="4">
        <v>8.8999999999999996E-2</v>
      </c>
      <c r="CD71" s="4">
        <f>(BZ71-AR71)/AR71</f>
        <v>1.3101604278074865</v>
      </c>
      <c r="CE71" s="4">
        <f>(CA71-AS71)/AS71</f>
        <v>1.3601108033240998</v>
      </c>
      <c r="CF71" s="4">
        <f>(CB71-AT71)/AT71</f>
        <v>-0.52032520325203258</v>
      </c>
      <c r="CG71" s="4">
        <f>(CC71-AU71)/AU71</f>
        <v>-0.36879432624113473</v>
      </c>
      <c r="CH71" s="4">
        <f>(BZ71-BN71)/BN71</f>
        <v>2.32018561484919E-3</v>
      </c>
      <c r="CI71" s="4">
        <f>(CA71-BO71)/BO71</f>
        <v>9.3709884467265664E-2</v>
      </c>
      <c r="CJ71" s="4">
        <f>(CB71-BP71)/BP71</f>
        <v>-0.18055555555555552</v>
      </c>
      <c r="CK71" s="4">
        <f>(CC71-BQ71)/BQ71</f>
        <v>-0.39864864864864863</v>
      </c>
      <c r="CL71" s="4">
        <v>0.32600000000000001</v>
      </c>
      <c r="CM71" s="4">
        <v>0.71</v>
      </c>
      <c r="CN71" s="4">
        <f>CL71/CM71</f>
        <v>0.45915492957746484</v>
      </c>
    </row>
    <row r="72" spans="1:92" x14ac:dyDescent="0.3">
      <c r="A72" s="11" t="s">
        <v>73</v>
      </c>
      <c r="B72" s="12">
        <v>603</v>
      </c>
      <c r="C72" s="12">
        <v>17</v>
      </c>
      <c r="D72" s="12">
        <v>5</v>
      </c>
      <c r="E72" s="12">
        <v>1</v>
      </c>
      <c r="F72" s="12">
        <v>2</v>
      </c>
      <c r="G72" s="12" t="s">
        <v>43</v>
      </c>
      <c r="H72" s="5">
        <v>5.44</v>
      </c>
      <c r="I72" s="5">
        <v>0.78</v>
      </c>
      <c r="J72" s="5">
        <v>6.73</v>
      </c>
      <c r="K72" s="5">
        <v>0.94</v>
      </c>
      <c r="L72" s="5">
        <f>(H72-I72)/(H72+I72)</f>
        <v>0.74919614147909963</v>
      </c>
      <c r="M72" s="5">
        <f>(J72-K72)/(J72+K72)</f>
        <v>0.75488917861799232</v>
      </c>
      <c r="N72" s="5">
        <v>0.32</v>
      </c>
      <c r="O72" s="5">
        <v>0.70799999999999996</v>
      </c>
      <c r="P72" s="5">
        <v>0.113</v>
      </c>
      <c r="Q72" s="5">
        <v>0.08</v>
      </c>
      <c r="R72" s="5">
        <v>0.4</v>
      </c>
      <c r="S72" s="5">
        <v>0.64600000000000002</v>
      </c>
      <c r="T72" s="5">
        <v>0.153</v>
      </c>
      <c r="U72" s="5">
        <v>0.09</v>
      </c>
      <c r="V72" s="5">
        <v>0.38</v>
      </c>
      <c r="W72" s="5">
        <v>0.76900000000000002</v>
      </c>
      <c r="X72" s="5">
        <v>0.1</v>
      </c>
      <c r="Y72" s="5">
        <v>0.06</v>
      </c>
      <c r="Z72" s="5">
        <v>0.54</v>
      </c>
      <c r="AA72" s="5">
        <f>(V72-N72)/N72</f>
        <v>0.1875</v>
      </c>
      <c r="AB72" s="5">
        <f>(W72-O72)/O72</f>
        <v>8.6158192090395561E-2</v>
      </c>
      <c r="AC72" s="5">
        <f>(X72-P72)/P72</f>
        <v>-0.11504424778761059</v>
      </c>
      <c r="AD72" s="5">
        <f>(Y72-Q72)/Q72</f>
        <v>-0.25000000000000006</v>
      </c>
      <c r="AE72" s="5">
        <v>0.47</v>
      </c>
      <c r="AF72" s="5">
        <v>0.70599999999999996</v>
      </c>
      <c r="AG72" s="5">
        <v>0.13900000000000001</v>
      </c>
      <c r="AH72" s="5">
        <v>7.0000000000000007E-2</v>
      </c>
      <c r="AI72" s="5">
        <v>0.46</v>
      </c>
      <c r="AJ72" s="5">
        <f>(AE72-R72)/R72</f>
        <v>0.17499999999999988</v>
      </c>
      <c r="AK72" s="5">
        <f>(AF72-S72)/S72</f>
        <v>9.2879256965944179E-2</v>
      </c>
      <c r="AL72" s="5">
        <f>(AG72-T72)/T72</f>
        <v>-9.1503267973856106E-2</v>
      </c>
      <c r="AM72" s="5">
        <f>(AH72-U72)/U72</f>
        <v>-0.22222222222222213</v>
      </c>
      <c r="AN72" s="5">
        <v>0.39500000000000002</v>
      </c>
      <c r="AO72" s="5">
        <v>0.86</v>
      </c>
      <c r="AP72" s="5">
        <v>0.13100000000000001</v>
      </c>
      <c r="AQ72" s="5">
        <v>9.6000000000000002E-2</v>
      </c>
      <c r="AR72" s="5">
        <v>0.33300000000000002</v>
      </c>
      <c r="AS72" s="5">
        <v>0.70499999999999996</v>
      </c>
      <c r="AT72" s="5">
        <v>0.1</v>
      </c>
      <c r="AU72" s="5">
        <v>7.5999999999999998E-2</v>
      </c>
      <c r="AV72" s="5">
        <v>0.41399999999999998</v>
      </c>
      <c r="AW72" s="5">
        <v>0.874</v>
      </c>
      <c r="AX72" s="5">
        <v>0.125</v>
      </c>
      <c r="AY72" s="5">
        <v>8.8999999999999996E-2</v>
      </c>
      <c r="AZ72" s="5">
        <v>0.84</v>
      </c>
      <c r="BA72" s="6">
        <f>(AV72-AN72)/AN72</f>
        <v>4.8101265822784713E-2</v>
      </c>
      <c r="BB72" s="6">
        <f>(AW72-AO72)/AO72</f>
        <v>1.6279069767441874E-2</v>
      </c>
      <c r="BC72" s="6">
        <f>(AX72-AP72)/AP72</f>
        <v>-4.5801526717557293E-2</v>
      </c>
      <c r="BD72" s="6">
        <f>(AY72-AQ72)/AQ72</f>
        <v>-7.2916666666666727E-2</v>
      </c>
      <c r="BE72" s="5">
        <v>0.33900000000000002</v>
      </c>
      <c r="BF72" s="5">
        <v>0.73099999999999998</v>
      </c>
      <c r="BG72" s="5">
        <v>9.5000000000000001E-2</v>
      </c>
      <c r="BH72" s="5">
        <v>7.2999999999999995E-2</v>
      </c>
      <c r="BI72" s="5">
        <v>0.83599999999999997</v>
      </c>
      <c r="BJ72" s="5">
        <f>(BE72-AN72)/AN72</f>
        <v>-0.14177215189873416</v>
      </c>
      <c r="BK72" s="5">
        <f>(BF72-AO72)/AO72</f>
        <v>-0.15</v>
      </c>
      <c r="BL72" s="5">
        <f>(BG72-AP72)/AP72</f>
        <v>-0.27480916030534353</v>
      </c>
      <c r="BM72" s="5">
        <f>(BH72-AQ72)/AQ72</f>
        <v>-0.2395833333333334</v>
      </c>
      <c r="BN72" s="6">
        <v>0.314</v>
      </c>
      <c r="BO72" s="6">
        <v>0.61499999999999999</v>
      </c>
      <c r="BP72" s="6">
        <v>0.114</v>
      </c>
      <c r="BQ72" s="6">
        <v>0.21</v>
      </c>
      <c r="BR72" s="6">
        <f>(BN72-AR72)/AR72</f>
        <v>-5.7057057057057103E-2</v>
      </c>
      <c r="BS72" s="6">
        <f>(BO72-AS72)/AS72</f>
        <v>-0.12765957446808507</v>
      </c>
      <c r="BT72" s="6">
        <f>(BP72-AT72)/AT72</f>
        <v>0.13999999999999999</v>
      </c>
      <c r="BU72" s="6">
        <f>(BQ72-AU72)/AU72</f>
        <v>1.7631578947368423</v>
      </c>
      <c r="BV72" s="9">
        <f>(BN72-BE72)/BE72</f>
        <v>-7.3746312684365836E-2</v>
      </c>
      <c r="BW72" s="9">
        <f>(BO72-BF72)/BF72</f>
        <v>-0.15868673050615595</v>
      </c>
      <c r="BX72" s="9">
        <f>(BP72-BG72)/BG72</f>
        <v>0.20000000000000004</v>
      </c>
      <c r="BY72" s="9">
        <f>(BQ72-BH72)/BH72</f>
        <v>1.8767123287671235</v>
      </c>
      <c r="BZ72" s="6">
        <v>0.35399999999999998</v>
      </c>
      <c r="CA72" s="6">
        <v>0.83799999999999997</v>
      </c>
      <c r="CB72" s="6">
        <v>0.08</v>
      </c>
      <c r="CC72" s="6">
        <v>5.7000000000000002E-2</v>
      </c>
      <c r="CD72" s="4">
        <f>(BZ72-AR72)/AR72</f>
        <v>6.3063063063062946E-2</v>
      </c>
      <c r="CE72" s="4">
        <f>(CA72-AS72)/AS72</f>
        <v>0.18865248226950357</v>
      </c>
      <c r="CF72" s="4">
        <f>(CB72-AT72)/AT72</f>
        <v>-0.20000000000000004</v>
      </c>
      <c r="CG72" s="4">
        <f>(CC72-AU72)/AU72</f>
        <v>-0.24999999999999994</v>
      </c>
      <c r="CH72" s="4">
        <f>(BZ72-BN72)/BN72</f>
        <v>0.12738853503184708</v>
      </c>
      <c r="CI72" s="4">
        <f>(CA72-BO72)/BO72</f>
        <v>0.36260162601626011</v>
      </c>
      <c r="CJ72" s="4">
        <f>(CB72-BP72)/BP72</f>
        <v>-0.2982456140350877</v>
      </c>
      <c r="CK72" s="4">
        <f>(CC72-BQ72)/BQ72</f>
        <v>-0.72857142857142854</v>
      </c>
      <c r="CL72" s="5">
        <v>0.70399999999999996</v>
      </c>
      <c r="CM72" s="5">
        <v>0.29799999999999999</v>
      </c>
      <c r="CN72" s="4">
        <f>CL72/CM72</f>
        <v>2.3624161073825505</v>
      </c>
    </row>
    <row r="73" spans="1:92" x14ac:dyDescent="0.3">
      <c r="A73" s="11" t="s">
        <v>74</v>
      </c>
      <c r="B73" s="12">
        <v>119</v>
      </c>
      <c r="C73" s="12">
        <v>20</v>
      </c>
      <c r="D73" s="12">
        <v>5</v>
      </c>
      <c r="E73" s="12">
        <v>1</v>
      </c>
      <c r="F73" s="12">
        <v>2</v>
      </c>
      <c r="G73" s="12" t="s">
        <v>43</v>
      </c>
      <c r="H73" s="5">
        <v>6.98</v>
      </c>
      <c r="I73" s="5">
        <v>1.03</v>
      </c>
      <c r="J73" s="8">
        <v>8.64</v>
      </c>
      <c r="K73" s="8">
        <v>1.21</v>
      </c>
      <c r="L73" s="6">
        <f>(H73-I73)/(H73+I73)</f>
        <v>0.74282147315855185</v>
      </c>
      <c r="M73" s="5">
        <f>(J73-K73)/(J73+K73)</f>
        <v>0.75431472081218265</v>
      </c>
      <c r="N73" s="6">
        <v>0.35</v>
      </c>
      <c r="O73" s="6">
        <v>0.83099999999999996</v>
      </c>
      <c r="P73" s="6">
        <v>0.08</v>
      </c>
      <c r="Q73" s="6">
        <v>0.08</v>
      </c>
      <c r="R73" s="8">
        <v>0.43</v>
      </c>
      <c r="S73" s="8">
        <v>0.186</v>
      </c>
      <c r="T73" s="8">
        <v>0.372</v>
      </c>
      <c r="U73" s="8">
        <v>0.1</v>
      </c>
      <c r="V73" s="6">
        <v>0.41</v>
      </c>
      <c r="W73" s="6">
        <v>0.90900000000000003</v>
      </c>
      <c r="X73" s="6">
        <v>5.8000000000000003E-2</v>
      </c>
      <c r="Y73" s="6">
        <v>0.06</v>
      </c>
      <c r="Z73" s="5">
        <v>0.51</v>
      </c>
      <c r="AA73" s="5">
        <f>(V73-N73)/N73</f>
        <v>0.17142857142857143</v>
      </c>
      <c r="AB73" s="5">
        <f>(W73-O73)/O73</f>
        <v>9.3862815884476619E-2</v>
      </c>
      <c r="AC73" s="5">
        <f>(X73-P73)/P73</f>
        <v>-0.27499999999999997</v>
      </c>
      <c r="AD73" s="5">
        <f>(Y73-Q73)/Q73</f>
        <v>-0.25000000000000006</v>
      </c>
      <c r="AE73" s="8">
        <v>0.51</v>
      </c>
      <c r="AF73" s="8">
        <v>0.129</v>
      </c>
      <c r="AG73" s="8">
        <v>0.38300000000000001</v>
      </c>
      <c r="AH73" s="8">
        <v>0.08</v>
      </c>
      <c r="AI73" s="8">
        <v>0.56000000000000005</v>
      </c>
      <c r="AJ73" s="8">
        <f>(AE73-R73)/R73</f>
        <v>0.186046511627907</v>
      </c>
      <c r="AK73" s="8">
        <f>(AF73-S73)/S73</f>
        <v>-0.30645161290322576</v>
      </c>
      <c r="AL73" s="8">
        <f>(AG73-T73)/T73</f>
        <v>2.9569892473118305E-2</v>
      </c>
      <c r="AM73" s="8">
        <f>(AH73-U73)/U73</f>
        <v>-0.20000000000000004</v>
      </c>
      <c r="AN73" s="8">
        <v>0.46899999999999997</v>
      </c>
      <c r="AO73" s="8">
        <v>0.94699999999999995</v>
      </c>
      <c r="AP73" s="8">
        <v>7.5999999999999998E-2</v>
      </c>
      <c r="AQ73" s="8">
        <v>9.9000000000000005E-2</v>
      </c>
      <c r="AR73" s="6">
        <v>0.33600000000000002</v>
      </c>
      <c r="AS73" s="6">
        <v>0.81899999999999995</v>
      </c>
      <c r="AT73" s="6">
        <v>8.4000000000000005E-2</v>
      </c>
      <c r="AU73" s="6">
        <v>7.8E-2</v>
      </c>
      <c r="AV73" s="8">
        <v>0.52200000000000002</v>
      </c>
      <c r="AW73" s="8">
        <v>0.96899999999999997</v>
      </c>
      <c r="AX73" s="8">
        <v>6.0999999999999999E-2</v>
      </c>
      <c r="AY73" s="8">
        <v>8.5000000000000006E-2</v>
      </c>
      <c r="AZ73" s="8">
        <v>0.74099999999999999</v>
      </c>
      <c r="BA73" s="8">
        <f>(AV73-AN73)/AN73</f>
        <v>0.11300639658848624</v>
      </c>
      <c r="BB73" s="8">
        <f>(AW73-AO73)/AO73</f>
        <v>2.3231256599788828E-2</v>
      </c>
      <c r="BC73" s="8">
        <f>(AX73-AP73)/AP73</f>
        <v>-0.19736842105263158</v>
      </c>
      <c r="BD73" s="8">
        <f>(AY73-AQ73)/AQ73</f>
        <v>-0.14141414141414138</v>
      </c>
      <c r="BE73" s="6">
        <v>0.39500000000000002</v>
      </c>
      <c r="BF73" s="6">
        <v>0.874</v>
      </c>
      <c r="BG73" s="6">
        <v>7.1999999999999995E-2</v>
      </c>
      <c r="BH73" s="6">
        <v>6.9000000000000006E-2</v>
      </c>
      <c r="BI73" s="5">
        <v>0.7</v>
      </c>
      <c r="BJ73" s="5">
        <f>(BE73-AN73)/AN73</f>
        <v>-0.15778251599147114</v>
      </c>
      <c r="BK73" s="5">
        <f>(BF73-AO73)/AO73</f>
        <v>-7.7085533262935546E-2</v>
      </c>
      <c r="BL73" s="5">
        <f>(BG73-AP73)/AP73</f>
        <v>-5.2631578947368467E-2</v>
      </c>
      <c r="BM73" s="5">
        <f>(BH73-AQ73)/AQ73</f>
        <v>-0.30303030303030298</v>
      </c>
      <c r="BN73" s="5">
        <v>0.439</v>
      </c>
      <c r="BO73" s="5">
        <v>0.82099999999999995</v>
      </c>
      <c r="BP73" s="5">
        <v>8.5999999999999993E-2</v>
      </c>
      <c r="BQ73" s="5">
        <v>0.17199999999999999</v>
      </c>
      <c r="BR73" s="5">
        <f>(BN73-AR73)/AR73</f>
        <v>0.30654761904761896</v>
      </c>
      <c r="BS73" s="5">
        <f>(BO73-AS73)/AS73</f>
        <v>2.4420024420024442E-3</v>
      </c>
      <c r="BT73" s="5">
        <f>(BP73-AT73)/AT73</f>
        <v>2.3809523809523662E-2</v>
      </c>
      <c r="BU73" s="5">
        <f>(BQ73-AU73)/AU73</f>
        <v>1.2051282051282051</v>
      </c>
      <c r="BV73" s="4">
        <f>(BN73-BE73)/BE73</f>
        <v>0.11139240506329109</v>
      </c>
      <c r="BW73" s="4">
        <f>(BO73-BF73)/BF73</f>
        <v>-6.0640732265446279E-2</v>
      </c>
      <c r="BX73" s="4">
        <f>(BP73-BG73)/BG73</f>
        <v>0.19444444444444445</v>
      </c>
      <c r="BY73" s="4">
        <f>(BQ73-BH73)/BH73</f>
        <v>1.4927536231884053</v>
      </c>
      <c r="BZ73" s="5">
        <v>0.44600000000000001</v>
      </c>
      <c r="CA73" s="5">
        <v>0.875</v>
      </c>
      <c r="CB73" s="5">
        <v>7.0000000000000007E-2</v>
      </c>
      <c r="CC73" s="5">
        <v>6.0999999999999999E-2</v>
      </c>
      <c r="CD73" s="4">
        <f>(BZ73-AR73)/AR73</f>
        <v>0.32738095238095233</v>
      </c>
      <c r="CE73" s="4">
        <f>(CA73-AS73)/AS73</f>
        <v>6.8376068376068438E-2</v>
      </c>
      <c r="CF73" s="4">
        <f>(CB73-AT73)/AT73</f>
        <v>-0.16666666666666663</v>
      </c>
      <c r="CG73" s="4">
        <f>(CC73-AU73)/AU73</f>
        <v>-0.21794871794871795</v>
      </c>
      <c r="CH73" s="4">
        <f>(BZ73-BN73)/BN73</f>
        <v>1.5945330296127578E-2</v>
      </c>
      <c r="CI73" s="4">
        <f>(CA73-BO73)/BO73</f>
        <v>6.5773447015834416E-2</v>
      </c>
      <c r="CJ73" s="4">
        <f>(CB73-BP73)/BP73</f>
        <v>-0.18604651162790684</v>
      </c>
      <c r="CK73" s="4">
        <f>(CC73-BQ73)/BQ73</f>
        <v>-0.64534883720930225</v>
      </c>
      <c r="CL73" s="5">
        <v>0.73899999999999999</v>
      </c>
      <c r="CM73" s="5">
        <v>0.33500000000000002</v>
      </c>
      <c r="CN73" s="4">
        <f>CL73/CM73</f>
        <v>2.2059701492537314</v>
      </c>
    </row>
    <row r="74" spans="1:92" x14ac:dyDescent="0.3">
      <c r="A74" s="11" t="s">
        <v>75</v>
      </c>
      <c r="B74" s="12">
        <v>344</v>
      </c>
      <c r="C74" s="12">
        <v>20</v>
      </c>
      <c r="D74" s="12">
        <v>5</v>
      </c>
      <c r="E74" s="12">
        <v>1</v>
      </c>
      <c r="F74" s="12">
        <v>2</v>
      </c>
      <c r="G74" s="12" t="s">
        <v>43</v>
      </c>
      <c r="H74" s="5">
        <v>9.68</v>
      </c>
      <c r="I74" s="5">
        <v>1.68</v>
      </c>
      <c r="J74" s="5">
        <v>10.37</v>
      </c>
      <c r="K74" s="5">
        <v>1.97</v>
      </c>
      <c r="L74" s="5">
        <f>(H74-I74)/(H74+I74)</f>
        <v>0.70422535211267612</v>
      </c>
      <c r="M74" s="5">
        <f>(J74-K74)/(J74+K74)</f>
        <v>0.68071312803889783</v>
      </c>
      <c r="N74" s="5">
        <v>0.48</v>
      </c>
      <c r="O74" s="5">
        <v>0.86399999999999999</v>
      </c>
      <c r="P74" s="5">
        <v>0.1</v>
      </c>
      <c r="Q74" s="5">
        <v>0.1</v>
      </c>
      <c r="R74" s="5">
        <v>0.52</v>
      </c>
      <c r="S74" s="5">
        <v>0.81399999999999995</v>
      </c>
      <c r="T74" s="5">
        <v>0.13</v>
      </c>
      <c r="U74" s="5">
        <v>0.12</v>
      </c>
      <c r="V74" s="5">
        <v>0.59</v>
      </c>
      <c r="W74" s="5">
        <v>0.95099999999999996</v>
      </c>
      <c r="X74" s="5">
        <v>0.06</v>
      </c>
      <c r="Y74" s="5">
        <v>0.03</v>
      </c>
      <c r="Z74" s="5">
        <v>0.21</v>
      </c>
      <c r="AA74" s="5">
        <f>(V74-N74)/N74</f>
        <v>0.22916666666666666</v>
      </c>
      <c r="AB74" s="5">
        <f>(W74-O74)/O74</f>
        <v>0.10069444444444441</v>
      </c>
      <c r="AC74" s="5">
        <f>(X74-P74)/P74</f>
        <v>-0.40000000000000008</v>
      </c>
      <c r="AD74" s="5">
        <f>(Y74-Q74)/Q74</f>
        <v>-0.70000000000000007</v>
      </c>
      <c r="AE74" s="5">
        <v>0.64</v>
      </c>
      <c r="AF74" s="5">
        <v>0.90900000000000003</v>
      </c>
      <c r="AG74" s="5">
        <v>9.0999999999999998E-2</v>
      </c>
      <c r="AH74" s="5">
        <v>0.03</v>
      </c>
      <c r="AI74" s="5">
        <v>0.22</v>
      </c>
      <c r="AJ74" s="5">
        <f>(AE74-R74)/R74</f>
        <v>0.23076923076923075</v>
      </c>
      <c r="AK74" s="5">
        <f>(AF74-S74)/S74</f>
        <v>0.11670761670761681</v>
      </c>
      <c r="AL74" s="5">
        <f>(AG74-T74)/T74</f>
        <v>-0.30000000000000004</v>
      </c>
      <c r="AM74" s="5">
        <f>(AH74-U74)/U74</f>
        <v>-0.75</v>
      </c>
      <c r="AN74" s="5">
        <v>0.67600000000000005</v>
      </c>
      <c r="AO74" s="5">
        <v>0.90500000000000003</v>
      </c>
      <c r="AP74" s="5">
        <v>0.17599999999999999</v>
      </c>
      <c r="AQ74" s="5">
        <v>0.111</v>
      </c>
      <c r="AR74" s="5">
        <v>0.628</v>
      </c>
      <c r="AS74" s="5">
        <v>0.874</v>
      </c>
      <c r="AT74" s="5">
        <v>8.2000000000000003E-2</v>
      </c>
      <c r="AU74" s="5">
        <v>9.5000000000000001E-2</v>
      </c>
      <c r="AV74" s="5">
        <v>0.67700000000000005</v>
      </c>
      <c r="AW74" s="5">
        <v>0.98099999999999998</v>
      </c>
      <c r="AX74" s="5">
        <v>7.8E-2</v>
      </c>
      <c r="AY74" s="5">
        <v>6.4000000000000001E-2</v>
      </c>
      <c r="AZ74" s="5">
        <v>0.29799999999999999</v>
      </c>
      <c r="BA74" s="6">
        <f>(AV74-AN74)/AN74</f>
        <v>1.4792899408284036E-3</v>
      </c>
      <c r="BB74" s="6">
        <f>(AW74-AO74)/AO74</f>
        <v>8.3977900552486134E-2</v>
      </c>
      <c r="BC74" s="6">
        <f>(AX74-AP74)/AP74</f>
        <v>-0.55681818181818177</v>
      </c>
      <c r="BD74" s="6">
        <f>(AY74-AQ74)/AQ74</f>
        <v>-0.42342342342342343</v>
      </c>
      <c r="BE74" s="5">
        <v>0.627</v>
      </c>
      <c r="BF74" s="5">
        <v>0.95799999999999996</v>
      </c>
      <c r="BG74" s="5">
        <v>4.7E-2</v>
      </c>
      <c r="BH74" s="5">
        <v>0.06</v>
      </c>
      <c r="BI74" s="5">
        <v>0.245</v>
      </c>
      <c r="BJ74" s="5">
        <f>(BE74-AN74)/AN74</f>
        <v>-7.2485207100591781E-2</v>
      </c>
      <c r="BK74" s="5">
        <f>(BF74-AO74)/AO74</f>
        <v>5.8563535911602141E-2</v>
      </c>
      <c r="BL74" s="5">
        <f>(BG74-AP74)/AP74</f>
        <v>-0.73295454545454553</v>
      </c>
      <c r="BM74" s="5">
        <f>(BH74-AQ74)/AQ74</f>
        <v>-0.45945945945945948</v>
      </c>
      <c r="BN74" s="5">
        <v>0.626</v>
      </c>
      <c r="BO74" s="5">
        <v>0.95499999999999996</v>
      </c>
      <c r="BP74" s="5">
        <v>4.9000000000000002E-2</v>
      </c>
      <c r="BQ74" s="5">
        <v>9.7000000000000003E-2</v>
      </c>
      <c r="BR74" s="5">
        <f>(BN74-AR74)/AR74</f>
        <v>-3.1847133757961811E-3</v>
      </c>
      <c r="BS74" s="5">
        <f>(BO74-AS74)/AS74</f>
        <v>9.2677345537757388E-2</v>
      </c>
      <c r="BT74" s="5">
        <f>(BP74-AT74)/AT74</f>
        <v>-0.40243902439024393</v>
      </c>
      <c r="BU74" s="5">
        <f>(BQ74-AU74)/AU74</f>
        <v>2.1052631578947385E-2</v>
      </c>
      <c r="BV74" s="4">
        <f>(BN74-BE74)/BE74</f>
        <v>-1.5948963317384383E-3</v>
      </c>
      <c r="BW74" s="4">
        <f>(BO74-BF74)/BF74</f>
        <v>-3.1315240083507334E-3</v>
      </c>
      <c r="BX74" s="4">
        <f>(BP74-BG74)/BG74</f>
        <v>4.2553191489361743E-2</v>
      </c>
      <c r="BY74" s="4">
        <f>(BQ74-BH74)/BH74</f>
        <v>0.61666666666666681</v>
      </c>
      <c r="BZ74" s="5">
        <v>0.66200000000000003</v>
      </c>
      <c r="CA74" s="5">
        <v>0.96799999999999997</v>
      </c>
      <c r="CB74" s="5">
        <v>4.1000000000000002E-2</v>
      </c>
      <c r="CC74" s="5">
        <v>4.2999999999999997E-2</v>
      </c>
      <c r="CD74" s="4">
        <f>(BZ74-AR74)/AR74</f>
        <v>5.4140127388535082E-2</v>
      </c>
      <c r="CE74" s="4">
        <f>(CA74-AS74)/AS74</f>
        <v>0.10755148741418762</v>
      </c>
      <c r="CF74" s="4">
        <f>(CB74-AT74)/AT74</f>
        <v>-0.5</v>
      </c>
      <c r="CG74" s="4">
        <f>(CC74-AU74)/AU74</f>
        <v>-0.54736842105263162</v>
      </c>
      <c r="CH74" s="4">
        <f>(BZ74-BN74)/BN74</f>
        <v>5.7507987220447337E-2</v>
      </c>
      <c r="CI74" s="4">
        <f>(CA74-BO74)/BO74</f>
        <v>1.3612565445026191E-2</v>
      </c>
      <c r="CJ74" s="4">
        <f>(CB74-BP74)/BP74</f>
        <v>-0.16326530612244897</v>
      </c>
      <c r="CK74" s="4">
        <f>(CC74-BQ74)/BQ74</f>
        <v>-0.55670103092783507</v>
      </c>
      <c r="CL74" s="5">
        <v>0.42399999999999999</v>
      </c>
      <c r="CM74" s="5">
        <v>0.68400000000000005</v>
      </c>
      <c r="CN74" s="4">
        <f>CL74/CM74</f>
        <v>0.61988304093567248</v>
      </c>
    </row>
    <row r="75" spans="1:92" x14ac:dyDescent="0.3">
      <c r="A75" s="11" t="s">
        <v>76</v>
      </c>
      <c r="B75" s="13">
        <v>255</v>
      </c>
      <c r="C75" s="13">
        <v>20</v>
      </c>
      <c r="D75" s="13">
        <v>5</v>
      </c>
      <c r="E75" s="13">
        <v>1</v>
      </c>
      <c r="F75" s="13">
        <v>2</v>
      </c>
      <c r="G75" s="12" t="s">
        <v>43</v>
      </c>
      <c r="H75" s="4">
        <v>6.3</v>
      </c>
      <c r="I75" s="4">
        <v>0.62</v>
      </c>
      <c r="J75" s="4">
        <v>7.32</v>
      </c>
      <c r="K75" s="4">
        <v>0.76</v>
      </c>
      <c r="L75" s="5">
        <f>(H75-I75)/(H75+I75)</f>
        <v>0.82080924855491322</v>
      </c>
      <c r="M75" s="5">
        <f>(J75-K75)/(J75+K75)</f>
        <v>0.81188118811881194</v>
      </c>
      <c r="N75" s="4">
        <v>0.32</v>
      </c>
      <c r="O75" s="4">
        <v>0.85099999999999998</v>
      </c>
      <c r="P75" s="4">
        <v>7.0999999999999994E-2</v>
      </c>
      <c r="Q75" s="4">
        <v>0.06</v>
      </c>
      <c r="R75" s="4">
        <v>0.37</v>
      </c>
      <c r="S75" s="4">
        <v>0.77600000000000002</v>
      </c>
      <c r="T75" s="4">
        <v>0.10299999999999999</v>
      </c>
      <c r="U75" s="4">
        <v>7.0000000000000007E-2</v>
      </c>
      <c r="V75" s="4">
        <v>0.35</v>
      </c>
      <c r="W75" s="4">
        <v>0.89600000000000002</v>
      </c>
      <c r="X75" s="4">
        <v>5.8999999999999997E-2</v>
      </c>
      <c r="Y75" s="4">
        <v>0.05</v>
      </c>
      <c r="Z75" s="4">
        <v>0.67</v>
      </c>
      <c r="AA75" s="5">
        <f>(V75-N75)/N75</f>
        <v>9.3749999999999903E-2</v>
      </c>
      <c r="AB75" s="5">
        <f>(W75-O75)/O75</f>
        <v>5.2878965922444232E-2</v>
      </c>
      <c r="AC75" s="5">
        <f>(X75-P75)/P75</f>
        <v>-0.16901408450704222</v>
      </c>
      <c r="AD75" s="5">
        <f>(Y75-Q75)/Q75</f>
        <v>-0.1666666666666666</v>
      </c>
      <c r="AE75" s="4">
        <v>0.41</v>
      </c>
      <c r="AF75" s="4">
        <v>0.83</v>
      </c>
      <c r="AG75" s="4">
        <v>8.8999999999999996E-2</v>
      </c>
      <c r="AH75" s="4">
        <v>0.05</v>
      </c>
      <c r="AI75" s="4">
        <v>0.68</v>
      </c>
      <c r="AJ75" s="5">
        <f>(AE75-R75)/R75</f>
        <v>0.10810810810810806</v>
      </c>
      <c r="AK75" s="5">
        <f>(AF75-S75)/S75</f>
        <v>6.9587628865979301E-2</v>
      </c>
      <c r="AL75" s="5">
        <f>(AG75-T75)/T75</f>
        <v>-0.13592233009708737</v>
      </c>
      <c r="AM75" s="5">
        <f>(AH75-U75)/U75</f>
        <v>-0.28571428571428575</v>
      </c>
      <c r="AN75" s="4">
        <v>0.308</v>
      </c>
      <c r="AO75" s="4">
        <v>0.95299999999999996</v>
      </c>
      <c r="AP75" s="4">
        <v>6.8000000000000005E-2</v>
      </c>
      <c r="AQ75" s="4">
        <v>6.6000000000000003E-2</v>
      </c>
      <c r="AR75" s="4">
        <v>0.25800000000000001</v>
      </c>
      <c r="AS75" s="4">
        <v>0.85799999999999998</v>
      </c>
      <c r="AT75" s="4">
        <v>6.5000000000000002E-2</v>
      </c>
      <c r="AU75" s="4">
        <v>5.8000000000000003E-2</v>
      </c>
      <c r="AV75" s="4">
        <v>0.32200000000000001</v>
      </c>
      <c r="AW75" s="4">
        <v>0.96699999999999997</v>
      </c>
      <c r="AX75" s="4">
        <v>5.8000000000000003E-2</v>
      </c>
      <c r="AY75" s="4">
        <v>0.06</v>
      </c>
      <c r="AZ75" s="4">
        <v>0.86499999999999999</v>
      </c>
      <c r="BA75" s="6">
        <f>(AV75-AN75)/AN75</f>
        <v>4.5454545454545497E-2</v>
      </c>
      <c r="BB75" s="6">
        <f>(AW75-AO75)/AO75</f>
        <v>1.4690451206715648E-2</v>
      </c>
      <c r="BC75" s="6">
        <f>(AX75-AP75)/AP75</f>
        <v>-0.14705882352941177</v>
      </c>
      <c r="BD75" s="6">
        <f>(AY75-AQ75)/AQ75</f>
        <v>-9.0909090909090981E-2</v>
      </c>
      <c r="BE75" s="4">
        <v>0.26800000000000002</v>
      </c>
      <c r="BF75" s="4">
        <v>0.89600000000000002</v>
      </c>
      <c r="BG75" s="4">
        <v>5.5E-2</v>
      </c>
      <c r="BH75" s="4">
        <v>5.3999999999999999E-2</v>
      </c>
      <c r="BI75" s="4">
        <v>0.85799999999999998</v>
      </c>
      <c r="BJ75" s="5">
        <f>(BE75-AN75)/AN75</f>
        <v>-0.1298701298701298</v>
      </c>
      <c r="BK75" s="5">
        <f>(BF75-AO75)/AO75</f>
        <v>-5.9811122770199308E-2</v>
      </c>
      <c r="BL75" s="5">
        <f>(BG75-AP75)/AP75</f>
        <v>-0.19117647058823534</v>
      </c>
      <c r="BM75" s="5">
        <f>(BH75-AQ75)/AQ75</f>
        <v>-0.18181818181818188</v>
      </c>
      <c r="BN75" s="5">
        <v>0.26700000000000002</v>
      </c>
      <c r="BO75" s="5">
        <v>0.75800000000000001</v>
      </c>
      <c r="BP75" s="5">
        <v>8.4000000000000005E-2</v>
      </c>
      <c r="BQ75" s="5">
        <v>0.20699999999999999</v>
      </c>
      <c r="BR75" s="5">
        <f>(BN75-AR75)/AR75</f>
        <v>3.4883720930232585E-2</v>
      </c>
      <c r="BS75" s="5">
        <f>(BO75-AS75)/AS75</f>
        <v>-0.11655011655011653</v>
      </c>
      <c r="BT75" s="5">
        <f>(BP75-AT75)/AT75</f>
        <v>0.29230769230769232</v>
      </c>
      <c r="BU75" s="5">
        <f>(BQ75-AU75)/AU75</f>
        <v>2.568965517241379</v>
      </c>
      <c r="BV75" s="4">
        <f>(BN75-BE75)/BE75</f>
        <v>-3.7313432835820925E-3</v>
      </c>
      <c r="BW75" s="4">
        <f>(BO75-BF75)/BF75</f>
        <v>-0.15401785714285715</v>
      </c>
      <c r="BX75" s="4">
        <f>(BP75-BG75)/BG75</f>
        <v>0.52727272727272734</v>
      </c>
      <c r="BY75" s="4">
        <f>(BQ75-BH75)/BH75</f>
        <v>2.8333333333333335</v>
      </c>
      <c r="BZ75" s="4">
        <v>0.28499999999999998</v>
      </c>
      <c r="CA75" s="4">
        <v>0.90900000000000003</v>
      </c>
      <c r="CB75" s="4">
        <v>5.1999999999999998E-2</v>
      </c>
      <c r="CC75" s="4">
        <v>4.8000000000000001E-2</v>
      </c>
      <c r="CD75" s="4">
        <f>(BZ75-AR75)/AR75</f>
        <v>0.10465116279069756</v>
      </c>
      <c r="CE75" s="4">
        <f>(CA75-AS75)/AS75</f>
        <v>5.9440559440559496E-2</v>
      </c>
      <c r="CF75" s="4">
        <f>(CB75-AT75)/AT75</f>
        <v>-0.20000000000000007</v>
      </c>
      <c r="CG75" s="4">
        <f>(CC75-AU75)/AU75</f>
        <v>-0.17241379310344829</v>
      </c>
      <c r="CH75" s="4">
        <f>(BZ75-BN75)/BN75</f>
        <v>6.7415730337078497E-2</v>
      </c>
      <c r="CI75" s="4">
        <f>(CA75-BO75)/BO75</f>
        <v>0.19920844327176784</v>
      </c>
      <c r="CJ75" s="4">
        <f>(CB75-BP75)/BP75</f>
        <v>-0.38095238095238104</v>
      </c>
      <c r="CK75" s="4">
        <f>(CC75-BQ75)/BQ75</f>
        <v>-0.76811594202898548</v>
      </c>
      <c r="CL75" s="4">
        <v>0.78400000000000003</v>
      </c>
      <c r="CM75" s="4">
        <v>0.214</v>
      </c>
      <c r="CN75" s="4">
        <f>CL75/CM75</f>
        <v>3.6635514018691593</v>
      </c>
    </row>
    <row r="76" spans="1:92" x14ac:dyDescent="0.3">
      <c r="A76" s="11" t="s">
        <v>77</v>
      </c>
      <c r="B76" s="13">
        <v>85</v>
      </c>
      <c r="C76" s="13">
        <v>20</v>
      </c>
      <c r="D76" s="13">
        <v>5</v>
      </c>
      <c r="E76" s="13">
        <v>1</v>
      </c>
      <c r="F76" s="13">
        <v>2</v>
      </c>
      <c r="G76" s="12" t="s">
        <v>43</v>
      </c>
      <c r="H76" s="4">
        <v>6.54</v>
      </c>
      <c r="I76" s="4">
        <v>0.85</v>
      </c>
      <c r="J76" s="4">
        <v>7.43</v>
      </c>
      <c r="K76" s="4">
        <v>1</v>
      </c>
      <c r="L76" s="5">
        <f>(H76-I76)/(H76+I76)</f>
        <v>0.76995940460081203</v>
      </c>
      <c r="M76" s="5">
        <f>(J76-K76)/(J76+K76)</f>
        <v>0.76275207591933569</v>
      </c>
      <c r="N76" s="4">
        <v>0.33</v>
      </c>
      <c r="O76" s="4">
        <v>0.88500000000000001</v>
      </c>
      <c r="P76" s="4">
        <v>5.8000000000000003E-2</v>
      </c>
      <c r="Q76" s="4">
        <v>0.08</v>
      </c>
      <c r="R76" s="4">
        <v>0.37</v>
      </c>
      <c r="S76" s="4">
        <v>0.67600000000000005</v>
      </c>
      <c r="T76" s="4">
        <v>0.125</v>
      </c>
      <c r="U76" s="4">
        <v>0.09</v>
      </c>
      <c r="V76" s="4">
        <v>0.38</v>
      </c>
      <c r="W76" s="4">
        <v>0.93400000000000005</v>
      </c>
      <c r="X76" s="4">
        <v>4.3999999999999997E-2</v>
      </c>
      <c r="Y76" s="4">
        <v>7.0000000000000007E-2</v>
      </c>
      <c r="Z76" s="4">
        <v>0.55000000000000004</v>
      </c>
      <c r="AA76" s="5">
        <f>(V76-N76)/N76</f>
        <v>0.15151515151515146</v>
      </c>
      <c r="AB76" s="5">
        <f>(W76-O76)/O76</f>
        <v>5.5367231638418127E-2</v>
      </c>
      <c r="AC76" s="5">
        <f>(X76-P76)/P76</f>
        <v>-0.24137931034482768</v>
      </c>
      <c r="AD76" s="5">
        <f>(Y76-Q76)/Q76</f>
        <v>-0.12499999999999993</v>
      </c>
      <c r="AE76" s="4">
        <v>0.43</v>
      </c>
      <c r="AF76" s="4">
        <v>0.69599999999999995</v>
      </c>
      <c r="AG76" s="4">
        <v>0.12</v>
      </c>
      <c r="AH76" s="4">
        <v>7.0000000000000007E-2</v>
      </c>
      <c r="AI76" s="4">
        <v>0.41</v>
      </c>
      <c r="AJ76" s="5">
        <f>(AE76-R76)/R76</f>
        <v>0.16216216216216217</v>
      </c>
      <c r="AK76" s="5">
        <f>(AF76-S76)/S76</f>
        <v>2.9585798816567907E-2</v>
      </c>
      <c r="AL76" s="5">
        <f>(AG76-T76)/T76</f>
        <v>-4.0000000000000036E-2</v>
      </c>
      <c r="AM76" s="5">
        <f>(AH76-U76)/U76</f>
        <v>-0.22222222222222213</v>
      </c>
      <c r="AN76" s="7">
        <v>0.307</v>
      </c>
      <c r="AO76" s="7">
        <v>0.94399999999999995</v>
      </c>
      <c r="AP76" s="7">
        <v>7.2999999999999995E-2</v>
      </c>
      <c r="AQ76" s="7">
        <v>0.09</v>
      </c>
      <c r="AR76" s="4">
        <v>0.23699999999999999</v>
      </c>
      <c r="AS76" s="4">
        <v>0.86199999999999999</v>
      </c>
      <c r="AT76" s="4">
        <v>6.7000000000000004E-2</v>
      </c>
      <c r="AU76" s="4">
        <v>7.6999999999999999E-2</v>
      </c>
      <c r="AV76" s="7">
        <v>0.40699999999999997</v>
      </c>
      <c r="AW76" s="7">
        <v>0.96299999999999997</v>
      </c>
      <c r="AX76" s="7">
        <v>5.8999999999999997E-2</v>
      </c>
      <c r="AY76" s="7">
        <v>8.3000000000000004E-2</v>
      </c>
      <c r="AZ76" s="7">
        <v>0.75600000000000001</v>
      </c>
      <c r="BA76" s="8">
        <f>(AV76-AN76)/AN76</f>
        <v>0.32573289902280123</v>
      </c>
      <c r="BB76" s="8">
        <f>(AW76-AO76)/AO76</f>
        <v>2.0127118644067816E-2</v>
      </c>
      <c r="BC76" s="8">
        <f>(AX76-AP76)/AP76</f>
        <v>-0.19178082191780821</v>
      </c>
      <c r="BD76" s="8">
        <f>(AY76-AQ76)/AQ76</f>
        <v>-7.7777777777777696E-2</v>
      </c>
      <c r="BE76" s="4">
        <v>0.307</v>
      </c>
      <c r="BF76" s="4">
        <v>0.90600000000000003</v>
      </c>
      <c r="BG76" s="4">
        <v>5.5E-2</v>
      </c>
      <c r="BH76" s="4">
        <v>7.1999999999999995E-2</v>
      </c>
      <c r="BI76" s="4">
        <v>0.73399999999999999</v>
      </c>
      <c r="BJ76" s="5">
        <f>(BE76-AN76)/AN76</f>
        <v>0</v>
      </c>
      <c r="BK76" s="5">
        <f>(BF76-AO76)/AO76</f>
        <v>-4.0254237288135514E-2</v>
      </c>
      <c r="BL76" s="5">
        <f>(BG76-AP76)/AP76</f>
        <v>-0.24657534246575338</v>
      </c>
      <c r="BM76" s="5">
        <f>(BH76-AQ76)/AQ76</f>
        <v>-0.20000000000000004</v>
      </c>
      <c r="BN76" s="5">
        <v>0.29899999999999999</v>
      </c>
      <c r="BO76" s="5">
        <v>0.83199999999999996</v>
      </c>
      <c r="BP76" s="5">
        <v>7.3999999999999996E-2</v>
      </c>
      <c r="BQ76" s="5">
        <v>0.17799999999999999</v>
      </c>
      <c r="BR76" s="5">
        <f>(BN76-AR76)/AR76</f>
        <v>0.26160337552742619</v>
      </c>
      <c r="BS76" s="5">
        <f>(BO76-AS76)/AS76</f>
        <v>-3.4802784222737852E-2</v>
      </c>
      <c r="BT76" s="5">
        <f>(BP76-AT76)/AT76</f>
        <v>0.10447761194029839</v>
      </c>
      <c r="BU76" s="5">
        <f>(BQ76-AU76)/AU76</f>
        <v>1.3116883116883116</v>
      </c>
      <c r="BV76" s="4">
        <f>(BN76-BE76)/BE76</f>
        <v>-2.6058631921824126E-2</v>
      </c>
      <c r="BW76" s="4">
        <f>(BO76-BF76)/BF76</f>
        <v>-8.1677704194260556E-2</v>
      </c>
      <c r="BX76" s="4">
        <f>(BP76-BG76)/BG76</f>
        <v>0.3454545454545454</v>
      </c>
      <c r="BY76" s="4">
        <f>(BQ76-BH76)/BH76</f>
        <v>1.4722222222222223</v>
      </c>
      <c r="BZ76" s="4">
        <v>0.433</v>
      </c>
      <c r="CA76" s="4">
        <v>0.93200000000000005</v>
      </c>
      <c r="CB76" s="4">
        <v>4.7E-2</v>
      </c>
      <c r="CC76" s="4">
        <v>6.4000000000000001E-2</v>
      </c>
      <c r="CD76" s="4">
        <f>(BZ76-AR76)/AR76</f>
        <v>0.82700421940928281</v>
      </c>
      <c r="CE76" s="4">
        <f>(CA76-AS76)/AS76</f>
        <v>8.1206496519721658E-2</v>
      </c>
      <c r="CF76" s="4">
        <f>(CB76-AT76)/AT76</f>
        <v>-0.29850746268656719</v>
      </c>
      <c r="CG76" s="4">
        <f>(CC76-AU76)/AU76</f>
        <v>-0.1688311688311688</v>
      </c>
      <c r="CH76" s="4">
        <f>(BZ76-BN76)/BN76</f>
        <v>0.44816053511705689</v>
      </c>
      <c r="CI76" s="4">
        <f>(CA76-BO76)/BO76</f>
        <v>0.12019230769230781</v>
      </c>
      <c r="CJ76" s="4">
        <f>(CB76-BP76)/BP76</f>
        <v>-0.36486486486486486</v>
      </c>
      <c r="CK76" s="4">
        <f>(CC76-BQ76)/BQ76</f>
        <v>-0.6404494382022472</v>
      </c>
      <c r="CL76" s="4">
        <v>0.629</v>
      </c>
      <c r="CM76" s="4">
        <v>0.38300000000000001</v>
      </c>
      <c r="CN76" s="4">
        <f>CL76/CM76</f>
        <v>1.6422976501305482</v>
      </c>
    </row>
    <row r="77" spans="1:92" x14ac:dyDescent="0.3">
      <c r="A77" s="11" t="s">
        <v>78</v>
      </c>
      <c r="B77" s="12">
        <v>244</v>
      </c>
      <c r="C77" s="12">
        <v>20</v>
      </c>
      <c r="D77" s="12">
        <v>5</v>
      </c>
      <c r="E77" s="12">
        <v>1</v>
      </c>
      <c r="F77" s="12">
        <v>2</v>
      </c>
      <c r="G77" s="12" t="s">
        <v>43</v>
      </c>
      <c r="H77" s="5">
        <v>6.34</v>
      </c>
      <c r="I77" s="5">
        <v>0.85</v>
      </c>
      <c r="J77" s="8">
        <v>8.0500000000000007</v>
      </c>
      <c r="K77" s="8">
        <v>1.07</v>
      </c>
      <c r="L77" s="5">
        <f>(H77-I77)/(H77+I77)</f>
        <v>0.76356050069541037</v>
      </c>
      <c r="M77" s="8">
        <f>(J77-K77)/(J77+K77)</f>
        <v>0.76535087719298245</v>
      </c>
      <c r="N77" s="5">
        <v>0.32</v>
      </c>
      <c r="O77" s="5">
        <v>0.79100000000000004</v>
      </c>
      <c r="P77" s="5">
        <v>8.5999999999999993E-2</v>
      </c>
      <c r="Q77" s="5">
        <v>7.0000000000000007E-2</v>
      </c>
      <c r="R77" s="8">
        <v>0.4</v>
      </c>
      <c r="S77" s="8">
        <v>0.66800000000000004</v>
      </c>
      <c r="T77" s="8">
        <v>0.14299999999999999</v>
      </c>
      <c r="U77" s="8">
        <v>0.09</v>
      </c>
      <c r="V77" s="5">
        <v>0.37</v>
      </c>
      <c r="W77" s="5">
        <v>0.86699999999999999</v>
      </c>
      <c r="X77" s="5">
        <v>6.9000000000000006E-2</v>
      </c>
      <c r="Y77" s="5">
        <v>0.06</v>
      </c>
      <c r="Z77" s="5">
        <v>0.57999999999999996</v>
      </c>
      <c r="AA77" s="5">
        <f>(V77-N77)/N77</f>
        <v>0.15624999999999997</v>
      </c>
      <c r="AB77" s="5">
        <f>(W77-O77)/O77</f>
        <v>9.6080910240202211E-2</v>
      </c>
      <c r="AC77" s="5">
        <f>(X77-P77)/P77</f>
        <v>-0.19767441860465104</v>
      </c>
      <c r="AD77" s="5">
        <f>(Y77-Q77)/Q77</f>
        <v>-0.14285714285714296</v>
      </c>
      <c r="AE77" s="8">
        <v>0.46</v>
      </c>
      <c r="AF77" s="8">
        <v>0.747</v>
      </c>
      <c r="AG77" s="8">
        <v>0.124</v>
      </c>
      <c r="AH77" s="8">
        <v>0.06</v>
      </c>
      <c r="AI77" s="8">
        <v>0.57999999999999996</v>
      </c>
      <c r="AJ77" s="8">
        <f>(AE77-R77)/R77</f>
        <v>0.15</v>
      </c>
      <c r="AK77" s="8">
        <f>(AF77-S77)/S77</f>
        <v>0.11826347305389215</v>
      </c>
      <c r="AL77" s="8">
        <f>(AG77-T77)/T77</f>
        <v>-0.13286713286713281</v>
      </c>
      <c r="AM77" s="8">
        <f>(AH77-U77)/U77</f>
        <v>-0.33333333333333331</v>
      </c>
      <c r="AN77" s="5">
        <v>0.439</v>
      </c>
      <c r="AO77" s="5">
        <v>0.90600000000000003</v>
      </c>
      <c r="AP77" s="5">
        <v>8.8999999999999996E-2</v>
      </c>
      <c r="AQ77" s="5">
        <v>8.5999999999999993E-2</v>
      </c>
      <c r="AR77" s="5">
        <v>0.317</v>
      </c>
      <c r="AS77" s="5">
        <v>0.78600000000000003</v>
      </c>
      <c r="AT77" s="5">
        <v>8.1000000000000003E-2</v>
      </c>
      <c r="AU77" s="5">
        <v>6.9000000000000006E-2</v>
      </c>
      <c r="AV77" s="5">
        <v>0.47</v>
      </c>
      <c r="AW77" s="5">
        <v>0.92900000000000005</v>
      </c>
      <c r="AX77" s="5">
        <v>7.6999999999999999E-2</v>
      </c>
      <c r="AY77" s="5">
        <v>7.8E-2</v>
      </c>
      <c r="AZ77" s="5">
        <v>0.84</v>
      </c>
      <c r="BA77" s="6">
        <f>(AV77-AN77)/AN77</f>
        <v>7.061503416856485E-2</v>
      </c>
      <c r="BB77" s="6">
        <f>(AW77-AO77)/AO77</f>
        <v>2.5386313465783687E-2</v>
      </c>
      <c r="BC77" s="6">
        <f>(AX77-AP77)/AP77</f>
        <v>-0.13483146067415727</v>
      </c>
      <c r="BD77" s="6">
        <f>(AY77-AQ77)/AQ77</f>
        <v>-9.3023255813953418E-2</v>
      </c>
      <c r="BE77" s="5">
        <v>0.34599999999999997</v>
      </c>
      <c r="BF77" s="5">
        <v>0.83399999999999996</v>
      </c>
      <c r="BG77" s="5">
        <v>7.0999999999999994E-2</v>
      </c>
      <c r="BH77" s="5">
        <v>6.5000000000000002E-2</v>
      </c>
      <c r="BI77" s="5">
        <v>0.83</v>
      </c>
      <c r="BJ77" s="5">
        <f>(BE77-AN77)/AN77</f>
        <v>-0.21184510250569483</v>
      </c>
      <c r="BK77" s="5">
        <f>(BF77-AO77)/AO77</f>
        <v>-7.9470198675496762E-2</v>
      </c>
      <c r="BL77" s="5">
        <f>(BG77-AP77)/AP77</f>
        <v>-0.20224719101123598</v>
      </c>
      <c r="BM77" s="5">
        <f>(BH77-AQ77)/AQ77</f>
        <v>-0.24418604651162781</v>
      </c>
      <c r="BN77" s="5">
        <v>0.33500000000000002</v>
      </c>
      <c r="BO77" s="5">
        <v>0.71499999999999997</v>
      </c>
      <c r="BP77" s="5">
        <v>9.2999999999999999E-2</v>
      </c>
      <c r="BQ77" s="5">
        <v>0.20699999999999999</v>
      </c>
      <c r="BR77" s="5">
        <f>(BN77-AR77)/AR77</f>
        <v>5.6782334384858094E-2</v>
      </c>
      <c r="BS77" s="5">
        <f>(BO77-AS77)/AS77</f>
        <v>-9.0330788804071319E-2</v>
      </c>
      <c r="BT77" s="5">
        <f>(BP77-AT77)/AT77</f>
        <v>0.14814814814814811</v>
      </c>
      <c r="BU77" s="5">
        <f>(BQ77-AU77)/AU77</f>
        <v>1.9999999999999996</v>
      </c>
      <c r="BV77" s="4">
        <f>(BN77-BE77)/BE77</f>
        <v>-3.179190751445074E-2</v>
      </c>
      <c r="BW77" s="4">
        <f>(BO77-BF77)/BF77</f>
        <v>-0.14268585131894485</v>
      </c>
      <c r="BX77" s="4">
        <f>(BP77-BG77)/BG77</f>
        <v>0.30985915492957755</v>
      </c>
      <c r="BY77" s="4">
        <f>(BQ77-BH77)/BH77</f>
        <v>2.1846153846153844</v>
      </c>
      <c r="BZ77" s="5">
        <v>0.36299999999999999</v>
      </c>
      <c r="CA77" s="5">
        <v>0.85399999999999998</v>
      </c>
      <c r="CB77" s="5">
        <v>6.7000000000000004E-2</v>
      </c>
      <c r="CC77" s="5">
        <v>5.5E-2</v>
      </c>
      <c r="CD77" s="4">
        <f>(BZ77-AR77)/AR77</f>
        <v>0.14511041009463718</v>
      </c>
      <c r="CE77" s="4">
        <f>(CA77-AS77)/AS77</f>
        <v>8.6513994910941402E-2</v>
      </c>
      <c r="CF77" s="4">
        <f>(CB77-AT77)/AT77</f>
        <v>-0.1728395061728395</v>
      </c>
      <c r="CG77" s="4">
        <f>(CC77-AU77)/AU77</f>
        <v>-0.20289855072463775</v>
      </c>
      <c r="CH77" s="4">
        <f>(BZ77-BN77)/BN77</f>
        <v>8.3582089552238711E-2</v>
      </c>
      <c r="CI77" s="4">
        <f>(CA77-BO77)/BO77</f>
        <v>0.19440559440559443</v>
      </c>
      <c r="CJ77" s="4">
        <f>(CB77-BP77)/BP77</f>
        <v>-0.27956989247311825</v>
      </c>
      <c r="CK77" s="4">
        <f>(CC77-BQ77)/BQ77</f>
        <v>-0.7342995169082126</v>
      </c>
      <c r="CL77" s="5">
        <v>0.77100000000000002</v>
      </c>
      <c r="CM77" s="5">
        <v>0.22900000000000001</v>
      </c>
      <c r="CN77" s="4">
        <f>CL77/CM77</f>
        <v>3.3668122270742358</v>
      </c>
    </row>
    <row r="78" spans="1:92" x14ac:dyDescent="0.3">
      <c r="A78" s="11" t="s">
        <v>79</v>
      </c>
      <c r="B78" s="13">
        <v>165</v>
      </c>
      <c r="C78" s="13">
        <v>39</v>
      </c>
      <c r="D78" s="13">
        <v>5</v>
      </c>
      <c r="E78" s="13">
        <v>5</v>
      </c>
      <c r="F78" s="13">
        <v>5</v>
      </c>
      <c r="G78" s="12" t="s">
        <v>1</v>
      </c>
      <c r="H78" s="4">
        <v>6.51</v>
      </c>
      <c r="I78" s="4">
        <v>3.91</v>
      </c>
      <c r="J78" s="4">
        <v>7.47</v>
      </c>
      <c r="K78" s="4">
        <v>4.4000000000000004</v>
      </c>
      <c r="L78" s="5">
        <f>(H78-I78)/(H78+I78)</f>
        <v>0.24952015355086368</v>
      </c>
      <c r="M78" s="5">
        <f>(J78-K78)/(J78+K78)</f>
        <v>0.25863521482729562</v>
      </c>
      <c r="N78" s="4">
        <v>0.17</v>
      </c>
      <c r="O78" s="4">
        <v>0.29699999999999999</v>
      </c>
      <c r="P78" s="4">
        <v>0.111</v>
      </c>
      <c r="Q78" s="4">
        <v>0.15</v>
      </c>
      <c r="R78" s="4">
        <v>0.19</v>
      </c>
      <c r="S78" s="4">
        <v>0.216</v>
      </c>
      <c r="T78" s="4">
        <v>0.14799999999999999</v>
      </c>
      <c r="U78" s="4">
        <v>0.16</v>
      </c>
      <c r="V78" s="4">
        <v>0.43</v>
      </c>
      <c r="W78" s="4">
        <v>0.79900000000000004</v>
      </c>
      <c r="X78" s="4">
        <v>5.8999999999999997E-2</v>
      </c>
      <c r="Y78" s="4">
        <v>0.05</v>
      </c>
      <c r="Z78" s="4">
        <v>0.17299999999999999</v>
      </c>
      <c r="AA78" s="5">
        <f>(V78-N78)/N78</f>
        <v>1.5294117647058822</v>
      </c>
      <c r="AB78" s="5">
        <f>(W78-O78)/O78</f>
        <v>1.6902356902356903</v>
      </c>
      <c r="AC78" s="5">
        <f>(X78-P78)/P78</f>
        <v>-0.46846846846846851</v>
      </c>
      <c r="AD78" s="5">
        <f>(Y78-Q78)/Q78</f>
        <v>-0.66666666666666663</v>
      </c>
      <c r="AE78" s="4">
        <v>0.49</v>
      </c>
      <c r="AF78" s="4">
        <v>0.56999999999999995</v>
      </c>
      <c r="AG78" s="4">
        <v>0.108</v>
      </c>
      <c r="AH78" s="4">
        <v>0.06</v>
      </c>
      <c r="AI78" s="4">
        <v>0.182</v>
      </c>
      <c r="AJ78" s="5">
        <f>(AE78-R78)/R78</f>
        <v>1.5789473684210527</v>
      </c>
      <c r="AK78" s="5">
        <f>(AF78-S78)/S78</f>
        <v>1.6388888888888888</v>
      </c>
      <c r="AL78" s="5">
        <f>(AG78-T78)/T78</f>
        <v>-0.27027027027027023</v>
      </c>
      <c r="AM78" s="5">
        <f>(AH78-U78)/U78</f>
        <v>-0.625</v>
      </c>
      <c r="AN78" s="7">
        <v>0.246</v>
      </c>
      <c r="AO78" s="7">
        <v>0.47799999999999998</v>
      </c>
      <c r="AP78" s="7">
        <v>0.122</v>
      </c>
      <c r="AQ78" s="7">
        <v>0.16600000000000001</v>
      </c>
      <c r="AR78" s="4">
        <v>0.14099999999999999</v>
      </c>
      <c r="AS78" s="4">
        <v>0.254</v>
      </c>
      <c r="AT78" s="4">
        <v>0.114</v>
      </c>
      <c r="AU78" s="4">
        <v>0.14199999999999999</v>
      </c>
      <c r="AV78" s="7">
        <v>0.47899999999999998</v>
      </c>
      <c r="AW78" s="7">
        <v>0.86599999999999999</v>
      </c>
      <c r="AX78" s="7">
        <v>6.2E-2</v>
      </c>
      <c r="AY78" s="7">
        <v>9.6000000000000002E-2</v>
      </c>
      <c r="AZ78" s="7">
        <v>0.29399999999999998</v>
      </c>
      <c r="BA78" s="8">
        <f>(AV78-AN78)/AN78</f>
        <v>0.94715447154471544</v>
      </c>
      <c r="BB78" s="8">
        <f>(AW78-AO78)/AO78</f>
        <v>0.81171548117154813</v>
      </c>
      <c r="BC78" s="8">
        <f>(AX78-AP78)/AP78</f>
        <v>-0.49180327868852458</v>
      </c>
      <c r="BD78" s="8">
        <f>(AY78-AQ78)/AQ78</f>
        <v>-0.42168674698795183</v>
      </c>
      <c r="BE78" s="4">
        <v>0.39600000000000002</v>
      </c>
      <c r="BF78" s="4">
        <v>0.75</v>
      </c>
      <c r="BG78" s="4">
        <v>6.6000000000000003E-2</v>
      </c>
      <c r="BH78" s="4">
        <v>8.6999999999999994E-2</v>
      </c>
      <c r="BI78" s="4">
        <v>0.27400000000000002</v>
      </c>
      <c r="BJ78" s="5">
        <f>(BE78-AN78)/AN78</f>
        <v>0.60975609756097571</v>
      </c>
      <c r="BK78" s="5">
        <f>(BF78-AO78)/AO78</f>
        <v>0.56903765690376573</v>
      </c>
      <c r="BL78" s="5">
        <f>(BG78-AP78)/AP78</f>
        <v>-0.45901639344262291</v>
      </c>
      <c r="BM78" s="5">
        <f>(BH78-AQ78)/AQ78</f>
        <v>-0.47590361445783141</v>
      </c>
      <c r="BN78" s="4">
        <v>0.39100000000000001</v>
      </c>
      <c r="BO78" s="4">
        <v>0.71599999999999997</v>
      </c>
      <c r="BP78" s="4">
        <v>7.0999999999999994E-2</v>
      </c>
      <c r="BQ78" s="4">
        <v>0.14000000000000001</v>
      </c>
      <c r="BR78" s="5">
        <f>(BN78-AR78)/AR78</f>
        <v>1.773049645390071</v>
      </c>
      <c r="BS78" s="5">
        <f>(BO78-AS78)/AS78</f>
        <v>1.8188976377952755</v>
      </c>
      <c r="BT78" s="5">
        <f>(BP78-AT78)/AT78</f>
        <v>-0.37719298245614041</v>
      </c>
      <c r="BU78" s="5">
        <f>(BQ78-AU78)/AU78</f>
        <v>-1.4084507042253339E-2</v>
      </c>
      <c r="BV78" s="4">
        <f>(BN78-BE78)/BE78</f>
        <v>-1.2626262626262636E-2</v>
      </c>
      <c r="BW78" s="4">
        <f>(BO78-BF78)/BF78</f>
        <v>-4.5333333333333371E-2</v>
      </c>
      <c r="BX78" s="4">
        <f>(BP78-BG78)/BG78</f>
        <v>7.5757575757575607E-2</v>
      </c>
      <c r="BY78" s="4">
        <f>(BQ78-BH78)/BH78</f>
        <v>0.60919540229885083</v>
      </c>
      <c r="BZ78" s="4">
        <v>0.43099999999999999</v>
      </c>
      <c r="CA78" s="4">
        <v>0.77700000000000002</v>
      </c>
      <c r="CB78" s="4">
        <v>6.2E-2</v>
      </c>
      <c r="CC78" s="4">
        <v>0.109</v>
      </c>
      <c r="CD78" s="4">
        <f>(BZ78-AR78)/AR78</f>
        <v>2.0567375886524828</v>
      </c>
      <c r="CE78" s="4">
        <f>(CA78-AS78)/AS78</f>
        <v>2.0590551181102361</v>
      </c>
      <c r="CF78" s="4">
        <f>(CB78-AT78)/AT78</f>
        <v>-0.45614035087719301</v>
      </c>
      <c r="CG78" s="4">
        <f>(CC78-AU78)/AU78</f>
        <v>-0.23239436619718304</v>
      </c>
      <c r="CH78" s="4">
        <f>(BZ78-BN78)/BN78</f>
        <v>0.10230179028132987</v>
      </c>
      <c r="CI78" s="4">
        <f>(CA78-BO78)/BO78</f>
        <v>8.519553072625706E-2</v>
      </c>
      <c r="CJ78" s="4">
        <f>(CB78-BP78)/BP78</f>
        <v>-0.12676056338028163</v>
      </c>
      <c r="CK78" s="4">
        <f>(CC78-BQ78)/BQ78</f>
        <v>-0.2214285714285715</v>
      </c>
      <c r="CL78" s="4">
        <v>0.27100000000000002</v>
      </c>
      <c r="CM78" s="4">
        <v>0.77600000000000002</v>
      </c>
      <c r="CN78" s="4">
        <f>CL78/CM78</f>
        <v>0.34922680412371138</v>
      </c>
    </row>
    <row r="79" spans="1:92" x14ac:dyDescent="0.3">
      <c r="A79" s="11" t="s">
        <v>80</v>
      </c>
      <c r="B79" s="13">
        <v>973</v>
      </c>
      <c r="C79" s="13">
        <v>39</v>
      </c>
      <c r="D79" s="13">
        <v>5</v>
      </c>
      <c r="E79" s="13">
        <v>5</v>
      </c>
      <c r="F79" s="13">
        <v>5</v>
      </c>
      <c r="G79" s="12" t="s">
        <v>1</v>
      </c>
      <c r="H79" s="4">
        <v>6</v>
      </c>
      <c r="I79" s="4">
        <v>3.8</v>
      </c>
      <c r="J79" s="4">
        <v>6.77</v>
      </c>
      <c r="K79" s="4">
        <v>4.28</v>
      </c>
      <c r="L79" s="5">
        <f>(H79-I79)/(H79+I79)</f>
        <v>0.22448979591836735</v>
      </c>
      <c r="M79" s="5">
        <f>(J79-K79)/(J79+K79)</f>
        <v>0.22533936651583703</v>
      </c>
      <c r="N79" s="4">
        <v>0.15</v>
      </c>
      <c r="O79" s="4">
        <v>0.35299999999999998</v>
      </c>
      <c r="P79" s="4">
        <v>0.10199999999999999</v>
      </c>
      <c r="Q79" s="4">
        <v>0.12</v>
      </c>
      <c r="R79" s="4">
        <v>0.17</v>
      </c>
      <c r="S79" s="4">
        <v>0.32700000000000001</v>
      </c>
      <c r="T79" s="4">
        <v>0.11700000000000001</v>
      </c>
      <c r="U79" s="4">
        <v>0.14000000000000001</v>
      </c>
      <c r="V79" s="4">
        <v>0.38</v>
      </c>
      <c r="W79" s="4">
        <v>0.88600000000000001</v>
      </c>
      <c r="X79" s="4">
        <v>4.2999999999999997E-2</v>
      </c>
      <c r="Y79" s="4">
        <v>0.03</v>
      </c>
      <c r="Z79" s="4">
        <v>0.16200000000000001</v>
      </c>
      <c r="AA79" s="5">
        <f>(V79-N79)/N79</f>
        <v>1.5333333333333334</v>
      </c>
      <c r="AB79" s="5">
        <f>(W79-O79)/O79</f>
        <v>1.5099150141643061</v>
      </c>
      <c r="AC79" s="5">
        <f>(X79-P79)/P79</f>
        <v>-0.57843137254901966</v>
      </c>
      <c r="AD79" s="5">
        <f>(Y79-Q79)/Q79</f>
        <v>-0.75</v>
      </c>
      <c r="AE79" s="4">
        <v>0.43</v>
      </c>
      <c r="AF79" s="4">
        <v>0.84499999999999997</v>
      </c>
      <c r="AG79" s="4">
        <v>5.6000000000000001E-2</v>
      </c>
      <c r="AH79" s="4">
        <v>0.03</v>
      </c>
      <c r="AI79" s="4">
        <v>0.16400000000000001</v>
      </c>
      <c r="AJ79" s="5">
        <f>(AE79-R79)/R79</f>
        <v>1.5294117647058822</v>
      </c>
      <c r="AK79" s="5">
        <f>(AF79-S79)/S79</f>
        <v>1.584097859327217</v>
      </c>
      <c r="AL79" s="5">
        <f>(AG79-T79)/T79</f>
        <v>-0.5213675213675214</v>
      </c>
      <c r="AM79" s="5">
        <f>(AH79-U79)/U79</f>
        <v>-0.7857142857142857</v>
      </c>
      <c r="AN79" s="4">
        <v>0.191</v>
      </c>
      <c r="AO79" s="4">
        <v>0.51200000000000001</v>
      </c>
      <c r="AP79" s="4">
        <v>0.127</v>
      </c>
      <c r="AQ79" s="4">
        <v>0.14199999999999999</v>
      </c>
      <c r="AR79" s="4">
        <v>8.5999999999999993E-2</v>
      </c>
      <c r="AS79" s="4">
        <v>0.35299999999999998</v>
      </c>
      <c r="AT79" s="4">
        <v>9.2999999999999999E-2</v>
      </c>
      <c r="AU79" s="4">
        <v>0.125</v>
      </c>
      <c r="AV79" s="4">
        <v>0.42899999999999999</v>
      </c>
      <c r="AW79" s="4">
        <v>0.89800000000000002</v>
      </c>
      <c r="AX79" s="4">
        <v>5.8000000000000003E-2</v>
      </c>
      <c r="AY79" s="4">
        <v>6.6000000000000003E-2</v>
      </c>
      <c r="AZ79" s="4">
        <v>0.27500000000000002</v>
      </c>
      <c r="BA79" s="6">
        <f>(AV79-AN79)/AN79</f>
        <v>1.2460732984293192</v>
      </c>
      <c r="BB79" s="6">
        <f>(AW79-AO79)/AO79</f>
        <v>0.75390625</v>
      </c>
      <c r="BC79" s="6">
        <f>(AX79-AP79)/AP79</f>
        <v>-0.54330708661417326</v>
      </c>
      <c r="BD79" s="6">
        <f>(AY79-AQ79)/AQ79</f>
        <v>-0.53521126760563376</v>
      </c>
      <c r="BE79" s="4">
        <v>0.36299999999999999</v>
      </c>
      <c r="BF79" s="4">
        <v>0.84899999999999998</v>
      </c>
      <c r="BG79" s="4">
        <v>4.4999999999999998E-2</v>
      </c>
      <c r="BH79" s="4">
        <v>6.2E-2</v>
      </c>
      <c r="BI79" s="4">
        <v>0.255</v>
      </c>
      <c r="BJ79" s="5">
        <f>(BE79-AN79)/AN79</f>
        <v>0.90052356020942403</v>
      </c>
      <c r="BK79" s="5">
        <f>(BF79-AO79)/AO79</f>
        <v>0.65820312499999989</v>
      </c>
      <c r="BL79" s="5">
        <f>(BG79-AP79)/AP79</f>
        <v>-0.64566929133858264</v>
      </c>
      <c r="BM79" s="5">
        <f>(BH79-AQ79)/AQ79</f>
        <v>-0.56338028169014076</v>
      </c>
      <c r="BN79" s="4">
        <v>0.36</v>
      </c>
      <c r="BO79" s="4">
        <v>0.80900000000000005</v>
      </c>
      <c r="BP79" s="4">
        <v>5.0999999999999997E-2</v>
      </c>
      <c r="BQ79" s="4">
        <v>0.113</v>
      </c>
      <c r="BR79" s="5">
        <f>(BN79-AR79)/AR79</f>
        <v>3.1860465116279073</v>
      </c>
      <c r="BS79" s="5">
        <f>(BO79-AS79)/AS79</f>
        <v>1.2917847025495754</v>
      </c>
      <c r="BT79" s="5">
        <f>(BP79-AT79)/AT79</f>
        <v>-0.45161290322580649</v>
      </c>
      <c r="BU79" s="5">
        <f>(BQ79-AU79)/AU79</f>
        <v>-9.5999999999999974E-2</v>
      </c>
      <c r="BV79" s="4">
        <f>(BN79-BE79)/BE79</f>
        <v>-8.2644628099173625E-3</v>
      </c>
      <c r="BW79" s="4">
        <f>(BO79-BF79)/BF79</f>
        <v>-4.7114252061248439E-2</v>
      </c>
      <c r="BX79" s="4">
        <f>(BP79-BG79)/BG79</f>
        <v>0.1333333333333333</v>
      </c>
      <c r="BY79" s="4">
        <f>(BQ79-BH79)/BH79</f>
        <v>0.82258064516129037</v>
      </c>
      <c r="BZ79" s="4">
        <v>0.36399999999999999</v>
      </c>
      <c r="CA79" s="4">
        <v>0.88500000000000001</v>
      </c>
      <c r="CB79" s="4">
        <v>3.9E-2</v>
      </c>
      <c r="CC79" s="4">
        <v>6.9000000000000006E-2</v>
      </c>
      <c r="CD79" s="4">
        <f>(BZ79-AR79)/AR79</f>
        <v>3.2325581395348841</v>
      </c>
      <c r="CE79" s="4">
        <f>(CA79-AS79)/AS79</f>
        <v>1.5070821529745044</v>
      </c>
      <c r="CF79" s="4">
        <f>(CB79-AT79)/AT79</f>
        <v>-0.58064516129032262</v>
      </c>
      <c r="CG79" s="4">
        <f>(CC79-AU79)/AU79</f>
        <v>-0.44799999999999995</v>
      </c>
      <c r="CH79" s="4">
        <f>(BZ79-BN79)/BN79</f>
        <v>1.1111111111111122E-2</v>
      </c>
      <c r="CI79" s="4">
        <f>(CA79-BO79)/BO79</f>
        <v>9.394313967861552E-2</v>
      </c>
      <c r="CJ79" s="4">
        <f>(CB79-BP79)/BP79</f>
        <v>-0.23529411764705876</v>
      </c>
      <c r="CK79" s="4">
        <f>(CC79-BQ79)/BQ79</f>
        <v>-0.38938053097345127</v>
      </c>
      <c r="CL79" s="4">
        <v>0.28499999999999998</v>
      </c>
      <c r="CM79" s="4">
        <v>0.749</v>
      </c>
      <c r="CN79" s="4">
        <f>CL79/CM79</f>
        <v>0.38050734312416551</v>
      </c>
    </row>
    <row r="80" spans="1:92" x14ac:dyDescent="0.3">
      <c r="A80" s="11" t="s">
        <v>81</v>
      </c>
      <c r="B80" s="13">
        <v>398</v>
      </c>
      <c r="C80" s="13">
        <v>39</v>
      </c>
      <c r="D80" s="13">
        <v>5</v>
      </c>
      <c r="E80" s="13">
        <v>5</v>
      </c>
      <c r="F80" s="13">
        <v>5</v>
      </c>
      <c r="G80" s="12" t="s">
        <v>1</v>
      </c>
      <c r="H80" s="4">
        <v>5.44</v>
      </c>
      <c r="I80" s="4">
        <v>3.44</v>
      </c>
      <c r="J80" s="4">
        <v>6.03</v>
      </c>
      <c r="K80" s="4">
        <v>3.9</v>
      </c>
      <c r="L80" s="5">
        <f>(H80-I80)/(H80+I80)</f>
        <v>0.22522522522522526</v>
      </c>
      <c r="M80" s="5">
        <f>(J80-K80)/(J80+K80)</f>
        <v>0.21450151057401817</v>
      </c>
      <c r="N80" s="4">
        <v>0.14000000000000001</v>
      </c>
      <c r="O80" s="4">
        <v>0.34300000000000003</v>
      </c>
      <c r="P80" s="4">
        <v>9.6000000000000002E-2</v>
      </c>
      <c r="Q80" s="4">
        <v>0.12</v>
      </c>
      <c r="R80" s="4">
        <v>0.15</v>
      </c>
      <c r="S80" s="4">
        <v>0.29699999999999999</v>
      </c>
      <c r="T80" s="4">
        <v>0.114</v>
      </c>
      <c r="U80" s="4">
        <v>0.14000000000000001</v>
      </c>
      <c r="V80" s="4">
        <v>0.36</v>
      </c>
      <c r="W80" s="4">
        <v>0.84399999999999997</v>
      </c>
      <c r="X80" s="4">
        <v>4.7E-2</v>
      </c>
      <c r="Y80" s="4">
        <v>0.04</v>
      </c>
      <c r="Z80" s="4">
        <v>0.16900000000000001</v>
      </c>
      <c r="AA80" s="5">
        <f>(V80-N80)/N80</f>
        <v>1.5714285714285712</v>
      </c>
      <c r="AB80" s="5">
        <f>(W80-O80)/O80</f>
        <v>1.4606413994169092</v>
      </c>
      <c r="AC80" s="5">
        <f>(X80-P80)/P80</f>
        <v>-0.51041666666666663</v>
      </c>
      <c r="AD80" s="5">
        <f>(Y80-Q80)/Q80</f>
        <v>-0.66666666666666663</v>
      </c>
      <c r="AE80" s="4">
        <v>0.4</v>
      </c>
      <c r="AF80" s="4">
        <v>0.75900000000000001</v>
      </c>
      <c r="AG80" s="4">
        <v>6.6000000000000003E-2</v>
      </c>
      <c r="AH80" s="4">
        <v>0.04</v>
      </c>
      <c r="AI80" s="4">
        <v>0.17100000000000001</v>
      </c>
      <c r="AJ80" s="5">
        <f>(AE80-R80)/R80</f>
        <v>1.6666666666666667</v>
      </c>
      <c r="AK80" s="5">
        <f>(AF80-S80)/S80</f>
        <v>1.5555555555555558</v>
      </c>
      <c r="AL80" s="5">
        <f>(AG80-T80)/T80</f>
        <v>-0.42105263157894735</v>
      </c>
      <c r="AM80" s="5">
        <f>(AH80-U80)/U80</f>
        <v>-0.7142857142857143</v>
      </c>
      <c r="AN80" s="4">
        <v>9.8000000000000004E-2</v>
      </c>
      <c r="AO80" s="4">
        <v>0.45600000000000002</v>
      </c>
      <c r="AP80" s="4">
        <v>0.111</v>
      </c>
      <c r="AQ80" s="4">
        <v>0.13500000000000001</v>
      </c>
      <c r="AR80" s="4">
        <v>7.0999999999999994E-2</v>
      </c>
      <c r="AS80" s="4">
        <v>0.317</v>
      </c>
      <c r="AT80" s="4">
        <v>9.4E-2</v>
      </c>
      <c r="AU80" s="4">
        <v>0.11799999999999999</v>
      </c>
      <c r="AV80" s="4">
        <v>0.36199999999999999</v>
      </c>
      <c r="AW80" s="4">
        <v>0.82899999999999996</v>
      </c>
      <c r="AX80" s="4">
        <v>6.2E-2</v>
      </c>
      <c r="AY80" s="4">
        <v>8.3000000000000004E-2</v>
      </c>
      <c r="AZ80" s="4">
        <v>0.25700000000000001</v>
      </c>
      <c r="BA80" s="6">
        <f>(AV80-AN80)/AN80</f>
        <v>2.693877551020408</v>
      </c>
      <c r="BB80" s="6">
        <f>(AW80-AO80)/AO80</f>
        <v>0.8179824561403507</v>
      </c>
      <c r="BC80" s="6">
        <f>(AX80-AP80)/AP80</f>
        <v>-0.44144144144144143</v>
      </c>
      <c r="BD80" s="6">
        <f>(AY80-AQ80)/AQ80</f>
        <v>-0.38518518518518519</v>
      </c>
      <c r="BE80" s="4">
        <v>0.30099999999999999</v>
      </c>
      <c r="BF80" s="4">
        <v>0.77</v>
      </c>
      <c r="BG80" s="4">
        <v>5.5E-2</v>
      </c>
      <c r="BH80" s="4">
        <v>7.5999999999999998E-2</v>
      </c>
      <c r="BI80" s="4">
        <v>0.24399999999999999</v>
      </c>
      <c r="BJ80" s="5">
        <f>(BE80-AN80)/AN80</f>
        <v>2.0714285714285712</v>
      </c>
      <c r="BK80" s="5">
        <f>(BF80-AO80)/AO80</f>
        <v>0.68859649122807021</v>
      </c>
      <c r="BL80" s="5">
        <f>(BG80-AP80)/AP80</f>
        <v>-0.50450450450450446</v>
      </c>
      <c r="BM80" s="5">
        <f>(BH80-AQ80)/AQ80</f>
        <v>-0.43703703703703711</v>
      </c>
      <c r="BN80" s="4">
        <v>0.3</v>
      </c>
      <c r="BO80" s="4">
        <v>0.73399999999999999</v>
      </c>
      <c r="BP80" s="4">
        <v>5.8999999999999997E-2</v>
      </c>
      <c r="BQ80" s="4">
        <v>0.112</v>
      </c>
      <c r="BR80" s="5">
        <f>(BN80-AR80)/AR80</f>
        <v>3.2253521126760565</v>
      </c>
      <c r="BS80" s="5">
        <f>(BO80-AS80)/AS80</f>
        <v>1.3154574132492112</v>
      </c>
      <c r="BT80" s="5">
        <f>(BP80-AT80)/AT80</f>
        <v>-0.37234042553191493</v>
      </c>
      <c r="BU80" s="5">
        <f>(BQ80-AU80)/AU80</f>
        <v>-5.0847457627118571E-2</v>
      </c>
      <c r="BV80" s="4">
        <f>(BN80-BE80)/BE80</f>
        <v>-3.3222591362126277E-3</v>
      </c>
      <c r="BW80" s="4">
        <f>(BO80-BF80)/BF80</f>
        <v>-4.6753246753246797E-2</v>
      </c>
      <c r="BX80" s="4">
        <f>(BP80-BG80)/BG80</f>
        <v>7.2727272727272668E-2</v>
      </c>
      <c r="BY80" s="4">
        <f>(BQ80-BH80)/BH80</f>
        <v>0.47368421052631587</v>
      </c>
      <c r="BZ80" s="4">
        <v>0.33100000000000002</v>
      </c>
      <c r="CA80" s="4">
        <v>0.78400000000000003</v>
      </c>
      <c r="CB80" s="4">
        <v>5.2999999999999999E-2</v>
      </c>
      <c r="CC80" s="4">
        <v>0.09</v>
      </c>
      <c r="CD80" s="4">
        <f>(BZ80-AR80)/AR80</f>
        <v>3.6619718309859159</v>
      </c>
      <c r="CE80" s="4">
        <f>(CA80-AS80)/AS80</f>
        <v>1.4731861198738172</v>
      </c>
      <c r="CF80" s="4">
        <f>(CB80-AT80)/AT80</f>
        <v>-0.43617021276595747</v>
      </c>
      <c r="CG80" s="4">
        <f>(CC80-AU80)/AU80</f>
        <v>-0.23728813559322032</v>
      </c>
      <c r="CH80" s="4">
        <f>(BZ80-BN80)/BN80</f>
        <v>0.10333333333333343</v>
      </c>
      <c r="CI80" s="4">
        <f>(CA80-BO80)/BO80</f>
        <v>6.8119891008174449E-2</v>
      </c>
      <c r="CJ80" s="4">
        <f>(CB80-BP80)/BP80</f>
        <v>-0.10169491525423727</v>
      </c>
      <c r="CK80" s="4">
        <f>(CC80-BQ80)/BQ80</f>
        <v>-0.19642857142857148</v>
      </c>
      <c r="CL80" s="4">
        <v>0.22800000000000001</v>
      </c>
      <c r="CM80" s="4">
        <v>0.76</v>
      </c>
      <c r="CN80" s="4">
        <f>CL80/CM80</f>
        <v>0.3</v>
      </c>
    </row>
    <row r="81" spans="1:92" x14ac:dyDescent="0.3">
      <c r="A81" s="11" t="s">
        <v>82</v>
      </c>
      <c r="B81" s="13">
        <v>215</v>
      </c>
      <c r="C81" s="13">
        <v>39</v>
      </c>
      <c r="D81" s="13">
        <v>5</v>
      </c>
      <c r="E81" s="13">
        <v>5</v>
      </c>
      <c r="F81" s="13">
        <v>5</v>
      </c>
      <c r="G81" s="12" t="s">
        <v>1</v>
      </c>
      <c r="H81" s="4">
        <v>7.11</v>
      </c>
      <c r="I81" s="4">
        <v>4.55</v>
      </c>
      <c r="J81" s="4">
        <v>7.91</v>
      </c>
      <c r="K81" s="4">
        <v>5.05</v>
      </c>
      <c r="L81" s="5">
        <f>(H81-I81)/(H81+I81)</f>
        <v>0.21955403087478564</v>
      </c>
      <c r="M81" s="5">
        <f>(J81-K81)/(J81+K81)</f>
        <v>0.22067901234567902</v>
      </c>
      <c r="N81" s="4">
        <v>0.18</v>
      </c>
      <c r="O81" s="4">
        <v>0.35299999999999998</v>
      </c>
      <c r="P81" s="4">
        <v>0.111</v>
      </c>
      <c r="Q81" s="4">
        <v>0.15</v>
      </c>
      <c r="R81" s="4">
        <v>0.2</v>
      </c>
      <c r="S81" s="4">
        <v>0.28100000000000003</v>
      </c>
      <c r="T81" s="4">
        <v>0.14000000000000001</v>
      </c>
      <c r="U81" s="4">
        <v>0.16</v>
      </c>
      <c r="V81" s="4">
        <v>0.44</v>
      </c>
      <c r="W81" s="4">
        <v>0.873</v>
      </c>
      <c r="X81" s="4">
        <v>4.8000000000000001E-2</v>
      </c>
      <c r="Y81" s="4">
        <v>0.04</v>
      </c>
      <c r="Z81" s="4">
        <v>0.188</v>
      </c>
      <c r="AA81" s="5">
        <f>(V81-N81)/N81</f>
        <v>1.4444444444444446</v>
      </c>
      <c r="AB81" s="5">
        <f>(W81-O81)/O81</f>
        <v>1.4730878186968839</v>
      </c>
      <c r="AC81" s="5">
        <f>(X81-P81)/P81</f>
        <v>-0.56756756756756754</v>
      </c>
      <c r="AD81" s="5">
        <f>(Y81-Q81)/Q81</f>
        <v>-0.73333333333333328</v>
      </c>
      <c r="AE81" s="4">
        <v>0.49</v>
      </c>
      <c r="AF81" s="4">
        <v>0.71199999999999997</v>
      </c>
      <c r="AG81" s="4">
        <v>8.7999999999999995E-2</v>
      </c>
      <c r="AH81" s="4">
        <v>0.05</v>
      </c>
      <c r="AI81" s="4">
        <v>0.183</v>
      </c>
      <c r="AJ81" s="5">
        <f>(AE81-R81)/R81</f>
        <v>1.4499999999999997</v>
      </c>
      <c r="AK81" s="5">
        <f>(AF81-S81)/S81</f>
        <v>1.5338078291814943</v>
      </c>
      <c r="AL81" s="5">
        <f>(AG81-T81)/T81</f>
        <v>-0.37142857142857155</v>
      </c>
      <c r="AM81" s="5">
        <f>(AH81-U81)/U81</f>
        <v>-0.6875</v>
      </c>
      <c r="AN81" s="4">
        <v>0.187</v>
      </c>
      <c r="AO81" s="4">
        <v>0.504</v>
      </c>
      <c r="AP81" s="4">
        <v>0.13</v>
      </c>
      <c r="AQ81" s="4">
        <v>0.16700000000000001</v>
      </c>
      <c r="AR81" s="4">
        <v>0.11700000000000001</v>
      </c>
      <c r="AS81" s="4">
        <v>0.32200000000000001</v>
      </c>
      <c r="AT81" s="4">
        <v>0.112</v>
      </c>
      <c r="AU81" s="4">
        <v>0.14599999999999999</v>
      </c>
      <c r="AV81" s="4">
        <v>0.42799999999999999</v>
      </c>
      <c r="AW81" s="4">
        <v>0.86799999999999999</v>
      </c>
      <c r="AX81" s="4">
        <v>6.7000000000000004E-2</v>
      </c>
      <c r="AY81" s="4">
        <v>9.5000000000000001E-2</v>
      </c>
      <c r="AZ81" s="4">
        <v>0.34499999999999997</v>
      </c>
      <c r="BA81" s="6">
        <f>(AV81-AN81)/AN81</f>
        <v>1.2887700534759359</v>
      </c>
      <c r="BB81" s="6">
        <f>(AW81-AO81)/AO81</f>
        <v>0.72222222222222221</v>
      </c>
      <c r="BC81" s="6">
        <f>(AX81-AP81)/AP81</f>
        <v>-0.48461538461538461</v>
      </c>
      <c r="BD81" s="6">
        <f>(AY81-AQ81)/AQ81</f>
        <v>-0.43113772455089822</v>
      </c>
      <c r="BE81" s="4">
        <v>0.38200000000000001</v>
      </c>
      <c r="BF81" s="4">
        <v>0.80300000000000005</v>
      </c>
      <c r="BG81" s="4">
        <v>0.06</v>
      </c>
      <c r="BH81" s="4">
        <v>8.8999999999999996E-2</v>
      </c>
      <c r="BI81" s="4">
        <v>0.314</v>
      </c>
      <c r="BJ81" s="5">
        <f>(BE81-AN81)/AN81</f>
        <v>1.0427807486631016</v>
      </c>
      <c r="BK81" s="5">
        <f>(BF81-AO81)/AO81</f>
        <v>0.59325396825396837</v>
      </c>
      <c r="BL81" s="5">
        <f>(BG81-AP81)/AP81</f>
        <v>-0.53846153846153855</v>
      </c>
      <c r="BM81" s="5">
        <f>(BH81-AQ81)/AQ81</f>
        <v>-0.46706586826347313</v>
      </c>
      <c r="BN81" s="4">
        <v>0.35299999999999998</v>
      </c>
      <c r="BO81" s="4">
        <v>0.75700000000000001</v>
      </c>
      <c r="BP81" s="4">
        <v>6.7000000000000004E-2</v>
      </c>
      <c r="BQ81" s="4">
        <v>0.14799999999999999</v>
      </c>
      <c r="BR81" s="5">
        <f>(BN81-AR81)/AR81</f>
        <v>2.017094017094017</v>
      </c>
      <c r="BS81" s="5">
        <f>(BO81-AS81)/AS81</f>
        <v>1.3509316770186335</v>
      </c>
      <c r="BT81" s="5">
        <f>(BP81-AT81)/AT81</f>
        <v>-0.40178571428571425</v>
      </c>
      <c r="BU81" s="5">
        <f>(BQ81-AU81)/AU81</f>
        <v>1.3698630136986314E-2</v>
      </c>
      <c r="BV81" s="4">
        <f>(BN81-BE81)/BE81</f>
        <v>-7.5916230366492213E-2</v>
      </c>
      <c r="BW81" s="4">
        <f>(BO81-BF81)/BF81</f>
        <v>-5.7285180572851854E-2</v>
      </c>
      <c r="BX81" s="4">
        <f>(BP81-BG81)/BG81</f>
        <v>0.11666666666666678</v>
      </c>
      <c r="BY81" s="4">
        <f>(BQ81-BH81)/BH81</f>
        <v>0.6629213483146067</v>
      </c>
      <c r="BZ81" s="4">
        <v>0.42399999999999999</v>
      </c>
      <c r="CA81" s="4">
        <v>0.84599999999999997</v>
      </c>
      <c r="CB81" s="4">
        <v>5.2999999999999999E-2</v>
      </c>
      <c r="CC81" s="4">
        <v>9.8000000000000004E-2</v>
      </c>
      <c r="CD81" s="4">
        <f>(BZ81-AR81)/AR81</f>
        <v>2.6239316239316239</v>
      </c>
      <c r="CE81" s="4">
        <f>(CA81-AS81)/AS81</f>
        <v>1.6273291925465838</v>
      </c>
      <c r="CF81" s="4">
        <f>(CB81-AT81)/AT81</f>
        <v>-0.5267857142857143</v>
      </c>
      <c r="CG81" s="4">
        <f>(CC81-AU81)/AU81</f>
        <v>-0.32876712328767116</v>
      </c>
      <c r="CH81" s="4">
        <f>(BZ81-BN81)/BN81</f>
        <v>0.20113314447592071</v>
      </c>
      <c r="CI81" s="4">
        <f>(CA81-BO81)/BO81</f>
        <v>0.11756935270805809</v>
      </c>
      <c r="CJ81" s="4">
        <f>(CB81-BP81)/BP81</f>
        <v>-0.20895522388059709</v>
      </c>
      <c r="CK81" s="4">
        <f>(CC81-BQ81)/BQ81</f>
        <v>-0.33783783783783777</v>
      </c>
      <c r="CL81" s="4">
        <v>0.30299999999999999</v>
      </c>
      <c r="CM81" s="4">
        <v>0.72099999999999997</v>
      </c>
      <c r="CN81" s="4">
        <f>CL81/CM81</f>
        <v>0.42024965325936198</v>
      </c>
    </row>
    <row r="82" spans="1:92" x14ac:dyDescent="0.3">
      <c r="A82" s="11" t="s">
        <v>83</v>
      </c>
      <c r="B82" s="13">
        <v>242</v>
      </c>
      <c r="C82" s="13">
        <v>39</v>
      </c>
      <c r="D82" s="13">
        <v>5</v>
      </c>
      <c r="E82" s="13">
        <v>5</v>
      </c>
      <c r="F82" s="13">
        <v>5</v>
      </c>
      <c r="G82" s="12" t="s">
        <v>1</v>
      </c>
      <c r="H82" s="4">
        <v>6.26</v>
      </c>
      <c r="I82" s="4">
        <v>3.53</v>
      </c>
      <c r="J82" s="4">
        <v>7.03</v>
      </c>
      <c r="K82" s="4">
        <v>4</v>
      </c>
      <c r="L82" s="5">
        <f>(H82-I82)/(H82+I82)</f>
        <v>0.27885597548518898</v>
      </c>
      <c r="M82" s="5">
        <f>(J82-K82)/(J82+K82)</f>
        <v>0.27470534904805077</v>
      </c>
      <c r="N82" s="4">
        <v>0.16</v>
      </c>
      <c r="O82" s="4">
        <v>0.32800000000000001</v>
      </c>
      <c r="P82" s="4">
        <v>0.107</v>
      </c>
      <c r="Q82" s="4">
        <v>0.13</v>
      </c>
      <c r="R82" s="4">
        <v>0.18</v>
      </c>
      <c r="S82" s="4">
        <v>0.26400000000000001</v>
      </c>
      <c r="T82" s="4">
        <v>0.13400000000000001</v>
      </c>
      <c r="U82" s="4">
        <v>0.15</v>
      </c>
      <c r="V82" s="4">
        <v>0.41</v>
      </c>
      <c r="W82" s="4">
        <v>0.83799999999999997</v>
      </c>
      <c r="X82" s="4">
        <v>5.1999999999999998E-2</v>
      </c>
      <c r="Y82" s="4">
        <v>0.05</v>
      </c>
      <c r="Z82" s="4">
        <v>0.17699999999999999</v>
      </c>
      <c r="AA82" s="5">
        <f>(V82-N82)/N82</f>
        <v>1.5624999999999998</v>
      </c>
      <c r="AB82" s="5">
        <f>(W82-O82)/O82</f>
        <v>1.5548780487804879</v>
      </c>
      <c r="AC82" s="5">
        <f>(X82-P82)/P82</f>
        <v>-0.5140186915887851</v>
      </c>
      <c r="AD82" s="5">
        <f>(Y82-Q82)/Q82</f>
        <v>-0.61538461538461542</v>
      </c>
      <c r="AE82" s="4">
        <v>0.46</v>
      </c>
      <c r="AF82" s="4">
        <v>0.69899999999999995</v>
      </c>
      <c r="AG82" s="4">
        <v>8.5000000000000006E-2</v>
      </c>
      <c r="AH82" s="4">
        <v>0.05</v>
      </c>
      <c r="AI82" s="4">
        <v>0.17699999999999999</v>
      </c>
      <c r="AJ82" s="5">
        <f>(AE82-R82)/R82</f>
        <v>1.5555555555555558</v>
      </c>
      <c r="AK82" s="5">
        <f>(AF82-S82)/S82</f>
        <v>1.6477272727272725</v>
      </c>
      <c r="AL82" s="5">
        <f>(AG82-T82)/T82</f>
        <v>-0.36567164179104478</v>
      </c>
      <c r="AM82" s="5">
        <f>(AH82-U82)/U82</f>
        <v>-0.66666666666666663</v>
      </c>
      <c r="AN82" s="4">
        <v>0.22900000000000001</v>
      </c>
      <c r="AO82" s="4">
        <v>0.52200000000000002</v>
      </c>
      <c r="AP82" s="4">
        <v>0.11899999999999999</v>
      </c>
      <c r="AQ82" s="4">
        <v>0.153</v>
      </c>
      <c r="AR82" s="4">
        <v>0.14599999999999999</v>
      </c>
      <c r="AS82" s="4">
        <v>0.313</v>
      </c>
      <c r="AT82" s="4">
        <v>0.104</v>
      </c>
      <c r="AU82" s="4">
        <v>0.13100000000000001</v>
      </c>
      <c r="AV82" s="4">
        <v>0.46600000000000003</v>
      </c>
      <c r="AW82" s="4">
        <v>0.86399999999999999</v>
      </c>
      <c r="AX82" s="4">
        <v>6.3E-2</v>
      </c>
      <c r="AY82" s="4">
        <v>9.4E-2</v>
      </c>
      <c r="AZ82" s="4">
        <v>0.246</v>
      </c>
      <c r="BA82" s="6">
        <f>(AV82-AN82)/AN82</f>
        <v>1.034934497816594</v>
      </c>
      <c r="BB82" s="6">
        <f>(AW82-AO82)/AO82</f>
        <v>0.65517241379310331</v>
      </c>
      <c r="BC82" s="6">
        <f>(AX82-AP82)/AP82</f>
        <v>-0.47058823529411764</v>
      </c>
      <c r="BD82" s="6">
        <f>(AY82-AQ82)/AQ82</f>
        <v>-0.3856209150326797</v>
      </c>
      <c r="BE82" s="4">
        <v>0.39900000000000002</v>
      </c>
      <c r="BF82" s="4">
        <v>0.78700000000000003</v>
      </c>
      <c r="BG82" s="4">
        <v>5.8000000000000003E-2</v>
      </c>
      <c r="BH82" s="4">
        <v>8.5000000000000006E-2</v>
      </c>
      <c r="BI82" s="4">
        <v>0.245</v>
      </c>
      <c r="BJ82" s="5">
        <f>(BE82-AN82)/AN82</f>
        <v>0.74235807860262015</v>
      </c>
      <c r="BK82" s="5">
        <f>(BF82-AO82)/AO82</f>
        <v>0.5076628352490421</v>
      </c>
      <c r="BL82" s="5">
        <f>(BG82-AP82)/AP82</f>
        <v>-0.51260504201680668</v>
      </c>
      <c r="BM82" s="5">
        <f>(BH82-AQ82)/AQ82</f>
        <v>-0.44444444444444442</v>
      </c>
      <c r="BN82" s="4">
        <v>0.39</v>
      </c>
      <c r="BO82" s="4">
        <v>0.755</v>
      </c>
      <c r="BP82" s="4">
        <v>6.2E-2</v>
      </c>
      <c r="BQ82" s="4">
        <v>0.127</v>
      </c>
      <c r="BR82" s="5">
        <f>(BN82-AR82)/AR82</f>
        <v>1.671232876712329</v>
      </c>
      <c r="BS82" s="5">
        <f>(BO82-AS82)/AS82</f>
        <v>1.4121405750798721</v>
      </c>
      <c r="BT82" s="5">
        <f>(BP82-AT82)/AT82</f>
        <v>-0.4038461538461538</v>
      </c>
      <c r="BU82" s="5">
        <f>(BQ82-AU82)/AU82</f>
        <v>-3.0534351145038195E-2</v>
      </c>
      <c r="BV82" s="4">
        <f>(BN82-BE82)/BE82</f>
        <v>-2.2556390977443629E-2</v>
      </c>
      <c r="BW82" s="4">
        <f>(BO82-BF82)/BF82</f>
        <v>-4.0660736975857724E-2</v>
      </c>
      <c r="BX82" s="4">
        <f>(BP82-BG82)/BG82</f>
        <v>6.8965517241379254E-2</v>
      </c>
      <c r="BY82" s="4">
        <f>(BQ82-BH82)/BH82</f>
        <v>0.49411764705882344</v>
      </c>
      <c r="BZ82" s="4">
        <v>0.41599999999999998</v>
      </c>
      <c r="CA82" s="4">
        <v>0.85299999999999998</v>
      </c>
      <c r="CB82" s="4">
        <v>4.8000000000000001E-2</v>
      </c>
      <c r="CC82" s="4">
        <v>7.5999999999999998E-2</v>
      </c>
      <c r="CD82" s="4">
        <f>(BZ82-AR82)/AR82</f>
        <v>1.849315068493151</v>
      </c>
      <c r="CE82" s="4">
        <f>(CA82-AS82)/AS82</f>
        <v>1.7252396166134187</v>
      </c>
      <c r="CF82" s="4">
        <f>(CB82-AT82)/AT82</f>
        <v>-0.53846153846153844</v>
      </c>
      <c r="CG82" s="4">
        <f>(CC82-AU82)/AU82</f>
        <v>-0.41984732824427484</v>
      </c>
      <c r="CH82" s="4">
        <f>(BZ82-BN82)/BN82</f>
        <v>6.6666666666666582E-2</v>
      </c>
      <c r="CI82" s="4">
        <f>(CA82-BO82)/BO82</f>
        <v>0.12980132450331122</v>
      </c>
      <c r="CJ82" s="4">
        <f>(CB82-BP82)/BP82</f>
        <v>-0.22580645161290319</v>
      </c>
      <c r="CK82" s="4">
        <f>(CC82-BQ82)/BQ82</f>
        <v>-0.40157480314960631</v>
      </c>
      <c r="CL82" s="4">
        <v>0.31</v>
      </c>
      <c r="CM82" s="4">
        <v>0.72199999999999998</v>
      </c>
      <c r="CN82" s="4">
        <f>CL82/CM82</f>
        <v>0.4293628808864266</v>
      </c>
    </row>
    <row r="83" spans="1:92" x14ac:dyDescent="0.3">
      <c r="A83" s="11" t="s">
        <v>84</v>
      </c>
      <c r="B83" s="13">
        <v>533</v>
      </c>
      <c r="C83" s="13">
        <v>39</v>
      </c>
      <c r="D83" s="13">
        <v>5</v>
      </c>
      <c r="E83" s="13">
        <v>5</v>
      </c>
      <c r="F83" s="13">
        <v>5</v>
      </c>
      <c r="G83" s="12" t="s">
        <v>1</v>
      </c>
      <c r="H83" s="4">
        <v>7.65</v>
      </c>
      <c r="I83" s="4">
        <v>2.67</v>
      </c>
      <c r="J83" s="4">
        <v>8.64</v>
      </c>
      <c r="K83" s="4">
        <v>3.06</v>
      </c>
      <c r="L83" s="5">
        <f>(H83-I83)/(H83+I83)</f>
        <v>0.48255813953488375</v>
      </c>
      <c r="M83" s="5">
        <f>(J83-K83)/(J83+K83)</f>
        <v>0.47692307692307689</v>
      </c>
      <c r="N83" s="4">
        <v>0.2</v>
      </c>
      <c r="O83" s="4">
        <v>0.41699999999999998</v>
      </c>
      <c r="P83" s="4">
        <v>0.106</v>
      </c>
      <c r="Q83" s="4">
        <v>0.11</v>
      </c>
      <c r="R83" s="4">
        <v>0.22</v>
      </c>
      <c r="S83" s="4">
        <v>0.36499999999999999</v>
      </c>
      <c r="T83" s="4">
        <v>0.128</v>
      </c>
      <c r="U83" s="4">
        <v>0.13</v>
      </c>
      <c r="V83" s="4">
        <v>0.43</v>
      </c>
      <c r="W83" s="4">
        <v>0.875</v>
      </c>
      <c r="X83" s="4">
        <v>4.9000000000000002E-2</v>
      </c>
      <c r="Y83" s="4">
        <v>0.03</v>
      </c>
      <c r="Z83" s="4">
        <v>0.20499999999999999</v>
      </c>
      <c r="AA83" s="5">
        <f>(V83-N83)/N83</f>
        <v>1.1499999999999999</v>
      </c>
      <c r="AB83" s="5">
        <f>(W83-O83)/O83</f>
        <v>1.0983213429256595</v>
      </c>
      <c r="AC83" s="5">
        <f>(X83-P83)/P83</f>
        <v>-0.53773584905660377</v>
      </c>
      <c r="AD83" s="5">
        <f>(Y83-Q83)/Q83</f>
        <v>-0.72727272727272729</v>
      </c>
      <c r="AE83" s="4">
        <v>0.48</v>
      </c>
      <c r="AF83" s="4">
        <v>0.80100000000000005</v>
      </c>
      <c r="AG83" s="4">
        <v>7.1999999999999995E-2</v>
      </c>
      <c r="AH83" s="4">
        <v>0.04</v>
      </c>
      <c r="AI83" s="4">
        <v>0.20799999999999999</v>
      </c>
      <c r="AJ83" s="5">
        <f>(AE83-R83)/R83</f>
        <v>1.1818181818181819</v>
      </c>
      <c r="AK83" s="5">
        <f>(AF83-S83)/S83</f>
        <v>1.1945205479452057</v>
      </c>
      <c r="AL83" s="5">
        <f>(AG83-T83)/T83</f>
        <v>-0.43750000000000006</v>
      </c>
      <c r="AM83" s="5">
        <f>(AH83-U83)/U83</f>
        <v>-0.69230769230769229</v>
      </c>
      <c r="AN83" s="7">
        <v>0.26500000000000001</v>
      </c>
      <c r="AO83" s="7">
        <v>0.57199999999999995</v>
      </c>
      <c r="AP83" s="7">
        <v>0.129</v>
      </c>
      <c r="AQ83" s="7">
        <v>0.13700000000000001</v>
      </c>
      <c r="AR83" s="4">
        <v>0.17499999999999999</v>
      </c>
      <c r="AS83" s="4">
        <v>0.41599999999999998</v>
      </c>
      <c r="AT83" s="4">
        <v>0.1</v>
      </c>
      <c r="AU83" s="4">
        <v>0.113</v>
      </c>
      <c r="AV83" s="7">
        <v>0.46800000000000003</v>
      </c>
      <c r="AW83" s="7">
        <v>0.90400000000000003</v>
      </c>
      <c r="AX83" s="7">
        <v>6.0999999999999999E-2</v>
      </c>
      <c r="AY83" s="7">
        <v>7.4999999999999997E-2</v>
      </c>
      <c r="AZ83" s="7">
        <v>0.28399999999999997</v>
      </c>
      <c r="BA83" s="8">
        <f>(AV83-AN83)/AN83</f>
        <v>0.76603773584905666</v>
      </c>
      <c r="BB83" s="8">
        <f>(AW83-AO83)/AO83</f>
        <v>0.58041958041958064</v>
      </c>
      <c r="BC83" s="8">
        <f>(AX83-AP83)/AP83</f>
        <v>-0.52713178294573648</v>
      </c>
      <c r="BD83" s="8">
        <f>(AY83-AQ83)/AQ83</f>
        <v>-0.4525547445255475</v>
      </c>
      <c r="BE83" s="4">
        <v>0.41199999999999998</v>
      </c>
      <c r="BF83" s="4">
        <v>0.84299999999999997</v>
      </c>
      <c r="BG83" s="4">
        <v>5.1999999999999998E-2</v>
      </c>
      <c r="BH83" s="4">
        <v>7.1999999999999995E-2</v>
      </c>
      <c r="BI83" s="4">
        <v>0.26600000000000001</v>
      </c>
      <c r="BJ83" s="5">
        <f>(BE83-AN83)/AN83</f>
        <v>0.55471698113207535</v>
      </c>
      <c r="BK83" s="5">
        <f>(BF83-AO83)/AO83</f>
        <v>0.47377622377622386</v>
      </c>
      <c r="BL83" s="5">
        <f>(BG83-AP83)/AP83</f>
        <v>-0.59689922480620161</v>
      </c>
      <c r="BM83" s="5">
        <f>(BH83-AQ83)/AQ83</f>
        <v>-0.47445255474452563</v>
      </c>
      <c r="BN83" s="4">
        <v>0.40600000000000003</v>
      </c>
      <c r="BO83" s="4">
        <v>0.80700000000000005</v>
      </c>
      <c r="BP83" s="4">
        <v>5.8000000000000003E-2</v>
      </c>
      <c r="BQ83" s="4">
        <v>0.14099999999999999</v>
      </c>
      <c r="BR83" s="5">
        <f>(BN83-AR83)/AR83</f>
        <v>1.3200000000000003</v>
      </c>
      <c r="BS83" s="5">
        <f>(BO83-AS83)/AS83</f>
        <v>0.93990384615384637</v>
      </c>
      <c r="BT83" s="5">
        <f>(BP83-AT83)/AT83</f>
        <v>-0.42</v>
      </c>
      <c r="BU83" s="5">
        <f>(BQ83-AU83)/AU83</f>
        <v>0.24778761061946888</v>
      </c>
      <c r="BV83" s="4">
        <f>(BN83-BE83)/BE83</f>
        <v>-1.4563106796116384E-2</v>
      </c>
      <c r="BW83" s="4">
        <f>(BO83-BF83)/BF83</f>
        <v>-4.2704626334519484E-2</v>
      </c>
      <c r="BX83" s="4">
        <f>(BP83-BG83)/BG83</f>
        <v>0.11538461538461549</v>
      </c>
      <c r="BY83" s="4">
        <f>(BQ83-BH83)/BH83</f>
        <v>0.95833333333333326</v>
      </c>
      <c r="BZ83" s="4">
        <v>0.41799999999999998</v>
      </c>
      <c r="CA83" s="4">
        <v>0.90100000000000002</v>
      </c>
      <c r="CB83" s="4">
        <v>4.1000000000000002E-2</v>
      </c>
      <c r="CC83" s="4">
        <v>5.8999999999999997E-2</v>
      </c>
      <c r="CD83" s="4">
        <f>(BZ83-AR83)/AR83</f>
        <v>1.3885714285714286</v>
      </c>
      <c r="CE83" s="4">
        <f>(CA83-AS83)/AS83</f>
        <v>1.1658653846153848</v>
      </c>
      <c r="CF83" s="4">
        <f>(CB83-AT83)/AT83</f>
        <v>-0.59</v>
      </c>
      <c r="CG83" s="4">
        <f>(CC83-AU83)/AU83</f>
        <v>-0.47787610619469029</v>
      </c>
      <c r="CH83" s="4">
        <f>(BZ83-BN83)/BN83</f>
        <v>2.9556650246305306E-2</v>
      </c>
      <c r="CI83" s="4">
        <f>(CA83-BO83)/BO83</f>
        <v>0.11648079306071867</v>
      </c>
      <c r="CJ83" s="4">
        <f>(CB83-BP83)/BP83</f>
        <v>-0.2931034482758621</v>
      </c>
      <c r="CK83" s="4">
        <f>(CC83-BQ83)/BQ83</f>
        <v>-0.58156028368794321</v>
      </c>
      <c r="CL83" s="4">
        <v>0.33500000000000002</v>
      </c>
      <c r="CM83" s="4">
        <v>0.69899999999999995</v>
      </c>
      <c r="CN83" s="4">
        <f>CL83/CM83</f>
        <v>0.47925608011444926</v>
      </c>
    </row>
    <row r="84" spans="1:92" x14ac:dyDescent="0.3">
      <c r="A84" s="11" t="s">
        <v>85</v>
      </c>
      <c r="B84" s="13">
        <v>367</v>
      </c>
      <c r="C84" s="13">
        <v>39</v>
      </c>
      <c r="D84" s="13">
        <v>5</v>
      </c>
      <c r="E84" s="13">
        <v>5</v>
      </c>
      <c r="F84" s="13">
        <v>5</v>
      </c>
      <c r="G84" s="12" t="s">
        <v>1</v>
      </c>
      <c r="H84" s="4">
        <v>5.6</v>
      </c>
      <c r="I84" s="4">
        <v>3.76</v>
      </c>
      <c r="J84" s="4">
        <v>6.34</v>
      </c>
      <c r="K84" s="4">
        <v>4.2699999999999996</v>
      </c>
      <c r="L84" s="5">
        <f>(H84-I84)/(H84+I84)</f>
        <v>0.19658119658119658</v>
      </c>
      <c r="M84" s="5">
        <f>(J84-K84)/(J84+K84)</f>
        <v>0.19509896324222437</v>
      </c>
      <c r="N84" s="4">
        <v>0.14000000000000001</v>
      </c>
      <c r="O84" s="4">
        <v>0.35499999999999998</v>
      </c>
      <c r="P84" s="4">
        <v>9.5000000000000001E-2</v>
      </c>
      <c r="Q84" s="4">
        <v>0.13</v>
      </c>
      <c r="R84" s="4">
        <v>0.16</v>
      </c>
      <c r="S84" s="4">
        <v>0.308</v>
      </c>
      <c r="T84" s="4">
        <v>0.115</v>
      </c>
      <c r="U84" s="4">
        <v>0.14000000000000001</v>
      </c>
      <c r="V84" s="4">
        <v>0.37</v>
      </c>
      <c r="W84" s="4">
        <v>0.88100000000000001</v>
      </c>
      <c r="X84" s="4">
        <v>4.1000000000000002E-2</v>
      </c>
      <c r="Y84" s="4">
        <v>0.04</v>
      </c>
      <c r="Z84" s="4">
        <v>0.182</v>
      </c>
      <c r="AA84" s="5">
        <f>(V84-N84)/N84</f>
        <v>1.6428571428571426</v>
      </c>
      <c r="AB84" s="5">
        <f>(W84-O84)/O84</f>
        <v>1.4816901408450707</v>
      </c>
      <c r="AC84" s="5">
        <f>(X84-P84)/P84</f>
        <v>-0.56842105263157894</v>
      </c>
      <c r="AD84" s="5">
        <f>(Y84-Q84)/Q84</f>
        <v>-0.69230769230769229</v>
      </c>
      <c r="AE84" s="4">
        <v>0.42</v>
      </c>
      <c r="AF84" s="4">
        <v>0.78200000000000003</v>
      </c>
      <c r="AG84" s="4">
        <v>6.4000000000000001E-2</v>
      </c>
      <c r="AH84" s="4">
        <v>0.04</v>
      </c>
      <c r="AI84" s="4">
        <v>0.186</v>
      </c>
      <c r="AJ84" s="5">
        <f>(AE84-R84)/R84</f>
        <v>1.625</v>
      </c>
      <c r="AK84" s="5">
        <f>(AF84-S84)/S84</f>
        <v>1.5389610389610391</v>
      </c>
      <c r="AL84" s="5">
        <f>(AG84-T84)/T84</f>
        <v>-0.44347826086956521</v>
      </c>
      <c r="AM84" s="5">
        <f>(AH84-U84)/U84</f>
        <v>-0.7142857142857143</v>
      </c>
      <c r="AN84" s="4">
        <v>0.126</v>
      </c>
      <c r="AO84" s="4">
        <v>0.39200000000000002</v>
      </c>
      <c r="AP84" s="4">
        <v>0.11799999999999999</v>
      </c>
      <c r="AQ84" s="4">
        <v>0.14399999999999999</v>
      </c>
      <c r="AR84" s="4">
        <v>9.2999999999999999E-2</v>
      </c>
      <c r="AS84" s="4">
        <v>0.34899999999999998</v>
      </c>
      <c r="AT84" s="4">
        <v>9.0999999999999998E-2</v>
      </c>
      <c r="AU84" s="4">
        <v>0.124</v>
      </c>
      <c r="AV84" s="4">
        <v>0.33600000000000002</v>
      </c>
      <c r="AW84" s="4">
        <v>0.69299999999999995</v>
      </c>
      <c r="AX84" s="4">
        <v>8.4000000000000005E-2</v>
      </c>
      <c r="AY84" s="4">
        <v>0.112</v>
      </c>
      <c r="AZ84" s="4">
        <v>0.39800000000000002</v>
      </c>
      <c r="BA84" s="6">
        <f>(AV84-AN84)/AN84</f>
        <v>1.6666666666666667</v>
      </c>
      <c r="BB84" s="6">
        <f>(AW84-AO84)/AO84</f>
        <v>0.76785714285714268</v>
      </c>
      <c r="BC84" s="6">
        <f>(AX84-AP84)/AP84</f>
        <v>-0.28813559322033888</v>
      </c>
      <c r="BD84" s="6">
        <f>(AY84-AQ84)/AQ84</f>
        <v>-0.22222222222222215</v>
      </c>
      <c r="BE84" s="4">
        <v>0.27100000000000002</v>
      </c>
      <c r="BF84" s="4">
        <v>0.73</v>
      </c>
      <c r="BG84" s="4">
        <v>5.8999999999999997E-2</v>
      </c>
      <c r="BH84" s="4">
        <v>0.10199999999999999</v>
      </c>
      <c r="BI84" s="4">
        <v>0.24199999999999999</v>
      </c>
      <c r="BJ84" s="5">
        <f>(BE84-AN84)/AN84</f>
        <v>1.1507936507936509</v>
      </c>
      <c r="BK84" s="5">
        <f>(BF84-AO84)/AO84</f>
        <v>0.86224489795918358</v>
      </c>
      <c r="BL84" s="5">
        <f>(BG84-AP84)/AP84</f>
        <v>-0.5</v>
      </c>
      <c r="BM84" s="5">
        <f>(BH84-AQ84)/AQ84</f>
        <v>-0.29166666666666669</v>
      </c>
      <c r="BN84" s="4">
        <v>0.28299999999999997</v>
      </c>
      <c r="BO84" s="4">
        <v>0.69199999999999995</v>
      </c>
      <c r="BP84" s="4">
        <v>6.3E-2</v>
      </c>
      <c r="BQ84" s="4">
        <v>0.129</v>
      </c>
      <c r="BR84" s="5">
        <f>(BN84-AR84)/AR84</f>
        <v>2.043010752688172</v>
      </c>
      <c r="BS84" s="5">
        <f>(BO84-AS84)/AS84</f>
        <v>0.98280802292263614</v>
      </c>
      <c r="BT84" s="5">
        <f>(BP84-AT84)/AT84</f>
        <v>-0.30769230769230765</v>
      </c>
      <c r="BU84" s="5">
        <f>(BQ84-AU84)/AU84</f>
        <v>4.0322580645161324E-2</v>
      </c>
      <c r="BV84" s="4">
        <f>(BN84-BE84)/BE84</f>
        <v>4.4280442804427875E-2</v>
      </c>
      <c r="BW84" s="4">
        <f>(BO84-BF84)/BF84</f>
        <v>-5.2054794520547995E-2</v>
      </c>
      <c r="BX84" s="4">
        <f>(BP84-BG84)/BG84</f>
        <v>6.7796610169491595E-2</v>
      </c>
      <c r="BY84" s="4">
        <f>(BQ84-BH84)/BH84</f>
        <v>0.26470588235294129</v>
      </c>
      <c r="BZ84" s="4">
        <v>0.34300000000000003</v>
      </c>
      <c r="CA84" s="4">
        <v>0.82699999999999996</v>
      </c>
      <c r="CB84" s="4">
        <v>4.7E-2</v>
      </c>
      <c r="CC84" s="4">
        <v>0.08</v>
      </c>
      <c r="CD84" s="4">
        <f>(BZ84-AR84)/AR84</f>
        <v>2.6881720430107525</v>
      </c>
      <c r="CE84" s="4">
        <f>(CA84-AS84)/AS84</f>
        <v>1.3696275071633237</v>
      </c>
      <c r="CF84" s="4">
        <f>(CB84-AT84)/AT84</f>
        <v>-0.48351648351648352</v>
      </c>
      <c r="CG84" s="4">
        <f>(CC84-AU84)/AU84</f>
        <v>-0.35483870967741932</v>
      </c>
      <c r="CH84" s="4">
        <f>(BZ84-BN84)/BN84</f>
        <v>0.21201413427561858</v>
      </c>
      <c r="CI84" s="4">
        <f>(CA84-BO84)/BO84</f>
        <v>0.19508670520231217</v>
      </c>
      <c r="CJ84" s="4">
        <f>(CB84-BP84)/BP84</f>
        <v>-0.25396825396825395</v>
      </c>
      <c r="CK84" s="4">
        <f>(CC84-BQ84)/BQ84</f>
        <v>-0.37984496124031009</v>
      </c>
      <c r="CL84" s="4">
        <v>0.33200000000000002</v>
      </c>
      <c r="CM84" s="4">
        <v>0.67600000000000005</v>
      </c>
      <c r="CN84" s="4">
        <f>CL84/CM84</f>
        <v>0.4911242603550296</v>
      </c>
    </row>
    <row r="85" spans="1:92" x14ac:dyDescent="0.3">
      <c r="A85" s="11" t="s">
        <v>86</v>
      </c>
      <c r="B85" s="13">
        <v>300</v>
      </c>
      <c r="C85" s="13">
        <v>39</v>
      </c>
      <c r="D85" s="13">
        <v>5</v>
      </c>
      <c r="E85" s="13">
        <v>5</v>
      </c>
      <c r="F85" s="13">
        <v>5</v>
      </c>
      <c r="G85" s="12" t="s">
        <v>1</v>
      </c>
      <c r="H85" s="4">
        <v>5.71</v>
      </c>
      <c r="I85" s="4">
        <v>3.35</v>
      </c>
      <c r="J85" s="4">
        <v>6.47</v>
      </c>
      <c r="K85" s="4">
        <v>3.9</v>
      </c>
      <c r="L85" s="5">
        <f>(H85-I85)/(H85+I85)</f>
        <v>0.26048565121412803</v>
      </c>
      <c r="M85" s="5">
        <f>(J85-K85)/(J85+K85)</f>
        <v>0.24783027965284474</v>
      </c>
      <c r="N85" s="4">
        <v>0.15</v>
      </c>
      <c r="O85" s="4">
        <v>0.434</v>
      </c>
      <c r="P85" s="4">
        <v>8.3000000000000004E-2</v>
      </c>
      <c r="Q85" s="4">
        <v>0.11</v>
      </c>
      <c r="R85" s="4">
        <v>0.17</v>
      </c>
      <c r="S85" s="4">
        <v>0.36399999999999999</v>
      </c>
      <c r="T85" s="4">
        <v>0.105</v>
      </c>
      <c r="U85" s="4">
        <v>0.13</v>
      </c>
      <c r="V85" s="4">
        <v>0.34</v>
      </c>
      <c r="W85" s="4">
        <v>0.87</v>
      </c>
      <c r="X85" s="4">
        <v>0.04</v>
      </c>
      <c r="Y85" s="4">
        <v>0.04</v>
      </c>
      <c r="Z85" s="4">
        <v>0.21</v>
      </c>
      <c r="AA85" s="5">
        <f>(V85-N85)/N85</f>
        <v>1.2666666666666668</v>
      </c>
      <c r="AB85" s="5">
        <f>(W85-O85)/O85</f>
        <v>1.0046082949308757</v>
      </c>
      <c r="AC85" s="5">
        <f>(X85-P85)/P85</f>
        <v>-0.51807228915662651</v>
      </c>
      <c r="AD85" s="5">
        <f>(Y85-Q85)/Q85</f>
        <v>-0.63636363636363646</v>
      </c>
      <c r="AE85" s="4">
        <v>0.39</v>
      </c>
      <c r="AF85" s="4">
        <v>0.751</v>
      </c>
      <c r="AG85" s="4">
        <v>6.5000000000000002E-2</v>
      </c>
      <c r="AH85" s="4">
        <v>0.05</v>
      </c>
      <c r="AI85" s="4">
        <v>0.21099999999999999</v>
      </c>
      <c r="AJ85" s="5">
        <f>(AE85-R85)/R85</f>
        <v>1.2941176470588234</v>
      </c>
      <c r="AK85" s="5">
        <f>(AF85-S85)/S85</f>
        <v>1.0631868131868132</v>
      </c>
      <c r="AL85" s="5">
        <f>(AG85-T85)/T85</f>
        <v>-0.38095238095238093</v>
      </c>
      <c r="AM85" s="5">
        <f>(AH85-U85)/U85</f>
        <v>-0.61538461538461542</v>
      </c>
      <c r="AN85" s="4">
        <v>0.16200000000000001</v>
      </c>
      <c r="AO85" s="4">
        <v>0.501</v>
      </c>
      <c r="AP85" s="4">
        <v>9.7000000000000003E-2</v>
      </c>
      <c r="AQ85" s="4">
        <v>0.127</v>
      </c>
      <c r="AR85" s="4">
        <v>0.10299999999999999</v>
      </c>
      <c r="AS85" s="4">
        <v>0.42899999999999999</v>
      </c>
      <c r="AT85" s="4">
        <v>8.2000000000000003E-2</v>
      </c>
      <c r="AU85" s="4">
        <v>0.11</v>
      </c>
      <c r="AV85" s="4">
        <v>0.30499999999999999</v>
      </c>
      <c r="AW85" s="4">
        <v>0.78800000000000003</v>
      </c>
      <c r="AX85" s="4">
        <v>6.3E-2</v>
      </c>
      <c r="AY85" s="4">
        <v>0.09</v>
      </c>
      <c r="AZ85" s="4">
        <v>0.34200000000000003</v>
      </c>
      <c r="BA85" s="6">
        <f>(AV85-AN85)/AN85</f>
        <v>0.88271604938271597</v>
      </c>
      <c r="BB85" s="6">
        <f>(AW85-AO85)/AO85</f>
        <v>0.57285429141716571</v>
      </c>
      <c r="BC85" s="6">
        <f>(AX85-AP85)/AP85</f>
        <v>-0.3505154639175258</v>
      </c>
      <c r="BD85" s="6">
        <f>(AY85-AQ85)/AQ85</f>
        <v>-0.29133858267716539</v>
      </c>
      <c r="BE85" s="4">
        <v>0.27300000000000002</v>
      </c>
      <c r="BF85" s="4">
        <v>0.74</v>
      </c>
      <c r="BG85" s="4">
        <v>5.5E-2</v>
      </c>
      <c r="BH85" s="4">
        <v>0.08</v>
      </c>
      <c r="BI85" s="4">
        <v>0.316</v>
      </c>
      <c r="BJ85" s="5">
        <f>(BE85-AN85)/AN85</f>
        <v>0.68518518518518523</v>
      </c>
      <c r="BK85" s="5">
        <f>(BF85-AO85)/AO85</f>
        <v>0.47704590818363274</v>
      </c>
      <c r="BL85" s="5">
        <f>(BG85-AP85)/AP85</f>
        <v>-0.4329896907216495</v>
      </c>
      <c r="BM85" s="5">
        <f>(BH85-AQ85)/AQ85</f>
        <v>-0.37007874015748032</v>
      </c>
      <c r="BN85" s="4">
        <v>0.26700000000000002</v>
      </c>
      <c r="BO85" s="4">
        <v>0.64800000000000002</v>
      </c>
      <c r="BP85" s="4">
        <v>6.4000000000000001E-2</v>
      </c>
      <c r="BQ85" s="4">
        <v>0.13100000000000001</v>
      </c>
      <c r="BR85" s="5">
        <f>(BN85-AR85)/AR85</f>
        <v>1.5922330097087383</v>
      </c>
      <c r="BS85" s="5">
        <f>(BO85-AS85)/AS85</f>
        <v>0.51048951048951052</v>
      </c>
      <c r="BT85" s="5">
        <f>(BP85-AT85)/AT85</f>
        <v>-0.21951219512195125</v>
      </c>
      <c r="BU85" s="5">
        <f>(BQ85-AU85)/AU85</f>
        <v>0.19090909090909094</v>
      </c>
      <c r="BV85" s="4">
        <f>(BN85-BE85)/BE85</f>
        <v>-2.1978021978021997E-2</v>
      </c>
      <c r="BW85" s="4">
        <f>(BO85-BF85)/BF85</f>
        <v>-0.12432432432432429</v>
      </c>
      <c r="BX85" s="4">
        <f>(BP85-BG85)/BG85</f>
        <v>0.16363636363636366</v>
      </c>
      <c r="BY85" s="4">
        <f>(BQ85-BH85)/BH85</f>
        <v>0.63750000000000007</v>
      </c>
      <c r="BZ85" s="4">
        <v>0.30099999999999999</v>
      </c>
      <c r="CA85" s="4">
        <v>0.79400000000000004</v>
      </c>
      <c r="CB85" s="4">
        <v>4.9000000000000002E-2</v>
      </c>
      <c r="CC85" s="4">
        <v>8.1000000000000003E-2</v>
      </c>
      <c r="CD85" s="4">
        <f>(BZ85-AR85)/AR85</f>
        <v>1.9223300970873789</v>
      </c>
      <c r="CE85" s="4">
        <f>(CA85-AS85)/AS85</f>
        <v>0.85081585081585098</v>
      </c>
      <c r="CF85" s="4">
        <f>(CB85-AT85)/AT85</f>
        <v>-0.40243902439024393</v>
      </c>
      <c r="CG85" s="4">
        <f>(CC85-AU85)/AU85</f>
        <v>-0.26363636363636361</v>
      </c>
      <c r="CH85" s="4">
        <f>(BZ85-BN85)/BN85</f>
        <v>0.12734082397003735</v>
      </c>
      <c r="CI85" s="4">
        <f>(CA85-BO85)/BO85</f>
        <v>0.22530864197530867</v>
      </c>
      <c r="CJ85" s="4">
        <f>(CB85-BP85)/BP85</f>
        <v>-0.234375</v>
      </c>
      <c r="CK85" s="4">
        <f>(CC85-BQ85)/BQ85</f>
        <v>-0.38167938931297712</v>
      </c>
      <c r="CL85" s="4">
        <v>0.40799999999999997</v>
      </c>
      <c r="CM85" s="4">
        <v>0.67400000000000004</v>
      </c>
      <c r="CN85" s="4">
        <f>CL85/CM85</f>
        <v>0.6053412462908011</v>
      </c>
    </row>
    <row r="86" spans="1:92" x14ac:dyDescent="0.3">
      <c r="A86" s="11" t="s">
        <v>87</v>
      </c>
      <c r="B86" s="13">
        <v>399</v>
      </c>
      <c r="C86" s="13">
        <v>39</v>
      </c>
      <c r="D86" s="13">
        <v>5</v>
      </c>
      <c r="E86" s="13">
        <v>5</v>
      </c>
      <c r="F86" s="13">
        <v>5</v>
      </c>
      <c r="G86" s="12" t="s">
        <v>1</v>
      </c>
      <c r="H86" s="4">
        <v>8.39</v>
      </c>
      <c r="I86" s="4">
        <v>3.79</v>
      </c>
      <c r="J86" s="4">
        <v>9.2799999999999994</v>
      </c>
      <c r="K86" s="4">
        <v>4.17</v>
      </c>
      <c r="L86" s="5">
        <f>(H86-I86)/(H86+I86)</f>
        <v>0.3776683087027915</v>
      </c>
      <c r="M86" s="5">
        <f>(J86-K86)/(J86+K86)</f>
        <v>0.37992565055762079</v>
      </c>
      <c r="N86" s="4">
        <v>0.22</v>
      </c>
      <c r="O86" s="4">
        <v>0.35099999999999998</v>
      </c>
      <c r="P86" s="4">
        <v>0.127</v>
      </c>
      <c r="Q86" s="4">
        <v>0.15</v>
      </c>
      <c r="R86" s="4">
        <v>0.24</v>
      </c>
      <c r="S86" s="4">
        <v>0.308</v>
      </c>
      <c r="T86" s="4">
        <v>0.14899999999999999</v>
      </c>
      <c r="U86" s="4">
        <v>0.16</v>
      </c>
      <c r="V86" s="4">
        <v>0.51</v>
      </c>
      <c r="W86" s="4">
        <v>0.93100000000000005</v>
      </c>
      <c r="X86" s="4">
        <v>4.1000000000000002E-2</v>
      </c>
      <c r="Y86" s="4">
        <v>0.03</v>
      </c>
      <c r="Z86" s="4">
        <v>0.20799999999999999</v>
      </c>
      <c r="AA86" s="5">
        <f>(V86-N86)/N86</f>
        <v>1.3181818181818183</v>
      </c>
      <c r="AB86" s="5">
        <f>(W86-O86)/O86</f>
        <v>1.6524216524216526</v>
      </c>
      <c r="AC86" s="5">
        <f>(X86-P86)/P86</f>
        <v>-0.67716535433070857</v>
      </c>
      <c r="AD86" s="5">
        <f>(Y86-Q86)/Q86</f>
        <v>-0.8</v>
      </c>
      <c r="AE86" s="4">
        <v>0.56000000000000005</v>
      </c>
      <c r="AF86" s="4">
        <v>0.86499999999999999</v>
      </c>
      <c r="AG86" s="4">
        <v>6.6000000000000003E-2</v>
      </c>
      <c r="AH86" s="4">
        <v>0.03</v>
      </c>
      <c r="AI86" s="4">
        <v>0.20799999999999999</v>
      </c>
      <c r="AJ86" s="5">
        <f>(AE86-R86)/R86</f>
        <v>1.3333333333333337</v>
      </c>
      <c r="AK86" s="5">
        <f>(AF86-S86)/S86</f>
        <v>1.8084415584415583</v>
      </c>
      <c r="AL86" s="5">
        <f>(AG86-T86)/T86</f>
        <v>-0.55704697986577179</v>
      </c>
      <c r="AM86" s="5">
        <f>(AH86-U86)/U86</f>
        <v>-0.8125</v>
      </c>
      <c r="AN86" s="4">
        <v>0.182</v>
      </c>
      <c r="AO86" s="4">
        <v>0.317</v>
      </c>
      <c r="AP86" s="4">
        <v>0.2</v>
      </c>
      <c r="AQ86" s="4">
        <v>0.28299999999999997</v>
      </c>
      <c r="AR86" s="4">
        <v>0.156</v>
      </c>
      <c r="AS86" s="4">
        <v>0.315</v>
      </c>
      <c r="AT86" s="4">
        <v>0.122</v>
      </c>
      <c r="AU86" s="4">
        <v>0.151</v>
      </c>
      <c r="AV86" s="4">
        <v>0.56599999999999995</v>
      </c>
      <c r="AW86" s="4">
        <v>0.94899999999999995</v>
      </c>
      <c r="AX86" s="4">
        <v>5.5E-2</v>
      </c>
      <c r="AY86" s="4">
        <v>6.6000000000000003E-2</v>
      </c>
      <c r="AZ86" s="4">
        <v>0.26100000000000001</v>
      </c>
      <c r="BA86" s="6">
        <f>(AV86-AN86)/AN86</f>
        <v>2.1098901098901095</v>
      </c>
      <c r="BB86" s="6">
        <f>(AW86-AO86)/AO86</f>
        <v>1.9936908517350154</v>
      </c>
      <c r="BC86" s="6">
        <f>(AX86-AP86)/AP86</f>
        <v>-0.72500000000000009</v>
      </c>
      <c r="BD86" s="6">
        <f>(AY86-AQ86)/AQ86</f>
        <v>-0.7667844522968198</v>
      </c>
      <c r="BE86" s="4">
        <v>0.48899999999999999</v>
      </c>
      <c r="BF86" s="4">
        <v>0.91300000000000003</v>
      </c>
      <c r="BG86" s="4">
        <v>4.2999999999999997E-2</v>
      </c>
      <c r="BH86" s="4">
        <v>6.2E-2</v>
      </c>
      <c r="BI86" s="4">
        <v>0.249</v>
      </c>
      <c r="BJ86" s="5">
        <f>(BE86-AN86)/AN86</f>
        <v>1.6868131868131868</v>
      </c>
      <c r="BK86" s="5">
        <f>(BF86-AO86)/AO86</f>
        <v>1.8801261829653</v>
      </c>
      <c r="BL86" s="5">
        <f>(BG86-AP86)/AP86</f>
        <v>-0.78500000000000014</v>
      </c>
      <c r="BM86" s="5">
        <f>(BH86-AQ86)/AQ86</f>
        <v>-0.78091872791519434</v>
      </c>
      <c r="BN86" s="4">
        <v>0.48399999999999999</v>
      </c>
      <c r="BO86" s="4">
        <v>0.88700000000000001</v>
      </c>
      <c r="BP86" s="4">
        <v>4.9000000000000002E-2</v>
      </c>
      <c r="BQ86" s="4">
        <v>0.14299999999999999</v>
      </c>
      <c r="BR86" s="5">
        <f>(BN86-AR86)/AR86</f>
        <v>2.1025641025641022</v>
      </c>
      <c r="BS86" s="5">
        <f>(BO86-AS86)/AS86</f>
        <v>1.8158730158730161</v>
      </c>
      <c r="BT86" s="5">
        <f>(BP86-AT86)/AT86</f>
        <v>-0.59836065573770492</v>
      </c>
      <c r="BU86" s="5">
        <f>(BQ86-AU86)/AU86</f>
        <v>-5.2980132450331174E-2</v>
      </c>
      <c r="BV86" s="4">
        <f>(BN86-BE86)/BE86</f>
        <v>-1.0224948875255633E-2</v>
      </c>
      <c r="BW86" s="4">
        <f>(BO86-BF86)/BF86</f>
        <v>-2.8477546549835732E-2</v>
      </c>
      <c r="BX86" s="4">
        <f>(BP86-BG86)/BG86</f>
        <v>0.13953488372093037</v>
      </c>
      <c r="BY86" s="4">
        <f>(BQ86-BH86)/BH86</f>
        <v>1.3064516129032255</v>
      </c>
      <c r="BZ86" s="4">
        <v>0.49</v>
      </c>
      <c r="CA86" s="4">
        <v>0.92500000000000004</v>
      </c>
      <c r="CB86" s="4">
        <v>0.04</v>
      </c>
      <c r="CC86" s="4">
        <v>6.2E-2</v>
      </c>
      <c r="CD86" s="4">
        <f>(BZ86-AR86)/AR86</f>
        <v>2.141025641025641</v>
      </c>
      <c r="CE86" s="4">
        <f>(CA86-AS86)/AS86</f>
        <v>1.9365079365079367</v>
      </c>
      <c r="CF86" s="4">
        <f>(CB86-AT86)/AT86</f>
        <v>-0.67213114754098358</v>
      </c>
      <c r="CG86" s="4">
        <f>(CC86-AU86)/AU86</f>
        <v>-0.58940397350993379</v>
      </c>
      <c r="CH86" s="4">
        <f>(BZ86-BN86)/BN86</f>
        <v>1.2396694214876044E-2</v>
      </c>
      <c r="CI86" s="4">
        <f>(CA86-BO86)/BO86</f>
        <v>4.2841037204058664E-2</v>
      </c>
      <c r="CJ86" s="4">
        <f>(CB86-BP86)/BP86</f>
        <v>-0.18367346938775511</v>
      </c>
      <c r="CK86" s="4">
        <f>(CC86-BQ86)/BQ86</f>
        <v>-0.56643356643356635</v>
      </c>
      <c r="CL86" s="4">
        <v>0.30099999999999999</v>
      </c>
      <c r="CM86" s="4">
        <v>0.72599999999999998</v>
      </c>
      <c r="CN86" s="4">
        <f>CL86/CM86</f>
        <v>0.41460055096418735</v>
      </c>
    </row>
    <row r="87" spans="1:92" x14ac:dyDescent="0.3">
      <c r="A87" s="11" t="s">
        <v>88</v>
      </c>
      <c r="B87" s="13">
        <v>224</v>
      </c>
      <c r="C87" s="13">
        <v>39</v>
      </c>
      <c r="D87" s="13">
        <v>5</v>
      </c>
      <c r="E87" s="13">
        <v>5</v>
      </c>
      <c r="F87" s="13">
        <v>5</v>
      </c>
      <c r="G87" s="12" t="s">
        <v>1</v>
      </c>
      <c r="H87" s="4">
        <v>7.95</v>
      </c>
      <c r="I87" s="4">
        <v>5.22</v>
      </c>
      <c r="J87" s="4">
        <v>9.0299999999999994</v>
      </c>
      <c r="K87" s="4">
        <v>5.82</v>
      </c>
      <c r="L87" s="5">
        <f>(H87-I87)/(H87+I87)</f>
        <v>0.20728929384965836</v>
      </c>
      <c r="M87" s="5">
        <f>(J87-K87)/(J87+K87)</f>
        <v>0.21616161616161611</v>
      </c>
      <c r="N87" s="4">
        <v>0.2</v>
      </c>
      <c r="O87" s="4">
        <v>0.36</v>
      </c>
      <c r="P87" s="4">
        <v>0.121</v>
      </c>
      <c r="Q87" s="4">
        <v>0.16</v>
      </c>
      <c r="R87" s="4">
        <v>0.23</v>
      </c>
      <c r="S87" s="4">
        <v>0.30499999999999999</v>
      </c>
      <c r="T87" s="4">
        <v>0.151</v>
      </c>
      <c r="U87" s="4">
        <v>0.18</v>
      </c>
      <c r="V87" s="4">
        <v>0.49</v>
      </c>
      <c r="W87" s="4">
        <v>0.88200000000000001</v>
      </c>
      <c r="X87" s="4">
        <v>5.0999999999999997E-2</v>
      </c>
      <c r="Y87" s="4">
        <v>0.04</v>
      </c>
      <c r="Z87" s="4">
        <v>0.222</v>
      </c>
      <c r="AA87" s="5">
        <f>(V87-N87)/N87</f>
        <v>1.4499999999999997</v>
      </c>
      <c r="AB87" s="5">
        <f>(W87-O87)/O87</f>
        <v>1.4500000000000002</v>
      </c>
      <c r="AC87" s="5">
        <f>(X87-P87)/P87</f>
        <v>-0.57851239669421495</v>
      </c>
      <c r="AD87" s="5">
        <f>(Y87-Q87)/Q87</f>
        <v>-0.75</v>
      </c>
      <c r="AE87" s="4">
        <v>0.55000000000000004</v>
      </c>
      <c r="AF87" s="4">
        <v>0.74199999999999999</v>
      </c>
      <c r="AG87" s="4">
        <v>9.0999999999999998E-2</v>
      </c>
      <c r="AH87" s="4">
        <v>0.05</v>
      </c>
      <c r="AI87" s="4">
        <v>0.222</v>
      </c>
      <c r="AJ87" s="5">
        <f>(AE87-R87)/R87</f>
        <v>1.3913043478260871</v>
      </c>
      <c r="AK87" s="5">
        <f>(AF87-S87)/S87</f>
        <v>1.4327868852459016</v>
      </c>
      <c r="AL87" s="5">
        <f>(AG87-T87)/T87</f>
        <v>-0.39735099337748342</v>
      </c>
      <c r="AM87" s="5">
        <f>(AH87-U87)/U87</f>
        <v>-0.72222222222222232</v>
      </c>
      <c r="AN87" s="4">
        <v>0.28899999999999998</v>
      </c>
      <c r="AO87" s="4">
        <v>0.51800000000000002</v>
      </c>
      <c r="AP87" s="4">
        <v>0.14899999999999999</v>
      </c>
      <c r="AQ87" s="4">
        <v>0.193</v>
      </c>
      <c r="AR87" s="4">
        <v>0.129</v>
      </c>
      <c r="AS87" s="4">
        <v>0.35499999999999998</v>
      </c>
      <c r="AT87" s="4">
        <v>0.11799999999999999</v>
      </c>
      <c r="AU87" s="4">
        <v>0.16300000000000001</v>
      </c>
      <c r="AV87" s="4">
        <v>0.51500000000000001</v>
      </c>
      <c r="AW87" s="4">
        <v>0.83599999999999997</v>
      </c>
      <c r="AX87" s="4">
        <v>8.6999999999999994E-2</v>
      </c>
      <c r="AY87" s="4">
        <v>0.115</v>
      </c>
      <c r="AZ87" s="4">
        <v>0.314</v>
      </c>
      <c r="BA87" s="6">
        <f>(AV87-AN87)/AN87</f>
        <v>0.78200692041522513</v>
      </c>
      <c r="BB87" s="6">
        <f>(AW87-AO87)/AO87</f>
        <v>0.61389961389961378</v>
      </c>
      <c r="BC87" s="6">
        <f>(AX87-AP87)/AP87</f>
        <v>-0.41610738255033558</v>
      </c>
      <c r="BD87" s="6">
        <f>(AY87-AQ87)/AQ87</f>
        <v>-0.40414507772020725</v>
      </c>
      <c r="BE87" s="4">
        <v>0.46700000000000003</v>
      </c>
      <c r="BF87" s="4">
        <v>0.80100000000000005</v>
      </c>
      <c r="BG87" s="4">
        <v>6.6000000000000003E-2</v>
      </c>
      <c r="BH87" s="4">
        <v>0.10199999999999999</v>
      </c>
      <c r="BI87" s="4">
        <v>0.29399999999999998</v>
      </c>
      <c r="BJ87" s="5">
        <f>(BE87-AN87)/AN87</f>
        <v>0.61591695501730126</v>
      </c>
      <c r="BK87" s="5">
        <f>(BF87-AO87)/AO87</f>
        <v>0.54633204633204635</v>
      </c>
      <c r="BL87" s="5">
        <f>(BG87-AP87)/AP87</f>
        <v>-0.55704697986577179</v>
      </c>
      <c r="BM87" s="5">
        <f>(BH87-AQ87)/AQ87</f>
        <v>-0.47150259067357519</v>
      </c>
      <c r="BN87" s="4">
        <v>0.47499999999999998</v>
      </c>
      <c r="BO87" s="4">
        <v>0.75600000000000001</v>
      </c>
      <c r="BP87" s="4">
        <v>7.2999999999999995E-2</v>
      </c>
      <c r="BQ87" s="4">
        <v>0.17</v>
      </c>
      <c r="BR87" s="5">
        <f>(BN87-AR87)/AR87</f>
        <v>2.6821705426356588</v>
      </c>
      <c r="BS87" s="5">
        <f>(BO87-AS87)/AS87</f>
        <v>1.1295774647887324</v>
      </c>
      <c r="BT87" s="5">
        <f>(BP87-AT87)/AT87</f>
        <v>-0.38135593220338981</v>
      </c>
      <c r="BU87" s="5">
        <f>(BQ87-AU87)/AU87</f>
        <v>4.2944785276073656E-2</v>
      </c>
      <c r="BV87" s="4">
        <f>(BN87-BE87)/BE87</f>
        <v>1.7130620985010604E-2</v>
      </c>
      <c r="BW87" s="4">
        <f>(BO87-BF87)/BF87</f>
        <v>-5.6179775280898923E-2</v>
      </c>
      <c r="BX87" s="4">
        <f>(BP87-BG87)/BG87</f>
        <v>0.10606060606060594</v>
      </c>
      <c r="BY87" s="4">
        <f>(BQ87-BH87)/BH87</f>
        <v>0.66666666666666685</v>
      </c>
      <c r="BZ87" s="4">
        <v>0.496</v>
      </c>
      <c r="CA87" s="4">
        <v>0.83199999999999996</v>
      </c>
      <c r="CB87" s="4">
        <v>0.06</v>
      </c>
      <c r="CC87" s="4">
        <v>0.14599999999999999</v>
      </c>
      <c r="CD87" s="4">
        <f>(BZ87-AR87)/AR87</f>
        <v>2.8449612403100772</v>
      </c>
      <c r="CE87" s="4">
        <f>(CA87-AS87)/AS87</f>
        <v>1.3436619718309859</v>
      </c>
      <c r="CF87" s="4">
        <f>(CB87-AT87)/AT87</f>
        <v>-0.49152542372881353</v>
      </c>
      <c r="CG87" s="4">
        <f>(CC87-AU87)/AU87</f>
        <v>-0.10429447852760745</v>
      </c>
      <c r="CH87" s="4">
        <f>(BZ87-BN87)/BN87</f>
        <v>4.4210526315789513E-2</v>
      </c>
      <c r="CI87" s="4">
        <f>(CA87-BO87)/BO87</f>
        <v>0.10052910052910047</v>
      </c>
      <c r="CJ87" s="4">
        <f>(CB87-BP87)/BP87</f>
        <v>-0.17808219178082191</v>
      </c>
      <c r="CK87" s="4">
        <f>(CC87-BQ87)/BQ87</f>
        <v>-0.1411764705882354</v>
      </c>
      <c r="CL87" s="4">
        <v>0.23699999999999999</v>
      </c>
      <c r="CM87" s="4">
        <v>0.747</v>
      </c>
      <c r="CN87" s="4">
        <f>CL87/CM87</f>
        <v>0.31726907630522089</v>
      </c>
    </row>
    <row r="88" spans="1:92" x14ac:dyDescent="0.3">
      <c r="A88" s="11" t="s">
        <v>89</v>
      </c>
      <c r="B88" s="13">
        <v>702</v>
      </c>
      <c r="C88" s="13">
        <v>39</v>
      </c>
      <c r="D88" s="13">
        <v>5</v>
      </c>
      <c r="E88" s="13">
        <v>5</v>
      </c>
      <c r="F88" s="13">
        <v>5</v>
      </c>
      <c r="G88" s="12" t="s">
        <v>1</v>
      </c>
      <c r="H88" s="4">
        <v>4.63</v>
      </c>
      <c r="I88" s="4">
        <v>2.2999999999999998</v>
      </c>
      <c r="J88" s="4">
        <v>5.1100000000000003</v>
      </c>
      <c r="K88" s="4">
        <v>2.56</v>
      </c>
      <c r="L88" s="5">
        <f>(H88-I88)/(H88+I88)</f>
        <v>0.33621933621933625</v>
      </c>
      <c r="M88" s="5">
        <f>(J88-K88)/(J88+K88)</f>
        <v>0.33246414602346808</v>
      </c>
      <c r="N88" s="4">
        <v>0.12</v>
      </c>
      <c r="O88" s="4">
        <v>0.38500000000000001</v>
      </c>
      <c r="P88" s="4">
        <v>0.08</v>
      </c>
      <c r="Q88" s="4">
        <v>0.09</v>
      </c>
      <c r="R88" s="4">
        <v>0.13</v>
      </c>
      <c r="S88" s="4">
        <v>0.34899999999999998</v>
      </c>
      <c r="T88" s="4">
        <v>9.2999999999999999E-2</v>
      </c>
      <c r="U88" s="4">
        <v>0.1</v>
      </c>
      <c r="V88" s="4">
        <v>0.28999999999999998</v>
      </c>
      <c r="W88" s="4">
        <v>0.751</v>
      </c>
      <c r="X88" s="4">
        <v>5.0999999999999997E-2</v>
      </c>
      <c r="Y88" s="4">
        <v>0.04</v>
      </c>
      <c r="Z88" s="4">
        <v>0.11899999999999999</v>
      </c>
      <c r="AA88" s="5">
        <f>(V88-N88)/N88</f>
        <v>1.4166666666666665</v>
      </c>
      <c r="AB88" s="5">
        <f>(W88-O88)/O88</f>
        <v>0.95064935064935063</v>
      </c>
      <c r="AC88" s="5">
        <f>(X88-P88)/P88</f>
        <v>-0.36250000000000004</v>
      </c>
      <c r="AD88" s="5">
        <f>(Y88-Q88)/Q88</f>
        <v>-0.55555555555555558</v>
      </c>
      <c r="AE88" s="4">
        <v>0.32</v>
      </c>
      <c r="AF88" s="4">
        <v>0.69</v>
      </c>
      <c r="AG88" s="4">
        <v>6.4000000000000001E-2</v>
      </c>
      <c r="AH88" s="4">
        <v>0.05</v>
      </c>
      <c r="AI88" s="4">
        <v>0.121</v>
      </c>
      <c r="AJ88" s="5">
        <f>(AE88-R88)/R88</f>
        <v>1.4615384615384615</v>
      </c>
      <c r="AK88" s="5">
        <f>(AF88-S88)/S88</f>
        <v>0.97707736389684807</v>
      </c>
      <c r="AL88" s="5">
        <f>(AG88-T88)/T88</f>
        <v>-0.31182795698924731</v>
      </c>
      <c r="AM88" s="5">
        <f>(AH88-U88)/U88</f>
        <v>-0.5</v>
      </c>
      <c r="AN88" s="4">
        <v>3.9E-2</v>
      </c>
      <c r="AO88" s="4">
        <v>0.42799999999999999</v>
      </c>
      <c r="AP88" s="4">
        <v>9.2999999999999999E-2</v>
      </c>
      <c r="AQ88" s="4">
        <v>0.10199999999999999</v>
      </c>
      <c r="AR88" s="4">
        <v>2.7E-2</v>
      </c>
      <c r="AS88" s="4">
        <v>0.38600000000000001</v>
      </c>
      <c r="AT88" s="4">
        <v>7.4999999999999997E-2</v>
      </c>
      <c r="AU88" s="4">
        <v>9.0999999999999998E-2</v>
      </c>
      <c r="AV88" s="4">
        <v>0.20300000000000001</v>
      </c>
      <c r="AW88" s="4">
        <v>0.496</v>
      </c>
      <c r="AX88" s="4">
        <v>8.6999999999999994E-2</v>
      </c>
      <c r="AY88" s="4">
        <v>9.8000000000000004E-2</v>
      </c>
      <c r="AZ88" s="4">
        <v>0.497</v>
      </c>
      <c r="BA88" s="6">
        <f>(AV88-AN88)/AN88</f>
        <v>4.2051282051282053</v>
      </c>
      <c r="BB88" s="6">
        <f>(AW88-AO88)/AO88</f>
        <v>0.15887850467289721</v>
      </c>
      <c r="BC88" s="6">
        <f>(AX88-AP88)/AP88</f>
        <v>-6.4516129032258118E-2</v>
      </c>
      <c r="BD88" s="6">
        <f>(AY88-AQ88)/AQ88</f>
        <v>-3.9215686274509706E-2</v>
      </c>
      <c r="BE88" s="4">
        <v>0.152</v>
      </c>
      <c r="BF88" s="4">
        <v>0.437</v>
      </c>
      <c r="BG88" s="4">
        <v>7.0999999999999994E-2</v>
      </c>
      <c r="BH88" s="4">
        <v>9.7000000000000003E-2</v>
      </c>
      <c r="BI88" s="4">
        <v>0.33600000000000002</v>
      </c>
      <c r="BJ88" s="5">
        <f>(BE88-AN88)/AN88</f>
        <v>2.8974358974358974</v>
      </c>
      <c r="BK88" s="5">
        <f>(BF88-AO88)/AO88</f>
        <v>2.102803738317759E-2</v>
      </c>
      <c r="BL88" s="5">
        <f>(BG88-AP88)/AP88</f>
        <v>-0.2365591397849463</v>
      </c>
      <c r="BM88" s="5">
        <f>(BH88-AQ88)/AQ88</f>
        <v>-4.9019607843137164E-2</v>
      </c>
      <c r="BN88" s="4">
        <v>0.125</v>
      </c>
      <c r="BO88" s="4">
        <v>0.36099999999999999</v>
      </c>
      <c r="BP88" s="4">
        <v>7.5999999999999998E-2</v>
      </c>
      <c r="BQ88" s="4">
        <v>0.124</v>
      </c>
      <c r="BR88" s="5">
        <f>(BN88-AR88)/AR88</f>
        <v>3.6296296296296298</v>
      </c>
      <c r="BS88" s="5">
        <f>(BO88-AS88)/AS88</f>
        <v>-6.4766839378238392E-2</v>
      </c>
      <c r="BT88" s="5">
        <f>(BP88-AT88)/AT88</f>
        <v>1.3333333333333346E-2</v>
      </c>
      <c r="BU88" s="5">
        <f>(BQ88-AU88)/AU88</f>
        <v>0.36263736263736268</v>
      </c>
      <c r="BV88" s="4">
        <f>(BN88-BE88)/BE88</f>
        <v>-0.17763157894736839</v>
      </c>
      <c r="BW88" s="4">
        <f>(BO88-BF88)/BF88</f>
        <v>-0.17391304347826089</v>
      </c>
      <c r="BX88" s="4">
        <f>(BP88-BG88)/BG88</f>
        <v>7.0422535211267678E-2</v>
      </c>
      <c r="BY88" s="4">
        <f>(BQ88-BH88)/BH88</f>
        <v>0.27835051546391748</v>
      </c>
      <c r="BZ88" s="4">
        <v>0.20899999999999999</v>
      </c>
      <c r="CA88" s="4">
        <v>0.442</v>
      </c>
      <c r="CB88" s="4">
        <v>7.0999999999999994E-2</v>
      </c>
      <c r="CC88" s="4">
        <v>0.113</v>
      </c>
      <c r="CD88" s="4">
        <f>(BZ88-AR88)/AR88</f>
        <v>6.7407407407407405</v>
      </c>
      <c r="CE88" s="4">
        <f>(CA88-AS88)/AS88</f>
        <v>0.14507772020725387</v>
      </c>
      <c r="CF88" s="4">
        <f>(CB88-AT88)/AT88</f>
        <v>-5.3333333333333385E-2</v>
      </c>
      <c r="CG88" s="4">
        <f>(CC88-AU88)/AU88</f>
        <v>0.24175824175824182</v>
      </c>
      <c r="CH88" s="4">
        <f>(BZ88-BN88)/BN88</f>
        <v>0.67199999999999993</v>
      </c>
      <c r="CI88" s="4">
        <f>(CA88-BO88)/BO88</f>
        <v>0.22437673130193911</v>
      </c>
      <c r="CJ88" s="4">
        <f>(CB88-BP88)/BP88</f>
        <v>-6.5789473684210592E-2</v>
      </c>
      <c r="CK88" s="4">
        <f>(CC88-BQ88)/BQ88</f>
        <v>-8.8709677419354802E-2</v>
      </c>
      <c r="CL88" s="4">
        <v>0.26400000000000001</v>
      </c>
      <c r="CM88" s="4">
        <v>0.755</v>
      </c>
      <c r="CN88" s="4">
        <f>CL88/CM88</f>
        <v>0.34966887417218545</v>
      </c>
    </row>
    <row r="89" spans="1:92" x14ac:dyDescent="0.3">
      <c r="A89" s="11" t="s">
        <v>90</v>
      </c>
      <c r="B89" s="13">
        <v>251</v>
      </c>
      <c r="C89" s="13">
        <v>39</v>
      </c>
      <c r="D89" s="13">
        <v>5</v>
      </c>
      <c r="E89" s="13">
        <v>5</v>
      </c>
      <c r="F89" s="13">
        <v>5</v>
      </c>
      <c r="G89" s="12" t="s">
        <v>1</v>
      </c>
      <c r="H89" s="4">
        <v>8.18</v>
      </c>
      <c r="I89" s="4">
        <v>3.61</v>
      </c>
      <c r="J89" s="4">
        <v>9.35</v>
      </c>
      <c r="K89" s="4">
        <v>3.97</v>
      </c>
      <c r="L89" s="5">
        <f>(H89-I89)/(H89+I89)</f>
        <v>0.38761662425784571</v>
      </c>
      <c r="M89" s="5">
        <f>(J89-K89)/(J89+K89)</f>
        <v>0.40390390390390379</v>
      </c>
      <c r="N89" s="4">
        <v>0.21</v>
      </c>
      <c r="O89" s="4">
        <v>0.39200000000000002</v>
      </c>
      <c r="P89" s="4">
        <v>0.112</v>
      </c>
      <c r="Q89" s="4">
        <v>0.13</v>
      </c>
      <c r="R89" s="4">
        <v>0.24</v>
      </c>
      <c r="S89" s="4">
        <v>0.33600000000000002</v>
      </c>
      <c r="T89" s="4">
        <v>0.13700000000000001</v>
      </c>
      <c r="U89" s="4">
        <v>0.15</v>
      </c>
      <c r="V89" s="4">
        <v>0.46</v>
      </c>
      <c r="W89" s="4">
        <v>0.90400000000000003</v>
      </c>
      <c r="X89" s="4">
        <v>4.3999999999999997E-2</v>
      </c>
      <c r="Y89" s="4">
        <v>0.04</v>
      </c>
      <c r="Z89" s="4">
        <v>0.21299999999999999</v>
      </c>
      <c r="AA89" s="5">
        <f>(V89-N89)/N89</f>
        <v>1.1904761904761905</v>
      </c>
      <c r="AB89" s="5">
        <f>(W89-O89)/O89</f>
        <v>1.3061224489795917</v>
      </c>
      <c r="AC89" s="5">
        <f>(X89-P89)/P89</f>
        <v>-0.60714285714285721</v>
      </c>
      <c r="AD89" s="5">
        <f>(Y89-Q89)/Q89</f>
        <v>-0.69230769230769229</v>
      </c>
      <c r="AE89" s="4">
        <v>0.52</v>
      </c>
      <c r="AF89" s="4">
        <v>0.78700000000000003</v>
      </c>
      <c r="AG89" s="4">
        <v>7.6999999999999999E-2</v>
      </c>
      <c r="AH89" s="4">
        <v>0.04</v>
      </c>
      <c r="AI89" s="4">
        <v>0.22</v>
      </c>
      <c r="AJ89" s="5">
        <f>(AE89-R89)/R89</f>
        <v>1.1666666666666667</v>
      </c>
      <c r="AK89" s="5">
        <f>(AF89-S89)/S89</f>
        <v>1.3422619047619047</v>
      </c>
      <c r="AL89" s="5">
        <f>(AG89-T89)/T89</f>
        <v>-0.43795620437956212</v>
      </c>
      <c r="AM89" s="5">
        <f>(AH89-U89)/U89</f>
        <v>-0.73333333333333328</v>
      </c>
      <c r="AN89" s="4">
        <v>0.24</v>
      </c>
      <c r="AO89" s="4">
        <v>0.55900000000000005</v>
      </c>
      <c r="AP89" s="4">
        <v>0.13800000000000001</v>
      </c>
      <c r="AQ89" s="4">
        <v>0.154</v>
      </c>
      <c r="AR89" s="4">
        <v>0.17100000000000001</v>
      </c>
      <c r="AS89" s="4">
        <v>0.37</v>
      </c>
      <c r="AT89" s="4">
        <v>0.108</v>
      </c>
      <c r="AU89" s="4">
        <v>0.13</v>
      </c>
      <c r="AV89" s="4">
        <v>0.51100000000000001</v>
      </c>
      <c r="AW89" s="4">
        <v>0.93400000000000005</v>
      </c>
      <c r="AX89" s="4">
        <v>5.2999999999999999E-2</v>
      </c>
      <c r="AY89" s="4">
        <v>7.0999999999999994E-2</v>
      </c>
      <c r="AZ89" s="4">
        <v>0.36599999999999999</v>
      </c>
      <c r="BA89" s="6">
        <f>(AV89-AN89)/AN89</f>
        <v>1.1291666666666669</v>
      </c>
      <c r="BB89" s="6">
        <f>(AW89-AO89)/AO89</f>
        <v>0.67084078711985684</v>
      </c>
      <c r="BC89" s="6">
        <f>(AX89-AP89)/AP89</f>
        <v>-0.61594202898550732</v>
      </c>
      <c r="BD89" s="6">
        <f>(AY89-AQ89)/AQ89</f>
        <v>-0.53896103896103897</v>
      </c>
      <c r="BE89" s="4">
        <v>0.432</v>
      </c>
      <c r="BF89" s="4">
        <v>0.88</v>
      </c>
      <c r="BG89" s="4">
        <v>4.7E-2</v>
      </c>
      <c r="BH89" s="4">
        <v>6.5000000000000002E-2</v>
      </c>
      <c r="BI89" s="4">
        <v>0.34100000000000003</v>
      </c>
      <c r="BJ89" s="5">
        <f>(BE89-AN89)/AN89</f>
        <v>0.8</v>
      </c>
      <c r="BK89" s="5">
        <f>(BF89-AO89)/AO89</f>
        <v>0.57423971377459737</v>
      </c>
      <c r="BL89" s="5">
        <f>(BG89-AP89)/AP89</f>
        <v>-0.65942028985507251</v>
      </c>
      <c r="BM89" s="5">
        <f>(BH89-AQ89)/AQ89</f>
        <v>-0.57792207792207795</v>
      </c>
      <c r="BN89" s="4">
        <v>0.434</v>
      </c>
      <c r="BO89" s="4">
        <v>0.83199999999999996</v>
      </c>
      <c r="BP89" s="4">
        <v>5.6000000000000001E-2</v>
      </c>
      <c r="BQ89" s="4">
        <v>0.153</v>
      </c>
      <c r="BR89" s="5">
        <f>(BN89-AR89)/AR89</f>
        <v>1.5380116959064327</v>
      </c>
      <c r="BS89" s="5">
        <f>(BO89-AS89)/AS89</f>
        <v>1.2486486486486486</v>
      </c>
      <c r="BT89" s="5">
        <f>(BP89-AT89)/AT89</f>
        <v>-0.48148148148148145</v>
      </c>
      <c r="BU89" s="5">
        <f>(BQ89-AU89)/AU89</f>
        <v>0.17692307692307685</v>
      </c>
      <c r="BV89" s="4">
        <f>(BN89-BE89)/BE89</f>
        <v>4.6296296296296337E-3</v>
      </c>
      <c r="BW89" s="4">
        <f>(BO89-BF89)/BF89</f>
        <v>-5.4545454545454591E-2</v>
      </c>
      <c r="BX89" s="4">
        <f>(BP89-BG89)/BG89</f>
        <v>0.19148936170212769</v>
      </c>
      <c r="BY89" s="4">
        <f>(BQ89-BH89)/BH89</f>
        <v>1.3538461538461537</v>
      </c>
      <c r="BZ89" s="4">
        <v>0.45300000000000001</v>
      </c>
      <c r="CA89" s="4">
        <v>0.90400000000000003</v>
      </c>
      <c r="CB89" s="4">
        <v>4.2000000000000003E-2</v>
      </c>
      <c r="CC89" s="4">
        <v>8.2000000000000003E-2</v>
      </c>
      <c r="CD89" s="4">
        <f>(BZ89-AR89)/AR89</f>
        <v>1.6491228070175439</v>
      </c>
      <c r="CE89" s="4">
        <f>(CA89-AS89)/AS89</f>
        <v>1.4432432432432434</v>
      </c>
      <c r="CF89" s="4">
        <f>(CB89-AT89)/AT89</f>
        <v>-0.61111111111111116</v>
      </c>
      <c r="CG89" s="4">
        <f>(CC89-AU89)/AU89</f>
        <v>-0.36923076923076925</v>
      </c>
      <c r="CH89" s="4">
        <f>(BZ89-BN89)/BN89</f>
        <v>4.3778801843318012E-2</v>
      </c>
      <c r="CI89" s="4">
        <f>(CA89-BO89)/BO89</f>
        <v>8.653846153846162E-2</v>
      </c>
      <c r="CJ89" s="4">
        <f>(CB89-BP89)/BP89</f>
        <v>-0.24999999999999997</v>
      </c>
      <c r="CK89" s="4">
        <f>(CC89-BQ89)/BQ89</f>
        <v>-0.46405228758169931</v>
      </c>
      <c r="CL89" s="4">
        <v>0.34200000000000003</v>
      </c>
      <c r="CM89" s="4">
        <v>0.68200000000000005</v>
      </c>
      <c r="CN89" s="4">
        <f>CL89/CM89</f>
        <v>0.50146627565982405</v>
      </c>
    </row>
    <row r="90" spans="1:92" x14ac:dyDescent="0.3">
      <c r="A90" s="11" t="s">
        <v>91</v>
      </c>
      <c r="B90" s="13">
        <v>1155</v>
      </c>
      <c r="C90" s="13">
        <v>39</v>
      </c>
      <c r="D90" s="13">
        <v>5</v>
      </c>
      <c r="E90" s="13">
        <v>5</v>
      </c>
      <c r="F90" s="13">
        <v>5</v>
      </c>
      <c r="G90" s="12" t="s">
        <v>1</v>
      </c>
      <c r="H90" s="4">
        <v>8.6999999999999993</v>
      </c>
      <c r="I90" s="4">
        <v>4.1500000000000004</v>
      </c>
      <c r="J90" s="4">
        <v>9.7200000000000006</v>
      </c>
      <c r="K90" s="4">
        <v>4.72</v>
      </c>
      <c r="L90" s="5">
        <f>(H90-I90)/(H90+I90)</f>
        <v>0.35408560311284037</v>
      </c>
      <c r="M90" s="5">
        <f>(J90-K90)/(J90+K90)</f>
        <v>0.34626038781163437</v>
      </c>
      <c r="N90" s="4">
        <v>0.22</v>
      </c>
      <c r="O90" s="4">
        <v>0.35799999999999998</v>
      </c>
      <c r="P90" s="4">
        <v>0.129</v>
      </c>
      <c r="Q90" s="4">
        <v>0.15</v>
      </c>
      <c r="R90" s="4">
        <v>0.25</v>
      </c>
      <c r="S90" s="4">
        <v>0.32300000000000001</v>
      </c>
      <c r="T90" s="4">
        <v>0.15</v>
      </c>
      <c r="U90" s="4">
        <v>0.17</v>
      </c>
      <c r="V90" s="4">
        <v>0.51</v>
      </c>
      <c r="W90" s="4">
        <v>0.90600000000000003</v>
      </c>
      <c r="X90" s="4">
        <v>4.9000000000000002E-2</v>
      </c>
      <c r="Y90" s="4">
        <v>0.03</v>
      </c>
      <c r="Z90" s="4">
        <v>0.254</v>
      </c>
      <c r="AA90" s="5">
        <f>(V90-N90)/N90</f>
        <v>1.3181818181818183</v>
      </c>
      <c r="AB90" s="5">
        <f>(W90-O90)/O90</f>
        <v>1.5307262569832405</v>
      </c>
      <c r="AC90" s="5">
        <f>(X90-P90)/P90</f>
        <v>-0.62015503875968991</v>
      </c>
      <c r="AD90" s="5">
        <f>(Y90-Q90)/Q90</f>
        <v>-0.8</v>
      </c>
      <c r="AE90" s="4">
        <v>0.56999999999999995</v>
      </c>
      <c r="AF90" s="4">
        <v>0.86799999999999999</v>
      </c>
      <c r="AG90" s="4">
        <v>6.6000000000000003E-2</v>
      </c>
      <c r="AH90" s="4">
        <v>0.03</v>
      </c>
      <c r="AI90" s="4">
        <v>0.25700000000000001</v>
      </c>
      <c r="AJ90" s="5">
        <f>(AE90-R90)/R90</f>
        <v>1.2799999999999998</v>
      </c>
      <c r="AK90" s="5">
        <f>(AF90-S90)/S90</f>
        <v>1.6873065015479873</v>
      </c>
      <c r="AL90" s="5">
        <f>(AG90-T90)/T90</f>
        <v>-0.55999999999999994</v>
      </c>
      <c r="AM90" s="5">
        <f>(AH90-U90)/U90</f>
        <v>-0.82352941176470595</v>
      </c>
      <c r="AN90" s="4">
        <v>0.36599999999999999</v>
      </c>
      <c r="AO90" s="4">
        <v>0.51100000000000001</v>
      </c>
      <c r="AP90" s="4">
        <v>0.16500000000000001</v>
      </c>
      <c r="AQ90" s="4">
        <v>0.17599999999999999</v>
      </c>
      <c r="AR90" s="4">
        <v>0.21</v>
      </c>
      <c r="AS90" s="4">
        <v>0.35099999999999998</v>
      </c>
      <c r="AT90" s="4">
        <v>0.11600000000000001</v>
      </c>
      <c r="AU90" s="4">
        <v>0.14799999999999999</v>
      </c>
      <c r="AV90" s="4">
        <v>0.59799999999999998</v>
      </c>
      <c r="AW90" s="4">
        <v>0.92400000000000004</v>
      </c>
      <c r="AX90" s="4">
        <v>6.5000000000000002E-2</v>
      </c>
      <c r="AY90" s="4">
        <v>6.7000000000000004E-2</v>
      </c>
      <c r="AZ90" s="4">
        <v>0.32</v>
      </c>
      <c r="BA90" s="6">
        <f>(AV90-AN90)/AN90</f>
        <v>0.63387978142076495</v>
      </c>
      <c r="BB90" s="6">
        <f>(AW90-AO90)/AO90</f>
        <v>0.80821917808219179</v>
      </c>
      <c r="BC90" s="6">
        <f>(AX90-AP90)/AP90</f>
        <v>-0.60606060606060608</v>
      </c>
      <c r="BD90" s="6">
        <f>(AY90-AQ90)/AQ90</f>
        <v>-0.61931818181818177</v>
      </c>
      <c r="BE90" s="4">
        <v>0.51700000000000002</v>
      </c>
      <c r="BF90" s="4">
        <v>0.88100000000000001</v>
      </c>
      <c r="BG90" s="4">
        <v>0.05</v>
      </c>
      <c r="BH90" s="4">
        <v>6.0999999999999999E-2</v>
      </c>
      <c r="BI90" s="4">
        <v>0.312</v>
      </c>
      <c r="BJ90" s="5">
        <f>(BE90-AN90)/AN90</f>
        <v>0.41256830601092903</v>
      </c>
      <c r="BK90" s="5">
        <f>(BF90-AO90)/AO90</f>
        <v>0.72407045009784732</v>
      </c>
      <c r="BL90" s="5">
        <f>(BG90-AP90)/AP90</f>
        <v>-0.69696969696969702</v>
      </c>
      <c r="BM90" s="5">
        <f>(BH90-AQ90)/AQ90</f>
        <v>-0.65340909090909094</v>
      </c>
      <c r="BN90" s="4">
        <v>0.51800000000000002</v>
      </c>
      <c r="BO90" s="4">
        <v>0.83899999999999997</v>
      </c>
      <c r="BP90" s="4">
        <v>5.8000000000000003E-2</v>
      </c>
      <c r="BQ90" s="4">
        <v>0.161</v>
      </c>
      <c r="BR90" s="5">
        <f>(BN90-AR90)/AR90</f>
        <v>1.466666666666667</v>
      </c>
      <c r="BS90" s="5">
        <f>(BO90-AS90)/AS90</f>
        <v>1.3903133903133904</v>
      </c>
      <c r="BT90" s="5">
        <f>(BP90-AT90)/AT90</f>
        <v>-0.5</v>
      </c>
      <c r="BU90" s="5">
        <f>(BQ90-AU90)/AU90</f>
        <v>8.7837837837837926E-2</v>
      </c>
      <c r="BV90" s="4">
        <f>(BN90-BE90)/BE90</f>
        <v>1.93423597678917E-3</v>
      </c>
      <c r="BW90" s="4">
        <f>(BO90-BF90)/BF90</f>
        <v>-4.7673098751418883E-2</v>
      </c>
      <c r="BX90" s="4">
        <f>(BP90-BG90)/BG90</f>
        <v>0.16</v>
      </c>
      <c r="BY90" s="4">
        <f>(BQ90-BH90)/BH90</f>
        <v>1.639344262295082</v>
      </c>
      <c r="BZ90" s="4">
        <v>0.52100000000000002</v>
      </c>
      <c r="CA90" s="4">
        <v>0.876</v>
      </c>
      <c r="CB90" s="4">
        <v>5.0999999999999997E-2</v>
      </c>
      <c r="CC90" s="4">
        <v>9.6000000000000002E-2</v>
      </c>
      <c r="CD90" s="4">
        <f>(BZ90-AR90)/AR90</f>
        <v>1.4809523809523812</v>
      </c>
      <c r="CE90" s="4">
        <f>(CA90-AS90)/AS90</f>
        <v>1.495726495726496</v>
      </c>
      <c r="CF90" s="4">
        <f>(CB90-AT90)/AT90</f>
        <v>-0.56034482758620685</v>
      </c>
      <c r="CG90" s="4">
        <f>(CC90-AU90)/AU90</f>
        <v>-0.35135135135135132</v>
      </c>
      <c r="CH90" s="4">
        <f>(BZ90-BN90)/BN90</f>
        <v>5.7915057915057964E-3</v>
      </c>
      <c r="CI90" s="4">
        <f>(CA90-BO90)/BO90</f>
        <v>4.4100119189511365E-2</v>
      </c>
      <c r="CJ90" s="4">
        <f>(CB90-BP90)/BP90</f>
        <v>-0.1206896551724139</v>
      </c>
      <c r="CK90" s="4">
        <f>(CC90-BQ90)/BQ90</f>
        <v>-0.40372670807453415</v>
      </c>
      <c r="CL90" s="4">
        <v>0.28499999999999998</v>
      </c>
      <c r="CM90" s="4">
        <v>0.68300000000000005</v>
      </c>
      <c r="CN90" s="4">
        <f>CL90/CM90</f>
        <v>0.41727672035139085</v>
      </c>
    </row>
    <row r="91" spans="1:92" x14ac:dyDescent="0.3">
      <c r="A91" s="11" t="s">
        <v>92</v>
      </c>
      <c r="B91" s="13">
        <v>495</v>
      </c>
      <c r="C91" s="13">
        <v>39</v>
      </c>
      <c r="D91" s="13">
        <v>5</v>
      </c>
      <c r="E91" s="13">
        <v>5</v>
      </c>
      <c r="F91" s="13">
        <v>5</v>
      </c>
      <c r="G91" s="12" t="s">
        <v>1</v>
      </c>
      <c r="H91" s="4">
        <v>6.87</v>
      </c>
      <c r="I91" s="4">
        <v>4.13</v>
      </c>
      <c r="J91" s="4">
        <v>7.71</v>
      </c>
      <c r="K91" s="4">
        <v>4.59</v>
      </c>
      <c r="L91" s="5">
        <f>(H91-I91)/(H91+I91)</f>
        <v>0.24909090909090911</v>
      </c>
      <c r="M91" s="5">
        <f>(J91-K91)/(J91+K91)</f>
        <v>0.25365853658536586</v>
      </c>
      <c r="N91" s="4">
        <v>0.18</v>
      </c>
      <c r="O91" s="4">
        <v>0.34599999999999997</v>
      </c>
      <c r="P91" s="4">
        <v>0.113</v>
      </c>
      <c r="Q91" s="4">
        <v>0.14000000000000001</v>
      </c>
      <c r="R91" s="4">
        <v>0.2</v>
      </c>
      <c r="S91" s="4">
        <v>0.31</v>
      </c>
      <c r="T91" s="4">
        <v>0.111</v>
      </c>
      <c r="U91" s="4">
        <v>0.15</v>
      </c>
      <c r="V91" s="4">
        <v>0.43</v>
      </c>
      <c r="W91" s="4">
        <v>0.876</v>
      </c>
      <c r="X91" s="4">
        <v>4.9000000000000002E-2</v>
      </c>
      <c r="Y91" s="4">
        <v>0.03</v>
      </c>
      <c r="Z91" s="4">
        <v>0.19500000000000001</v>
      </c>
      <c r="AA91" s="5">
        <f>(V91-N91)/N91</f>
        <v>1.3888888888888888</v>
      </c>
      <c r="AB91" s="5">
        <f>(W91-O91)/O91</f>
        <v>1.531791907514451</v>
      </c>
      <c r="AC91" s="5">
        <f>(X91-P91)/P91</f>
        <v>-0.5663716814159292</v>
      </c>
      <c r="AD91" s="5">
        <f>(Y91-Q91)/Q91</f>
        <v>-0.7857142857142857</v>
      </c>
      <c r="AE91" s="4">
        <v>0.48</v>
      </c>
      <c r="AF91" s="4">
        <v>0.8</v>
      </c>
      <c r="AG91" s="4">
        <v>7.0999999999999994E-2</v>
      </c>
      <c r="AH91" s="4">
        <v>0.04</v>
      </c>
      <c r="AI91" s="4">
        <v>0.19500000000000001</v>
      </c>
      <c r="AJ91" s="5">
        <f>(AE91-R91)/R91</f>
        <v>1.3999999999999997</v>
      </c>
      <c r="AK91" s="5">
        <f>(AF91-S91)/S91</f>
        <v>1.5806451612903227</v>
      </c>
      <c r="AL91" s="5">
        <f>(AG91-T91)/T91</f>
        <v>-0.3603603603603604</v>
      </c>
      <c r="AM91" s="5">
        <f>(AH91-U91)/U91</f>
        <v>-0.73333333333333328</v>
      </c>
      <c r="AN91" s="7">
        <v>0.29099999999999998</v>
      </c>
      <c r="AO91" s="7">
        <v>0.34399999999999997</v>
      </c>
      <c r="AP91" s="7">
        <v>0.13</v>
      </c>
      <c r="AQ91" s="7">
        <v>0.159</v>
      </c>
      <c r="AR91" s="4">
        <v>0.151</v>
      </c>
      <c r="AS91" s="4">
        <v>0.34</v>
      </c>
      <c r="AT91" s="4">
        <v>0.105</v>
      </c>
      <c r="AU91" s="4">
        <v>0.13900000000000001</v>
      </c>
      <c r="AV91" s="7">
        <v>0.50800000000000001</v>
      </c>
      <c r="AW91" s="7">
        <v>0.88500000000000001</v>
      </c>
      <c r="AX91" s="7">
        <v>6.6000000000000003E-2</v>
      </c>
      <c r="AY91" s="7">
        <v>0.08</v>
      </c>
      <c r="AZ91" s="7">
        <v>0.26900000000000002</v>
      </c>
      <c r="BA91" s="8">
        <f>(AV91-AN91)/AN91</f>
        <v>0.74570446735395202</v>
      </c>
      <c r="BB91" s="8">
        <f>(AW91-AO91)/AO91</f>
        <v>1.5726744186046513</v>
      </c>
      <c r="BC91" s="8">
        <f>(AX91-AP91)/AP91</f>
        <v>-0.49230769230769228</v>
      </c>
      <c r="BD91" s="8">
        <f>(AY91-AQ91)/AQ91</f>
        <v>-0.49685534591194969</v>
      </c>
      <c r="BE91" s="4">
        <v>0.432</v>
      </c>
      <c r="BF91" s="4">
        <v>0.83499999999999996</v>
      </c>
      <c r="BG91" s="4">
        <v>5.1999999999999998E-2</v>
      </c>
      <c r="BH91" s="4">
        <v>7.1999999999999995E-2</v>
      </c>
      <c r="BI91" s="4">
        <v>0.245</v>
      </c>
      <c r="BJ91" s="5">
        <f>(BE91-AN91)/AN91</f>
        <v>0.48453608247422686</v>
      </c>
      <c r="BK91" s="5">
        <f>(BF91-AO91)/AO91</f>
        <v>1.4273255813953489</v>
      </c>
      <c r="BL91" s="5">
        <f>(BG91-AP91)/AP91</f>
        <v>-0.60000000000000009</v>
      </c>
      <c r="BM91" s="5">
        <f>(BH91-AQ91)/AQ91</f>
        <v>-0.54716981132075471</v>
      </c>
      <c r="BN91" s="4">
        <v>0.42599999999999999</v>
      </c>
      <c r="BO91" s="4">
        <v>0.79600000000000004</v>
      </c>
      <c r="BP91" s="4">
        <v>5.8000000000000003E-2</v>
      </c>
      <c r="BQ91" s="4">
        <v>0.13100000000000001</v>
      </c>
      <c r="BR91" s="5">
        <f>(BN91-AR91)/AR91</f>
        <v>1.8211920529801326</v>
      </c>
      <c r="BS91" s="5">
        <f>(BO91-AS91)/AS91</f>
        <v>1.3411764705882352</v>
      </c>
      <c r="BT91" s="5">
        <f>(BP91-AT91)/AT91</f>
        <v>-0.44761904761904758</v>
      </c>
      <c r="BU91" s="5">
        <f>(BQ91-AU91)/AU91</f>
        <v>-5.7553956834532419E-2</v>
      </c>
      <c r="BV91" s="4">
        <f>(BN91-BE91)/BE91</f>
        <v>-1.3888888888888902E-2</v>
      </c>
      <c r="BW91" s="4">
        <f>(BO91-BF91)/BF91</f>
        <v>-4.6706586826347214E-2</v>
      </c>
      <c r="BX91" s="4">
        <f>(BP91-BG91)/BG91</f>
        <v>0.11538461538461549</v>
      </c>
      <c r="BY91" s="4">
        <f>(BQ91-BH91)/BH91</f>
        <v>0.81944444444444464</v>
      </c>
      <c r="BZ91" s="4">
        <v>0.438</v>
      </c>
      <c r="CA91" s="4">
        <v>0.85099999999999998</v>
      </c>
      <c r="CB91" s="4">
        <v>0.05</v>
      </c>
      <c r="CC91" s="4">
        <v>0.113</v>
      </c>
      <c r="CD91" s="4">
        <f>(BZ91-AR91)/AR91</f>
        <v>1.9006622516556295</v>
      </c>
      <c r="CE91" s="4">
        <f>(CA91-AS91)/AS91</f>
        <v>1.5029411764705878</v>
      </c>
      <c r="CF91" s="4">
        <f>(CB91-AT91)/AT91</f>
        <v>-0.52380952380952372</v>
      </c>
      <c r="CG91" s="4">
        <f>(CC91-AU91)/AU91</f>
        <v>-0.18705035971223027</v>
      </c>
      <c r="CH91" s="4">
        <f>(BZ91-BN91)/BN91</f>
        <v>2.8169014084507067E-2</v>
      </c>
      <c r="CI91" s="4">
        <f>(CA91-BO91)/BO91</f>
        <v>6.9095477386934598E-2</v>
      </c>
      <c r="CJ91" s="4">
        <f>(CB91-BP91)/BP91</f>
        <v>-0.13793103448275862</v>
      </c>
      <c r="CK91" s="4">
        <f>(CC91-BQ91)/BQ91</f>
        <v>-0.13740458015267176</v>
      </c>
      <c r="CL91" s="4">
        <v>0.19700000000000001</v>
      </c>
      <c r="CM91" s="4">
        <v>0.78900000000000003</v>
      </c>
      <c r="CN91" s="4">
        <f>CL91/CM91</f>
        <v>0.24968314321926488</v>
      </c>
    </row>
    <row r="92" spans="1:92" x14ac:dyDescent="0.3">
      <c r="A92" s="11" t="s">
        <v>93</v>
      </c>
      <c r="B92" s="13">
        <v>281</v>
      </c>
      <c r="C92" s="13">
        <v>39</v>
      </c>
      <c r="D92" s="13">
        <v>5</v>
      </c>
      <c r="E92" s="13">
        <v>5</v>
      </c>
      <c r="F92" s="13">
        <v>5</v>
      </c>
      <c r="G92" s="12" t="s">
        <v>1</v>
      </c>
      <c r="H92" s="4">
        <v>10.65</v>
      </c>
      <c r="I92" s="4">
        <v>5.59</v>
      </c>
      <c r="J92" s="4">
        <v>12.07</v>
      </c>
      <c r="K92" s="4">
        <v>6.18</v>
      </c>
      <c r="L92" s="5">
        <f>(H92-I92)/(H92+I92)</f>
        <v>0.31157635467980294</v>
      </c>
      <c r="M92" s="5">
        <f>(J92-K92)/(J92+K92)</f>
        <v>0.32273972602739731</v>
      </c>
      <c r="N92" s="4">
        <v>0.27</v>
      </c>
      <c r="O92" s="4">
        <v>0.36799999999999999</v>
      </c>
      <c r="P92" s="4">
        <v>0.14499999999999999</v>
      </c>
      <c r="Q92" s="4">
        <v>0.18</v>
      </c>
      <c r="R92" s="4">
        <v>0.31</v>
      </c>
      <c r="S92" s="4">
        <v>0.318</v>
      </c>
      <c r="T92" s="4">
        <v>0.17699999999999999</v>
      </c>
      <c r="U92" s="4">
        <v>0.19</v>
      </c>
      <c r="V92" s="4">
        <v>0.57999999999999996</v>
      </c>
      <c r="W92" s="4">
        <v>0.85699999999999998</v>
      </c>
      <c r="X92" s="4">
        <v>6.8000000000000005E-2</v>
      </c>
      <c r="Y92" s="4">
        <v>0.04</v>
      </c>
      <c r="Z92" s="4">
        <v>0.28399999999999997</v>
      </c>
      <c r="AA92" s="5">
        <f>(V92-N92)/N92</f>
        <v>1.1481481481481479</v>
      </c>
      <c r="AB92" s="5">
        <f>(W92-O92)/O92</f>
        <v>1.3288043478260869</v>
      </c>
      <c r="AC92" s="5">
        <f>(X92-P92)/P92</f>
        <v>-0.53103448275862064</v>
      </c>
      <c r="AD92" s="5">
        <f>(Y92-Q92)/Q92</f>
        <v>-0.77777777777777768</v>
      </c>
      <c r="AE92" s="4">
        <v>0.65</v>
      </c>
      <c r="AF92" s="4">
        <v>0.752</v>
      </c>
      <c r="AG92" s="4">
        <v>0.106</v>
      </c>
      <c r="AH92" s="4">
        <v>0.04</v>
      </c>
      <c r="AI92" s="4">
        <v>0.28799999999999998</v>
      </c>
      <c r="AJ92" s="5">
        <f>(AE92-R92)/R92</f>
        <v>1.0967741935483872</v>
      </c>
      <c r="AK92" s="5">
        <f>(AF92-S92)/S92</f>
        <v>1.3647798742138364</v>
      </c>
      <c r="AL92" s="5">
        <f>(AG92-T92)/T92</f>
        <v>-0.40112994350282483</v>
      </c>
      <c r="AM92" s="5">
        <f>(AH92-U92)/U92</f>
        <v>-0.78947368421052633</v>
      </c>
      <c r="AN92" s="4">
        <v>0.439</v>
      </c>
      <c r="AO92" s="4">
        <v>0.6</v>
      </c>
      <c r="AP92" s="4">
        <v>0.17499999999999999</v>
      </c>
      <c r="AQ92" s="4">
        <v>0.20399999999999999</v>
      </c>
      <c r="AR92" s="4">
        <v>0.246</v>
      </c>
      <c r="AS92" s="4">
        <v>0.36399999999999999</v>
      </c>
      <c r="AT92" s="4">
        <v>0.13100000000000001</v>
      </c>
      <c r="AU92" s="4">
        <v>0.17699999999999999</v>
      </c>
      <c r="AV92" s="4">
        <v>0.64100000000000001</v>
      </c>
      <c r="AW92" s="4">
        <v>0.91600000000000004</v>
      </c>
      <c r="AX92" s="4">
        <v>0.08</v>
      </c>
      <c r="AY92" s="4">
        <v>8.5999999999999993E-2</v>
      </c>
      <c r="AZ92" s="4">
        <v>0.36699999999999999</v>
      </c>
      <c r="BA92" s="6">
        <f>(AV92-AN92)/AN92</f>
        <v>0.46013667425968113</v>
      </c>
      <c r="BB92" s="6">
        <f>(AW92-AO92)/AO92</f>
        <v>0.52666666666666684</v>
      </c>
      <c r="BC92" s="6">
        <f>(AX92-AP92)/AP92</f>
        <v>-0.54285714285714282</v>
      </c>
      <c r="BD92" s="6">
        <f>(AY92-AQ92)/AQ92</f>
        <v>-0.57843137254901966</v>
      </c>
      <c r="BE92" s="4">
        <v>0.54600000000000004</v>
      </c>
      <c r="BF92" s="4">
        <v>0.84199999999999997</v>
      </c>
      <c r="BG92" s="4">
        <v>6.5000000000000002E-2</v>
      </c>
      <c r="BH92" s="4">
        <v>7.8E-2</v>
      </c>
      <c r="BI92" s="4">
        <v>0.35199999999999998</v>
      </c>
      <c r="BJ92" s="5">
        <f>(BE92-AN92)/AN92</f>
        <v>0.24373576309794998</v>
      </c>
      <c r="BK92" s="5">
        <f>(BF92-AO92)/AO92</f>
        <v>0.40333333333333332</v>
      </c>
      <c r="BL92" s="5">
        <f>(BG92-AP92)/AP92</f>
        <v>-0.62857142857142856</v>
      </c>
      <c r="BM92" s="5">
        <f>(BH92-AQ92)/AQ92</f>
        <v>-0.61764705882352944</v>
      </c>
      <c r="BN92" s="4">
        <v>0.53700000000000003</v>
      </c>
      <c r="BO92" s="4">
        <v>0.79300000000000004</v>
      </c>
      <c r="BP92" s="4">
        <v>7.4999999999999997E-2</v>
      </c>
      <c r="BQ92" s="4">
        <v>0.21299999999999999</v>
      </c>
      <c r="BR92" s="5">
        <f>(BN92-AR92)/AR92</f>
        <v>1.1829268292682928</v>
      </c>
      <c r="BS92" s="5">
        <f>(BO92-AS92)/AS92</f>
        <v>1.1785714285714288</v>
      </c>
      <c r="BT92" s="5">
        <f>(BP92-AT92)/AT92</f>
        <v>-0.4274809160305344</v>
      </c>
      <c r="BU92" s="5">
        <f>(BQ92-AU92)/AU92</f>
        <v>0.20338983050847462</v>
      </c>
      <c r="BV92" s="4">
        <f>(BN92-BE92)/BE92</f>
        <v>-1.6483516483516498E-2</v>
      </c>
      <c r="BW92" s="4">
        <f>(BO92-BF92)/BF92</f>
        <v>-5.8194774346793272E-2</v>
      </c>
      <c r="BX92" s="4">
        <f>(BP92-BG92)/BG92</f>
        <v>0.15384615384615377</v>
      </c>
      <c r="BY92" s="4">
        <f>(BQ92-BH92)/BH92</f>
        <v>1.7307692307692308</v>
      </c>
      <c r="BZ92" s="4">
        <v>0.59499999999999997</v>
      </c>
      <c r="CA92" s="4">
        <v>0.875</v>
      </c>
      <c r="CB92" s="4">
        <v>5.8000000000000003E-2</v>
      </c>
      <c r="CC92" s="4">
        <v>0.108</v>
      </c>
      <c r="CD92" s="4">
        <f>(BZ92-AR92)/AR92</f>
        <v>1.4186991869918699</v>
      </c>
      <c r="CE92" s="4">
        <f>(CA92-AS92)/AS92</f>
        <v>1.403846153846154</v>
      </c>
      <c r="CF92" s="4">
        <f>(CB92-AT92)/AT92</f>
        <v>-0.5572519083969466</v>
      </c>
      <c r="CG92" s="4">
        <f>(CC92-AU92)/AU92</f>
        <v>-0.38983050847457623</v>
      </c>
      <c r="CH92" s="4">
        <f>(BZ92-BN92)/BN92</f>
        <v>0.10800744878957158</v>
      </c>
      <c r="CI92" s="4">
        <f>(CA92-BO92)/BO92</f>
        <v>0.10340479192938204</v>
      </c>
      <c r="CJ92" s="4">
        <f>(CB92-BP92)/BP92</f>
        <v>-0.2266666666666666</v>
      </c>
      <c r="CK92" s="4">
        <f>(CC92-BQ92)/BQ92</f>
        <v>-0.49295774647887325</v>
      </c>
      <c r="CL92" s="4">
        <v>0.372</v>
      </c>
      <c r="CM92" s="4">
        <v>0.66500000000000004</v>
      </c>
      <c r="CN92" s="4">
        <f>CL92/CM92</f>
        <v>0.55939849624060145</v>
      </c>
    </row>
    <row r="93" spans="1:92" x14ac:dyDescent="0.3">
      <c r="A93" s="11" t="s">
        <v>94</v>
      </c>
      <c r="B93" s="13">
        <v>297</v>
      </c>
      <c r="C93" s="13">
        <v>59</v>
      </c>
      <c r="D93" s="13">
        <v>4</v>
      </c>
      <c r="E93" s="13">
        <v>5</v>
      </c>
      <c r="F93" s="13">
        <v>5</v>
      </c>
      <c r="G93" s="12" t="s">
        <v>9</v>
      </c>
      <c r="H93" s="4">
        <v>12.63</v>
      </c>
      <c r="I93" s="4">
        <v>5.89</v>
      </c>
      <c r="J93" s="7">
        <v>15.24</v>
      </c>
      <c r="K93" s="7">
        <v>6.91</v>
      </c>
      <c r="L93" s="5">
        <f>(H93-I93)/(H93+I93)</f>
        <v>0.36393088552915775</v>
      </c>
      <c r="M93" s="8">
        <f>(J93-K93)/(J93+K93)</f>
        <v>0.37607223476297968</v>
      </c>
      <c r="N93" s="4">
        <v>0.21</v>
      </c>
      <c r="O93" s="4">
        <v>0.42799999999999999</v>
      </c>
      <c r="P93" s="4">
        <v>9.2999999999999999E-2</v>
      </c>
      <c r="Q93" s="4">
        <v>0.14000000000000001</v>
      </c>
      <c r="R93" s="7">
        <v>0.26</v>
      </c>
      <c r="S93" s="7">
        <v>0.20599999999999999</v>
      </c>
      <c r="T93" s="7">
        <v>0.17699999999999999</v>
      </c>
      <c r="U93" s="7">
        <v>0.16</v>
      </c>
      <c r="V93" s="4">
        <v>0.45</v>
      </c>
      <c r="W93" s="4">
        <v>0.876</v>
      </c>
      <c r="X93" s="4">
        <v>4.2999999999999997E-2</v>
      </c>
      <c r="Y93" s="4">
        <v>0.04</v>
      </c>
      <c r="Z93" s="4">
        <v>0.223</v>
      </c>
      <c r="AA93" s="5">
        <f>(V93-N93)/N93</f>
        <v>1.142857142857143</v>
      </c>
      <c r="AB93" s="5">
        <f>(W93-O93)/O93</f>
        <v>1.0467289719626169</v>
      </c>
      <c r="AC93" s="5">
        <f>(X93-P93)/P93</f>
        <v>-0.53763440860215062</v>
      </c>
      <c r="AD93" s="5">
        <f>(Y93-Q93)/Q93</f>
        <v>-0.7142857142857143</v>
      </c>
      <c r="AE93" s="7">
        <v>0.54</v>
      </c>
      <c r="AF93" s="7">
        <v>0.375</v>
      </c>
      <c r="AG93" s="7">
        <v>0.157</v>
      </c>
      <c r="AH93" s="7">
        <v>0.04</v>
      </c>
      <c r="AI93" s="7">
        <v>0.23100000000000001</v>
      </c>
      <c r="AJ93" s="8">
        <f>(AE93-R93)/R93</f>
        <v>1.0769230769230771</v>
      </c>
      <c r="AK93" s="8">
        <f>(AF93-S93)/S93</f>
        <v>0.82038834951456319</v>
      </c>
      <c r="AL93" s="8">
        <f>(AG93-T93)/T93</f>
        <v>-0.11299435028248582</v>
      </c>
      <c r="AM93" s="8">
        <f>(AH93-U93)/U93</f>
        <v>-0.75</v>
      </c>
      <c r="AN93" s="7">
        <v>0.26700000000000002</v>
      </c>
      <c r="AO93" s="7">
        <v>0.60599999999999998</v>
      </c>
      <c r="AP93" s="7">
        <v>0.109</v>
      </c>
      <c r="AQ93" s="7">
        <v>0.16500000000000001</v>
      </c>
      <c r="AR93" s="4">
        <v>0.14099999999999999</v>
      </c>
      <c r="AS93" s="4">
        <v>0.42399999999999999</v>
      </c>
      <c r="AT93" s="4">
        <v>9.4E-2</v>
      </c>
      <c r="AU93" s="4">
        <v>0.13500000000000001</v>
      </c>
      <c r="AV93" s="7">
        <v>0.49</v>
      </c>
      <c r="AW93" s="7">
        <v>0.89600000000000002</v>
      </c>
      <c r="AX93" s="7">
        <v>5.6000000000000001E-2</v>
      </c>
      <c r="AY93" s="7">
        <v>9.7000000000000003E-2</v>
      </c>
      <c r="AZ93" s="7">
        <v>0.36199999999999999</v>
      </c>
      <c r="BA93" s="8">
        <f>(AV93-AN93)/AN93</f>
        <v>0.83520599250936312</v>
      </c>
      <c r="BB93" s="8">
        <f>(AW93-AO93)/AO93</f>
        <v>0.47854785478547862</v>
      </c>
      <c r="BC93" s="8">
        <f>(AX93-AP93)/AP93</f>
        <v>-0.48623853211009171</v>
      </c>
      <c r="BD93" s="8">
        <f>(AY93-AQ93)/AQ93</f>
        <v>-0.41212121212121211</v>
      </c>
      <c r="BE93" s="4">
        <v>0.41399999999999998</v>
      </c>
      <c r="BF93" s="4">
        <v>0.79700000000000004</v>
      </c>
      <c r="BG93" s="4">
        <v>5.6000000000000001E-2</v>
      </c>
      <c r="BH93" s="4">
        <v>8.5999999999999993E-2</v>
      </c>
      <c r="BI93" s="4">
        <v>0.33</v>
      </c>
      <c r="BJ93" s="5">
        <f>(BE93-AN93)/AN93</f>
        <v>0.55056179775280878</v>
      </c>
      <c r="BK93" s="5">
        <f>(BF93-AO93)/AO93</f>
        <v>0.31518151815181528</v>
      </c>
      <c r="BL93" s="5">
        <f>(BG93-AP93)/AP93</f>
        <v>-0.48623853211009171</v>
      </c>
      <c r="BM93" s="5">
        <f>(BH93-AQ93)/AQ93</f>
        <v>-0.47878787878787887</v>
      </c>
      <c r="BN93" s="4">
        <v>0.41499999999999998</v>
      </c>
      <c r="BO93" s="4">
        <v>0.75900000000000001</v>
      </c>
      <c r="BP93" s="4">
        <v>6.0999999999999999E-2</v>
      </c>
      <c r="BQ93" s="4">
        <v>0.16500000000000001</v>
      </c>
      <c r="BR93" s="5">
        <f>(BN93-AR93)/AR93</f>
        <v>1.9432624113475181</v>
      </c>
      <c r="BS93" s="5">
        <f>(BO93-AS93)/AS93</f>
        <v>0.79009433962264153</v>
      </c>
      <c r="BT93" s="5">
        <f>(BP93-AT93)/AT93</f>
        <v>-0.35106382978723405</v>
      </c>
      <c r="BU93" s="5">
        <f>(BQ93-AU93)/AU93</f>
        <v>0.22222222222222221</v>
      </c>
      <c r="BV93" s="4">
        <f>(BN93-BE93)/BE93</f>
        <v>2.4154589371980697E-3</v>
      </c>
      <c r="BW93" s="4">
        <f>(BO93-BF93)/BF93</f>
        <v>-4.7678795483061517E-2</v>
      </c>
      <c r="BX93" s="4">
        <f>(BP93-BG93)/BG93</f>
        <v>8.9285714285714246E-2</v>
      </c>
      <c r="BY93" s="4">
        <f>(BQ93-BH93)/BH93</f>
        <v>0.91860465116279089</v>
      </c>
      <c r="BZ93" s="4">
        <v>0.432</v>
      </c>
      <c r="CA93" s="4">
        <v>0.83599999999999997</v>
      </c>
      <c r="CB93" s="4">
        <v>0.05</v>
      </c>
      <c r="CC93" s="4">
        <v>9.1999999999999998E-2</v>
      </c>
      <c r="CD93" s="4">
        <f>(BZ93-AR93)/AR93</f>
        <v>2.063829787234043</v>
      </c>
      <c r="CE93" s="4">
        <f>(CA93-AS93)/AS93</f>
        <v>0.97169811320754718</v>
      </c>
      <c r="CF93" s="4">
        <f>(CB93-AT93)/AT93</f>
        <v>-0.46808510638297868</v>
      </c>
      <c r="CG93" s="4">
        <f>(CC93-AU93)/AU93</f>
        <v>-0.31851851851851859</v>
      </c>
      <c r="CH93" s="4">
        <f>(BZ93-BN93)/BN93</f>
        <v>4.0963855421686783E-2</v>
      </c>
      <c r="CI93" s="4">
        <f>(CA93-BO93)/BO93</f>
        <v>0.10144927536231878</v>
      </c>
      <c r="CJ93" s="4">
        <f>(CB93-BP93)/BP93</f>
        <v>-0.18032786885245897</v>
      </c>
      <c r="CK93" s="4">
        <f>(CC93-BQ93)/BQ93</f>
        <v>-0.44242424242424244</v>
      </c>
      <c r="CL93" s="4">
        <v>0.37</v>
      </c>
      <c r="CM93" s="4">
        <v>0.64</v>
      </c>
      <c r="CN93" s="4">
        <f>CL93/CM93</f>
        <v>0.578125</v>
      </c>
    </row>
    <row r="94" spans="1:92" x14ac:dyDescent="0.3">
      <c r="A94" s="11" t="s">
        <v>95</v>
      </c>
      <c r="B94" s="13">
        <v>18568</v>
      </c>
      <c r="C94" s="13">
        <v>20</v>
      </c>
      <c r="D94" s="13">
        <v>4</v>
      </c>
      <c r="E94" s="13">
        <v>5</v>
      </c>
      <c r="F94" s="13">
        <v>5</v>
      </c>
      <c r="G94" s="12" t="s">
        <v>9</v>
      </c>
      <c r="H94" s="4">
        <v>4.3</v>
      </c>
      <c r="I94" s="4">
        <v>2.5</v>
      </c>
      <c r="J94" s="4">
        <v>5.05</v>
      </c>
      <c r="K94" s="4">
        <v>2.91</v>
      </c>
      <c r="L94" s="5">
        <f>(H94-I94)/(H94+I94)</f>
        <v>0.26470588235294118</v>
      </c>
      <c r="M94" s="5">
        <f>(J94-K94)/(J94+K94)</f>
        <v>0.26884422110552758</v>
      </c>
      <c r="N94" s="4">
        <v>0.22</v>
      </c>
      <c r="O94" s="4">
        <v>0.309</v>
      </c>
      <c r="P94" s="4">
        <v>0.17199999999999999</v>
      </c>
      <c r="Q94" s="4">
        <v>0.17</v>
      </c>
      <c r="R94" s="4">
        <v>0.25</v>
      </c>
      <c r="S94" s="4">
        <v>0.27900000000000003</v>
      </c>
      <c r="T94" s="4">
        <v>0.20599999999999999</v>
      </c>
      <c r="U94" s="4">
        <v>0.19</v>
      </c>
      <c r="V94" s="4">
        <v>0.55000000000000004</v>
      </c>
      <c r="W94" s="4">
        <v>0.96099999999999997</v>
      </c>
      <c r="X94" s="4">
        <v>4.1000000000000002E-2</v>
      </c>
      <c r="Y94" s="4">
        <v>0.01</v>
      </c>
      <c r="Z94" s="4">
        <v>0.247</v>
      </c>
      <c r="AA94" s="5">
        <f>(V94-N94)/N94</f>
        <v>1.5000000000000002</v>
      </c>
      <c r="AB94" s="5">
        <f>(W94-O94)/O94</f>
        <v>2.1100323624595467</v>
      </c>
      <c r="AC94" s="5">
        <f>(X94-P94)/P94</f>
        <v>-0.7616279069767441</v>
      </c>
      <c r="AD94" s="5">
        <f>(Y94-Q94)/Q94</f>
        <v>-0.94117647058823528</v>
      </c>
      <c r="AE94" s="4">
        <v>0.63</v>
      </c>
      <c r="AF94" s="4">
        <v>0.94899999999999995</v>
      </c>
      <c r="AG94" s="4">
        <v>5.5E-2</v>
      </c>
      <c r="AH94" s="4">
        <v>0.02</v>
      </c>
      <c r="AI94" s="4">
        <v>0.251</v>
      </c>
      <c r="AJ94" s="5">
        <f>(AE94-R94)/R94</f>
        <v>1.52</v>
      </c>
      <c r="AK94" s="5">
        <f>(AF94-S94)/S94</f>
        <v>2.4014336917562717</v>
      </c>
      <c r="AL94" s="5">
        <f>(AG94-T94)/T94</f>
        <v>-0.73300970873786409</v>
      </c>
      <c r="AM94" s="5">
        <f>(AH94-U94)/U94</f>
        <v>-0.89473684210526316</v>
      </c>
      <c r="AN94" s="4">
        <v>0.34799999999999998</v>
      </c>
      <c r="AO94" s="4">
        <v>0.49199999999999999</v>
      </c>
      <c r="AP94" s="4">
        <v>0.222</v>
      </c>
      <c r="AQ94" s="4">
        <v>0.21099999999999999</v>
      </c>
      <c r="AR94" s="4">
        <v>0.192</v>
      </c>
      <c r="AS94" s="4">
        <v>0.26300000000000001</v>
      </c>
      <c r="AT94" s="4">
        <v>0.159</v>
      </c>
      <c r="AU94" s="4">
        <v>0.16200000000000001</v>
      </c>
      <c r="AV94" s="4">
        <v>0.62</v>
      </c>
      <c r="AW94" s="4">
        <v>0.96</v>
      </c>
      <c r="AX94" s="4">
        <v>6.2E-2</v>
      </c>
      <c r="AY94" s="4">
        <v>4.4999999999999998E-2</v>
      </c>
      <c r="AZ94" s="4">
        <v>0.29799999999999999</v>
      </c>
      <c r="BA94" s="6">
        <f>(AV94-AN94)/AN94</f>
        <v>0.78160919540229901</v>
      </c>
      <c r="BB94" s="6">
        <f>(AW94-AO94)/AO94</f>
        <v>0.95121951219512191</v>
      </c>
      <c r="BC94" s="6">
        <f>(AX94-AP94)/AP94</f>
        <v>-0.72072072072072069</v>
      </c>
      <c r="BD94" s="6">
        <f>(AY94-AQ94)/AQ94</f>
        <v>-0.78672985781990512</v>
      </c>
      <c r="BE94" s="4">
        <v>0.52900000000000003</v>
      </c>
      <c r="BF94" s="4">
        <v>0.94</v>
      </c>
      <c r="BG94" s="4">
        <v>4.4999999999999998E-2</v>
      </c>
      <c r="BH94" s="4">
        <v>0.04</v>
      </c>
      <c r="BI94" s="4">
        <v>0.29299999999999998</v>
      </c>
      <c r="BJ94" s="5">
        <f>(BE94-AN94)/AN94</f>
        <v>0.5201149425287358</v>
      </c>
      <c r="BK94" s="5">
        <f>(BF94-AO94)/AO94</f>
        <v>0.91056910569105687</v>
      </c>
      <c r="BL94" s="5">
        <f>(BG94-AP94)/AP94</f>
        <v>-0.79729729729729726</v>
      </c>
      <c r="BM94" s="5">
        <f>(BH94-AQ94)/AQ94</f>
        <v>-0.81042654028436012</v>
      </c>
      <c r="BN94" s="4">
        <v>0.51900000000000002</v>
      </c>
      <c r="BO94" s="4">
        <v>0.82299999999999995</v>
      </c>
      <c r="BP94" s="4">
        <v>7.8E-2</v>
      </c>
      <c r="BQ94" s="4">
        <v>0.16</v>
      </c>
      <c r="BR94" s="5">
        <f>(BN94-AR94)/AR94</f>
        <v>1.703125</v>
      </c>
      <c r="BS94" s="5">
        <f>(BO94-AS94)/AS94</f>
        <v>2.1292775665399235</v>
      </c>
      <c r="BT94" s="5">
        <f>(BP94-AT94)/AT94</f>
        <v>-0.50943396226415094</v>
      </c>
      <c r="BU94" s="5">
        <f>(BQ94-AU94)/AU94</f>
        <v>-1.2345679012345689E-2</v>
      </c>
      <c r="BV94" s="4">
        <f>(BN94-BE94)/BE94</f>
        <v>-1.8903591682419677E-2</v>
      </c>
      <c r="BW94" s="4">
        <f>(BO94-BF94)/BF94</f>
        <v>-0.12446808510638298</v>
      </c>
      <c r="BX94" s="4">
        <f>(BP94-BG94)/BG94</f>
        <v>0.73333333333333339</v>
      </c>
      <c r="BY94" s="4">
        <f>(BQ94-BH94)/BH94</f>
        <v>3</v>
      </c>
      <c r="BZ94" s="4">
        <v>0.50700000000000001</v>
      </c>
      <c r="CA94" s="4">
        <v>0.92700000000000005</v>
      </c>
      <c r="CB94" s="4">
        <v>0.05</v>
      </c>
      <c r="CC94" s="4">
        <v>7.5999999999999998E-2</v>
      </c>
      <c r="CD94" s="4">
        <f>(BZ94-AR94)/AR94</f>
        <v>1.640625</v>
      </c>
      <c r="CE94" s="4">
        <f>(CA94-AS94)/AS94</f>
        <v>2.5247148288973382</v>
      </c>
      <c r="CF94" s="4">
        <f>(CB94-AT94)/AT94</f>
        <v>-0.68553459119496851</v>
      </c>
      <c r="CG94" s="4">
        <f>(CC94-AU94)/AU94</f>
        <v>-0.53086419753086422</v>
      </c>
      <c r="CH94" s="4">
        <f>(BZ94-BN94)/BN94</f>
        <v>-2.3121387283237014E-2</v>
      </c>
      <c r="CI94" s="4">
        <f>(CA94-BO94)/BO94</f>
        <v>0.12636695018226016</v>
      </c>
      <c r="CJ94" s="4">
        <f>(CB94-BP94)/BP94</f>
        <v>-0.35897435897435892</v>
      </c>
      <c r="CK94" s="4">
        <f>(CC94-BQ94)/BQ94</f>
        <v>-0.52500000000000002</v>
      </c>
      <c r="CL94" s="4">
        <v>0.312</v>
      </c>
      <c r="CM94" s="4">
        <v>0.67400000000000004</v>
      </c>
      <c r="CN94" s="4">
        <f>CL94/CM94</f>
        <v>0.4629080118694362</v>
      </c>
    </row>
    <row r="95" spans="1:92" x14ac:dyDescent="0.3">
      <c r="A95" s="11" t="s">
        <v>96</v>
      </c>
      <c r="B95" s="13">
        <v>399</v>
      </c>
      <c r="C95" s="13">
        <v>20</v>
      </c>
      <c r="D95" s="13">
        <v>4</v>
      </c>
      <c r="E95" s="13">
        <v>5</v>
      </c>
      <c r="F95" s="13">
        <v>5</v>
      </c>
      <c r="G95" s="12" t="s">
        <v>9</v>
      </c>
      <c r="H95" s="4">
        <v>3.64</v>
      </c>
      <c r="I95" s="4">
        <v>1.61</v>
      </c>
      <c r="J95" s="4">
        <v>4.3600000000000003</v>
      </c>
      <c r="K95" s="4">
        <v>1.95</v>
      </c>
      <c r="L95" s="5">
        <f>(H95-I95)/(H95+I95)</f>
        <v>0.38666666666666671</v>
      </c>
      <c r="M95" s="5">
        <f>(J95-K95)/(J95+K95)</f>
        <v>0.38193343898573689</v>
      </c>
      <c r="N95" s="4">
        <v>0.18</v>
      </c>
      <c r="O95" s="4">
        <v>0.47099999999999997</v>
      </c>
      <c r="P95" s="4">
        <v>0.112</v>
      </c>
      <c r="Q95" s="4">
        <v>0.12</v>
      </c>
      <c r="R95" s="4">
        <v>0.22</v>
      </c>
      <c r="S95" s="4">
        <v>0.40899999999999997</v>
      </c>
      <c r="T95" s="4">
        <v>0.14399999999999999</v>
      </c>
      <c r="U95" s="4">
        <v>0.14000000000000001</v>
      </c>
      <c r="V95" s="4">
        <v>0.41</v>
      </c>
      <c r="W95" s="4">
        <v>0.96399999999999997</v>
      </c>
      <c r="X95" s="4">
        <v>2.9000000000000001E-2</v>
      </c>
      <c r="Y95" s="4">
        <v>0.03</v>
      </c>
      <c r="Z95" s="4">
        <v>0.221</v>
      </c>
      <c r="AA95" s="5">
        <f>(V95-N95)/N95</f>
        <v>1.2777777777777777</v>
      </c>
      <c r="AB95" s="5">
        <f>(W95-O95)/O95</f>
        <v>1.0467091295116773</v>
      </c>
      <c r="AC95" s="5">
        <f>(X95-P95)/P95</f>
        <v>-0.7410714285714286</v>
      </c>
      <c r="AD95" s="5">
        <f>(Y95-Q95)/Q95</f>
        <v>-0.75</v>
      </c>
      <c r="AE95" s="4">
        <v>0.49</v>
      </c>
      <c r="AF95" s="4">
        <v>0.88600000000000001</v>
      </c>
      <c r="AG95" s="4">
        <v>6.3E-2</v>
      </c>
      <c r="AH95" s="4">
        <v>0.04</v>
      </c>
      <c r="AI95" s="4">
        <v>0.224</v>
      </c>
      <c r="AJ95" s="5">
        <f>(AE95-R95)/R95</f>
        <v>1.2272727272727273</v>
      </c>
      <c r="AK95" s="5">
        <f>(AF95-S95)/S95</f>
        <v>1.1662591687041566</v>
      </c>
      <c r="AL95" s="5">
        <f>(AG95-T95)/T95</f>
        <v>-0.5625</v>
      </c>
      <c r="AM95" s="5">
        <f>(AH95-U95)/U95</f>
        <v>-0.7142857142857143</v>
      </c>
      <c r="AN95" s="4">
        <v>0.25700000000000001</v>
      </c>
      <c r="AO95" s="4">
        <v>0.74199999999999999</v>
      </c>
      <c r="AP95" s="4">
        <v>0.14599999999999999</v>
      </c>
      <c r="AQ95" s="4">
        <v>0.13400000000000001</v>
      </c>
      <c r="AR95" s="4">
        <v>0.20599999999999999</v>
      </c>
      <c r="AS95" s="4">
        <v>0.46100000000000002</v>
      </c>
      <c r="AT95" s="4">
        <v>0.107</v>
      </c>
      <c r="AU95" s="4">
        <v>0.11</v>
      </c>
      <c r="AV95" s="4">
        <v>0.41699999999999998</v>
      </c>
      <c r="AW95" s="4">
        <v>0.97499999999999998</v>
      </c>
      <c r="AX95" s="4">
        <v>4.5999999999999999E-2</v>
      </c>
      <c r="AY95" s="4">
        <v>6.0999999999999999E-2</v>
      </c>
      <c r="AZ95" s="4">
        <v>0.316</v>
      </c>
      <c r="BA95" s="6">
        <f>(AV95-AN95)/AN95</f>
        <v>0.62256809338521391</v>
      </c>
      <c r="BB95" s="6">
        <f>(AW95-AO95)/AO95</f>
        <v>0.31401617250673852</v>
      </c>
      <c r="BC95" s="6">
        <f>(AX95-AP95)/AP95</f>
        <v>-0.68493150684931503</v>
      </c>
      <c r="BD95" s="6">
        <f>(AY95-AQ95)/AQ95</f>
        <v>-0.54477611940298509</v>
      </c>
      <c r="BE95" s="4">
        <v>0.35199999999999998</v>
      </c>
      <c r="BF95" s="4">
        <v>0.92200000000000004</v>
      </c>
      <c r="BG95" s="4">
        <v>4.1000000000000002E-2</v>
      </c>
      <c r="BH95" s="4">
        <v>5.3999999999999999E-2</v>
      </c>
      <c r="BI95" s="4">
        <v>0.32200000000000001</v>
      </c>
      <c r="BJ95" s="5">
        <f>(BE95-AN95)/AN95</f>
        <v>0.36964980544747073</v>
      </c>
      <c r="BK95" s="5">
        <f>(BF95-AO95)/AO95</f>
        <v>0.24258760107816718</v>
      </c>
      <c r="BL95" s="5">
        <f>(BG95-AP95)/AP95</f>
        <v>-0.7191780821917807</v>
      </c>
      <c r="BM95" s="5">
        <f>(BH95-AQ95)/AQ95</f>
        <v>-0.59701492537313439</v>
      </c>
      <c r="BN95" s="4">
        <v>0.39300000000000002</v>
      </c>
      <c r="BO95" s="4">
        <v>0.75600000000000001</v>
      </c>
      <c r="BP95" s="4">
        <v>7.1999999999999995E-2</v>
      </c>
      <c r="BQ95" s="4">
        <v>0.13900000000000001</v>
      </c>
      <c r="BR95" s="5">
        <f>(BN95-AR95)/AR95</f>
        <v>0.90776699029126229</v>
      </c>
      <c r="BS95" s="5">
        <f>(BO95-AS95)/AS95</f>
        <v>0.63991323210412143</v>
      </c>
      <c r="BT95" s="5">
        <f>(BP95-AT95)/AT95</f>
        <v>-0.32710280373831779</v>
      </c>
      <c r="BU95" s="5">
        <f>(BQ95-AU95)/AU95</f>
        <v>0.26363636363636372</v>
      </c>
      <c r="BV95" s="4">
        <f>(BN95-BE95)/BE95</f>
        <v>0.11647727272727283</v>
      </c>
      <c r="BW95" s="4">
        <f>(BO95-BF95)/BF95</f>
        <v>-0.18004338394793928</v>
      </c>
      <c r="BX95" s="4">
        <f>(BP95-BG95)/BG95</f>
        <v>0.75609756097560954</v>
      </c>
      <c r="BY95" s="4">
        <f>(BQ95-BH95)/BH95</f>
        <v>1.5740740740740744</v>
      </c>
      <c r="BZ95" s="4">
        <v>0.39600000000000002</v>
      </c>
      <c r="CA95" s="4">
        <v>0.91300000000000003</v>
      </c>
      <c r="CB95" s="4">
        <v>4.2999999999999997E-2</v>
      </c>
      <c r="CC95" s="4">
        <v>6.3E-2</v>
      </c>
      <c r="CD95" s="4">
        <f>(BZ95-AR95)/AR95</f>
        <v>0.92233009708737879</v>
      </c>
      <c r="CE95" s="4">
        <f>(CA95-AS95)/AS95</f>
        <v>0.9804772234273319</v>
      </c>
      <c r="CF95" s="4">
        <f>(CB95-AT95)/AT95</f>
        <v>-0.59813084112149539</v>
      </c>
      <c r="CG95" s="4">
        <f>(CC95-AU95)/AU95</f>
        <v>-0.42727272727272725</v>
      </c>
      <c r="CH95" s="4">
        <f>(BZ95-BN95)/BN95</f>
        <v>7.6335877862595486E-3</v>
      </c>
      <c r="CI95" s="4">
        <f>(CA95-BO95)/BO95</f>
        <v>0.2076719576719577</v>
      </c>
      <c r="CJ95" s="4">
        <f>(CB95-BP95)/BP95</f>
        <v>-0.40277777777777779</v>
      </c>
      <c r="CK95" s="4">
        <f>(CC95-BQ95)/BQ95</f>
        <v>-0.5467625899280576</v>
      </c>
      <c r="CL95" s="4">
        <v>0.371</v>
      </c>
      <c r="CM95" s="4">
        <v>0.65100000000000002</v>
      </c>
      <c r="CN95" s="4">
        <f>CL95/CM95</f>
        <v>0.56989247311827951</v>
      </c>
    </row>
    <row r="96" spans="1:92" x14ac:dyDescent="0.3">
      <c r="A96" s="11" t="s">
        <v>97</v>
      </c>
      <c r="B96" s="13">
        <v>643</v>
      </c>
      <c r="C96" s="13">
        <v>45</v>
      </c>
      <c r="D96" s="13">
        <v>4</v>
      </c>
      <c r="E96" s="13">
        <v>4</v>
      </c>
      <c r="F96" s="13">
        <v>4</v>
      </c>
      <c r="G96" s="12" t="s">
        <v>9</v>
      </c>
      <c r="H96" s="4">
        <v>11.36</v>
      </c>
      <c r="I96" s="4">
        <v>6.02</v>
      </c>
      <c r="J96" s="4">
        <v>13.67</v>
      </c>
      <c r="K96" s="4">
        <v>7.08</v>
      </c>
      <c r="L96" s="5">
        <f>(H96-I96)/(H96+I96)</f>
        <v>0.30724971231300346</v>
      </c>
      <c r="M96" s="5">
        <f>(J96-K96)/(J96+K96)</f>
        <v>0.31759036144578312</v>
      </c>
      <c r="N96" s="4">
        <v>0.25</v>
      </c>
      <c r="O96" s="4">
        <v>0.40100000000000002</v>
      </c>
      <c r="P96" s="4">
        <v>0.123</v>
      </c>
      <c r="Q96" s="4">
        <v>0.16</v>
      </c>
      <c r="R96" s="4">
        <v>0.3</v>
      </c>
      <c r="S96" s="4">
        <v>0.34200000000000003</v>
      </c>
      <c r="T96" s="4">
        <v>0.159</v>
      </c>
      <c r="U96" s="4">
        <v>0.19</v>
      </c>
      <c r="V96" s="4">
        <v>0.51</v>
      </c>
      <c r="W96" s="4">
        <v>0.90900000000000003</v>
      </c>
      <c r="X96" s="4">
        <v>4.8000000000000001E-2</v>
      </c>
      <c r="Y96" s="4">
        <v>0.03</v>
      </c>
      <c r="Z96" s="4">
        <v>0.26300000000000001</v>
      </c>
      <c r="AA96" s="5">
        <f>(V96-N96)/N96</f>
        <v>1.04</v>
      </c>
      <c r="AB96" s="5">
        <f>(W96-O96)/O96</f>
        <v>1.2668329177057356</v>
      </c>
      <c r="AC96" s="5">
        <f>(X96-P96)/P96</f>
        <v>-0.6097560975609756</v>
      </c>
      <c r="AD96" s="5">
        <f>(Y96-Q96)/Q96</f>
        <v>-0.8125</v>
      </c>
      <c r="AE96" s="4">
        <v>0.61</v>
      </c>
      <c r="AF96" s="4">
        <v>0.82099999999999995</v>
      </c>
      <c r="AG96" s="4">
        <v>8.3000000000000004E-2</v>
      </c>
      <c r="AH96" s="4">
        <v>0.03</v>
      </c>
      <c r="AI96" s="4">
        <v>0.27</v>
      </c>
      <c r="AJ96" s="5">
        <f>(AE96-R96)/R96</f>
        <v>1.0333333333333334</v>
      </c>
      <c r="AK96" s="5">
        <f>(AF96-S96)/S96</f>
        <v>1.400584795321637</v>
      </c>
      <c r="AL96" s="5">
        <f>(AG96-T96)/T96</f>
        <v>-0.4779874213836478</v>
      </c>
      <c r="AM96" s="5">
        <f>(AH96-U96)/U96</f>
        <v>-0.84210526315789469</v>
      </c>
      <c r="AN96" s="4">
        <v>0.40400000000000003</v>
      </c>
      <c r="AO96" s="4">
        <v>0.61099999999999999</v>
      </c>
      <c r="AP96" s="4">
        <v>0.14599999999999999</v>
      </c>
      <c r="AQ96" s="4">
        <v>0.20799999999999999</v>
      </c>
      <c r="AR96" s="4">
        <v>0.252</v>
      </c>
      <c r="AS96" s="4">
        <v>0.39900000000000002</v>
      </c>
      <c r="AT96" s="4">
        <v>0.115</v>
      </c>
      <c r="AU96" s="4">
        <v>0.16200000000000001</v>
      </c>
      <c r="AV96" s="4">
        <v>0.625</v>
      </c>
      <c r="AW96" s="4">
        <v>0.88</v>
      </c>
      <c r="AX96" s="4">
        <v>8.3000000000000004E-2</v>
      </c>
      <c r="AY96" s="4">
        <v>0.1</v>
      </c>
      <c r="AZ96" s="4">
        <v>0.39300000000000002</v>
      </c>
      <c r="BA96" s="6">
        <f>(AV96-AN96)/AN96</f>
        <v>0.54702970297029696</v>
      </c>
      <c r="BB96" s="6">
        <f>(AW96-AO96)/AO96</f>
        <v>0.44026186579378074</v>
      </c>
      <c r="BC96" s="6">
        <f>(AX96-AP96)/AP96</f>
        <v>-0.43150684931506844</v>
      </c>
      <c r="BD96" s="6">
        <f>(AY96-AQ96)/AQ96</f>
        <v>-0.51923076923076916</v>
      </c>
      <c r="BE96" s="4">
        <v>0.51100000000000001</v>
      </c>
      <c r="BF96" s="4">
        <v>0.84399999999999997</v>
      </c>
      <c r="BG96" s="4">
        <v>0.06</v>
      </c>
      <c r="BH96" s="4">
        <v>8.5999999999999993E-2</v>
      </c>
      <c r="BI96" s="4">
        <v>0.36</v>
      </c>
      <c r="BJ96" s="5">
        <f>(BE96-AN96)/AN96</f>
        <v>0.26485148514851481</v>
      </c>
      <c r="BK96" s="5">
        <f>(BF96-AO96)/AO96</f>
        <v>0.381342062193126</v>
      </c>
      <c r="BL96" s="5">
        <f>(BG96-AP96)/AP96</f>
        <v>-0.58904109589041098</v>
      </c>
      <c r="BM96" s="5">
        <f>(BH96-AQ96)/AQ96</f>
        <v>-0.58653846153846156</v>
      </c>
      <c r="BN96" s="4">
        <v>0.497</v>
      </c>
      <c r="BO96" s="4">
        <v>0.81100000000000005</v>
      </c>
      <c r="BP96" s="4">
        <v>6.6000000000000003E-2</v>
      </c>
      <c r="BQ96" s="4">
        <v>0.184</v>
      </c>
      <c r="BR96" s="5">
        <f>(BN96-AR96)/AR96</f>
        <v>0.97222222222222221</v>
      </c>
      <c r="BS96" s="5">
        <f>(BO96-AS96)/AS96</f>
        <v>1.0325814536340852</v>
      </c>
      <c r="BT96" s="5">
        <f>(BP96-AT96)/AT96</f>
        <v>-0.42608695652173911</v>
      </c>
      <c r="BU96" s="5">
        <f>(BQ96-AU96)/AU96</f>
        <v>0.13580246913580241</v>
      </c>
      <c r="BV96" s="4">
        <f>(BN96-BE96)/BE96</f>
        <v>-2.7397260273972626E-2</v>
      </c>
      <c r="BW96" s="4">
        <f>(BO96-BF96)/BF96</f>
        <v>-3.9099526066350615E-2</v>
      </c>
      <c r="BX96" s="4">
        <f>(BP96-BG96)/BG96</f>
        <v>0.10000000000000009</v>
      </c>
      <c r="BY96" s="4">
        <f>(BQ96-BH96)/BH96</f>
        <v>1.1395348837209303</v>
      </c>
      <c r="BZ96" s="4">
        <v>0.50700000000000001</v>
      </c>
      <c r="CA96" s="4">
        <v>0.85499999999999998</v>
      </c>
      <c r="CB96" s="4">
        <v>5.6000000000000001E-2</v>
      </c>
      <c r="CC96" s="4">
        <v>9.6000000000000002E-2</v>
      </c>
      <c r="CD96" s="4">
        <f>(BZ96-AR96)/AR96</f>
        <v>1.0119047619047619</v>
      </c>
      <c r="CE96" s="4">
        <f>(CA96-AS96)/AS96</f>
        <v>1.1428571428571428</v>
      </c>
      <c r="CF96" s="4">
        <f>(CB96-AT96)/AT96</f>
        <v>-0.5130434782608696</v>
      </c>
      <c r="CG96" s="4">
        <f>(CC96-AU96)/AU96</f>
        <v>-0.40740740740740744</v>
      </c>
      <c r="CH96" s="4">
        <f>(BZ96-BN96)/BN96</f>
        <v>2.0120724346076476E-2</v>
      </c>
      <c r="CI96" s="4">
        <f>(CA96-BO96)/BO96</f>
        <v>5.4254007398273643E-2</v>
      </c>
      <c r="CJ96" s="4">
        <f>(CB96-BP96)/BP96</f>
        <v>-0.15151515151515155</v>
      </c>
      <c r="CK96" s="4">
        <f>(CC96-BQ96)/BQ96</f>
        <v>-0.47826086956521735</v>
      </c>
      <c r="CL96" s="4">
        <v>0.435</v>
      </c>
      <c r="CM96" s="4">
        <v>0.59499999999999997</v>
      </c>
      <c r="CN96" s="4">
        <f>CL96/CM96</f>
        <v>0.73109243697478998</v>
      </c>
    </row>
    <row r="97" spans="1:92" x14ac:dyDescent="0.3">
      <c r="A97" s="11" t="s">
        <v>98</v>
      </c>
      <c r="B97" s="13">
        <v>12389</v>
      </c>
      <c r="C97" s="13">
        <v>59</v>
      </c>
      <c r="D97" s="13">
        <v>4</v>
      </c>
      <c r="E97" s="13">
        <v>5</v>
      </c>
      <c r="F97" s="13">
        <v>5</v>
      </c>
      <c r="G97" s="12" t="s">
        <v>9</v>
      </c>
      <c r="H97" s="4">
        <v>14.93</v>
      </c>
      <c r="I97" s="4">
        <v>5.7</v>
      </c>
      <c r="J97" s="7">
        <v>17.71</v>
      </c>
      <c r="K97" s="7">
        <v>6.67</v>
      </c>
      <c r="L97" s="5">
        <f>(H97-I97)/(H97+I97)</f>
        <v>0.44740668928744554</v>
      </c>
      <c r="M97" s="8">
        <f>(J97-K97)/(J97+K97)</f>
        <v>0.45283018867924529</v>
      </c>
      <c r="N97" s="4">
        <v>0.25</v>
      </c>
      <c r="O97" s="4">
        <v>0.32600000000000001</v>
      </c>
      <c r="P97" s="4">
        <v>0.13100000000000001</v>
      </c>
      <c r="Q97" s="4">
        <v>0.14000000000000001</v>
      </c>
      <c r="R97" s="7">
        <v>0.3</v>
      </c>
      <c r="S97" s="7">
        <v>8.2000000000000003E-2</v>
      </c>
      <c r="T97" s="7">
        <v>0.30499999999999999</v>
      </c>
      <c r="U97" s="7">
        <v>0.16</v>
      </c>
      <c r="V97" s="4">
        <v>0.5</v>
      </c>
      <c r="W97" s="4">
        <v>0.67200000000000004</v>
      </c>
      <c r="X97" s="4">
        <v>9.0999999999999998E-2</v>
      </c>
      <c r="Y97" s="4">
        <v>0.04</v>
      </c>
      <c r="Z97" s="4">
        <v>0.23699999999999999</v>
      </c>
      <c r="AA97" s="5">
        <f>(V97-N97)/N97</f>
        <v>1</v>
      </c>
      <c r="AB97" s="5">
        <f>(W97-O97)/O97</f>
        <v>1.0613496932515338</v>
      </c>
      <c r="AC97" s="5">
        <f>(X97-P97)/P97</f>
        <v>-0.30534351145038174</v>
      </c>
      <c r="AD97" s="5">
        <f>(Y97-Q97)/Q97</f>
        <v>-0.7142857142857143</v>
      </c>
      <c r="AE97" s="7">
        <v>0.59</v>
      </c>
      <c r="AF97" s="7">
        <v>9.9000000000000005E-2</v>
      </c>
      <c r="AG97" s="7">
        <v>0.30199999999999999</v>
      </c>
      <c r="AH97" s="7">
        <v>0.05</v>
      </c>
      <c r="AI97" s="7">
        <v>0.23799999999999999</v>
      </c>
      <c r="AJ97" s="8">
        <f>(AE97-R97)/R97</f>
        <v>0.96666666666666667</v>
      </c>
      <c r="AK97" s="8">
        <f>(AF97-S97)/S97</f>
        <v>0.20731707317073172</v>
      </c>
      <c r="AL97" s="8">
        <f>(AG97-T97)/T97</f>
        <v>-9.8360655737705013E-3</v>
      </c>
      <c r="AM97" s="8">
        <f>(AH97-U97)/U97</f>
        <v>-0.6875</v>
      </c>
      <c r="AN97" s="7">
        <v>0.34200000000000003</v>
      </c>
      <c r="AO97" s="7">
        <v>0.59699999999999998</v>
      </c>
      <c r="AP97" s="7">
        <v>0.115</v>
      </c>
      <c r="AQ97" s="7">
        <v>0.16700000000000001</v>
      </c>
      <c r="AR97" s="4">
        <v>0.26200000000000001</v>
      </c>
      <c r="AS97" s="4">
        <v>0.31900000000000001</v>
      </c>
      <c r="AT97" s="4">
        <v>0.13</v>
      </c>
      <c r="AU97" s="4">
        <v>0.13600000000000001</v>
      </c>
      <c r="AV97" s="7">
        <v>0.59699999999999998</v>
      </c>
      <c r="AW97" s="7">
        <v>0.875</v>
      </c>
      <c r="AX97" s="7">
        <v>6.5000000000000002E-2</v>
      </c>
      <c r="AY97" s="7">
        <v>9.9000000000000005E-2</v>
      </c>
      <c r="AZ97" s="7">
        <v>0.379</v>
      </c>
      <c r="BA97" s="8">
        <f>(AV97-AN97)/AN97</f>
        <v>0.74561403508771906</v>
      </c>
      <c r="BB97" s="8">
        <f>(AW97-AO97)/AO97</f>
        <v>0.46566164154103856</v>
      </c>
      <c r="BC97" s="8">
        <f>(AX97-AP97)/AP97</f>
        <v>-0.43478260869565216</v>
      </c>
      <c r="BD97" s="8">
        <f>(AY97-AQ97)/AQ97</f>
        <v>-0.40718562874251496</v>
      </c>
      <c r="BE97" s="4">
        <v>0.496</v>
      </c>
      <c r="BF97" s="4">
        <v>0.626</v>
      </c>
      <c r="BG97" s="4">
        <v>9.7000000000000003E-2</v>
      </c>
      <c r="BH97" s="4">
        <v>0.09</v>
      </c>
      <c r="BI97" s="4">
        <v>0.379</v>
      </c>
      <c r="BJ97" s="5">
        <f>(BE97-AN97)/AN97</f>
        <v>0.45029239766081858</v>
      </c>
      <c r="BK97" s="5">
        <f>(BF97-AO97)/AO97</f>
        <v>4.8576214405360182E-2</v>
      </c>
      <c r="BL97" s="5">
        <f>(BG97-AP97)/AP97</f>
        <v>-0.15652173913043479</v>
      </c>
      <c r="BM97" s="5">
        <f>(BH97-AQ97)/AQ97</f>
        <v>-0.46107784431137727</v>
      </c>
      <c r="BN97" s="4">
        <v>0.49</v>
      </c>
      <c r="BO97" s="4">
        <v>0.59499999999999997</v>
      </c>
      <c r="BP97" s="4">
        <v>0.10100000000000001</v>
      </c>
      <c r="BQ97" s="4">
        <v>0.20100000000000001</v>
      </c>
      <c r="BR97" s="5">
        <f>(BN97-AR97)/AR97</f>
        <v>0.87022900763358768</v>
      </c>
      <c r="BS97" s="5">
        <f>(BO97-AS97)/AS97</f>
        <v>0.86520376175548575</v>
      </c>
      <c r="BT97" s="5">
        <f>(BP97-AT97)/AT97</f>
        <v>-0.22307692307692306</v>
      </c>
      <c r="BU97" s="5">
        <f>(BQ97-AU97)/AU97</f>
        <v>0.4779411764705882</v>
      </c>
      <c r="BV97" s="4">
        <f>(BN97-BE97)/BE97</f>
        <v>-1.2096774193548397E-2</v>
      </c>
      <c r="BW97" s="4">
        <f>(BO97-BF97)/BF97</f>
        <v>-4.9520766773162986E-2</v>
      </c>
      <c r="BX97" s="4">
        <f>(BP97-BG97)/BG97</f>
        <v>4.123711340206189E-2</v>
      </c>
      <c r="BY97" s="4">
        <f>(BQ97-BH97)/BH97</f>
        <v>1.2333333333333336</v>
      </c>
      <c r="BZ97" s="4">
        <v>0.49</v>
      </c>
      <c r="CA97" s="4">
        <v>0.621</v>
      </c>
      <c r="CB97" s="4">
        <v>9.7000000000000003E-2</v>
      </c>
      <c r="CC97" s="4">
        <v>9.4E-2</v>
      </c>
      <c r="CD97" s="4">
        <f>(BZ97-AR97)/AR97</f>
        <v>0.87022900763358768</v>
      </c>
      <c r="CE97" s="4">
        <f>(CA97-AS97)/AS97</f>
        <v>0.9467084639498432</v>
      </c>
      <c r="CF97" s="4">
        <f>(CB97-AT97)/AT97</f>
        <v>-0.25384615384615383</v>
      </c>
      <c r="CG97" s="4">
        <f>(CC97-AU97)/AU97</f>
        <v>-0.30882352941176477</v>
      </c>
      <c r="CH97" s="4">
        <f>(BZ97-BN97)/BN97</f>
        <v>0</v>
      </c>
      <c r="CI97" s="4">
        <f>(CA97-BO97)/BO97</f>
        <v>4.3697478991596678E-2</v>
      </c>
      <c r="CJ97" s="4">
        <f>(CB97-BP97)/BP97</f>
        <v>-3.9603960396039639E-2</v>
      </c>
      <c r="CK97" s="4">
        <f>(CC97-BQ97)/BQ97</f>
        <v>-0.53233830845771146</v>
      </c>
      <c r="CL97" s="4">
        <v>0.45</v>
      </c>
      <c r="CM97" s="4">
        <v>0.55800000000000005</v>
      </c>
      <c r="CN97" s="4">
        <f>CL97/CM97</f>
        <v>0.80645161290322576</v>
      </c>
    </row>
    <row r="98" spans="1:92" x14ac:dyDescent="0.3">
      <c r="A98" s="11" t="s">
        <v>99</v>
      </c>
      <c r="B98" s="13">
        <v>4275</v>
      </c>
      <c r="C98" s="13">
        <v>20</v>
      </c>
      <c r="D98" s="13">
        <v>4</v>
      </c>
      <c r="E98" s="13">
        <v>5</v>
      </c>
      <c r="F98" s="13">
        <v>5</v>
      </c>
      <c r="G98" s="12" t="s">
        <v>9</v>
      </c>
      <c r="H98" s="4">
        <v>4.37</v>
      </c>
      <c r="I98" s="4">
        <v>2.44</v>
      </c>
      <c r="J98" s="4">
        <v>5.0999999999999996</v>
      </c>
      <c r="K98" s="4">
        <v>2.84</v>
      </c>
      <c r="L98" s="5">
        <f>(H98-I98)/(H98+I98)</f>
        <v>0.28340675477239352</v>
      </c>
      <c r="M98" s="5">
        <f>(J98-K98)/(J98+K98)</f>
        <v>0.28463476070528965</v>
      </c>
      <c r="N98" s="4">
        <v>0.22</v>
      </c>
      <c r="O98" s="4">
        <v>0.30499999999999999</v>
      </c>
      <c r="P98" s="4">
        <v>0.17699999999999999</v>
      </c>
      <c r="Q98" s="4">
        <v>0.17</v>
      </c>
      <c r="R98" s="4">
        <v>0.26</v>
      </c>
      <c r="S98" s="4">
        <v>0.27</v>
      </c>
      <c r="T98" s="4">
        <v>0.214</v>
      </c>
      <c r="U98" s="4">
        <v>0.2</v>
      </c>
      <c r="V98" s="4">
        <v>0.56000000000000005</v>
      </c>
      <c r="W98" s="4">
        <v>0.96199999999999997</v>
      </c>
      <c r="X98" s="4">
        <v>4.2000000000000003E-2</v>
      </c>
      <c r="Y98" s="4">
        <v>0.01</v>
      </c>
      <c r="Z98" s="4">
        <v>0.24</v>
      </c>
      <c r="AA98" s="5">
        <f>(V98-N98)/N98</f>
        <v>1.5454545454545459</v>
      </c>
      <c r="AB98" s="5">
        <f>(W98-O98)/O98</f>
        <v>2.154098360655738</v>
      </c>
      <c r="AC98" s="5">
        <f>(X98-P98)/P98</f>
        <v>-0.76271186440677963</v>
      </c>
      <c r="AD98" s="5">
        <f>(Y98-Q98)/Q98</f>
        <v>-0.94117647058823528</v>
      </c>
      <c r="AE98" s="4">
        <v>0.65</v>
      </c>
      <c r="AF98" s="4">
        <v>0.94499999999999995</v>
      </c>
      <c r="AG98" s="4">
        <v>5.8999999999999997E-2</v>
      </c>
      <c r="AH98" s="4">
        <v>0.02</v>
      </c>
      <c r="AI98" s="4">
        <v>0.24099999999999999</v>
      </c>
      <c r="AJ98" s="5">
        <f>(AE98-R98)/R98</f>
        <v>1.5</v>
      </c>
      <c r="AK98" s="5">
        <f>(AF98-S98)/S98</f>
        <v>2.4999999999999996</v>
      </c>
      <c r="AL98" s="5">
        <f>(AG98-T98)/T98</f>
        <v>-0.72429906542056077</v>
      </c>
      <c r="AM98" s="5">
        <f>(AH98-U98)/U98</f>
        <v>-0.9</v>
      </c>
      <c r="AN98" s="4">
        <v>0.35499999999999998</v>
      </c>
      <c r="AO98" s="4">
        <v>0.52200000000000002</v>
      </c>
      <c r="AP98" s="4">
        <v>0.23</v>
      </c>
      <c r="AQ98" s="4">
        <v>0.221</v>
      </c>
      <c r="AR98" s="4">
        <v>0.18</v>
      </c>
      <c r="AS98" s="4">
        <v>0.28199999999999997</v>
      </c>
      <c r="AT98" s="4">
        <v>0.16300000000000001</v>
      </c>
      <c r="AU98" s="4">
        <v>0.16500000000000001</v>
      </c>
      <c r="AV98" s="4">
        <v>0.64</v>
      </c>
      <c r="AW98" s="4">
        <v>0.96099999999999997</v>
      </c>
      <c r="AX98" s="4">
        <v>6.6000000000000003E-2</v>
      </c>
      <c r="AY98" s="4">
        <v>4.9000000000000002E-2</v>
      </c>
      <c r="AZ98" s="4">
        <v>0.29099999999999998</v>
      </c>
      <c r="BA98" s="6">
        <f>(AV98-AN98)/AN98</f>
        <v>0.80281690140845086</v>
      </c>
      <c r="BB98" s="6">
        <f>(AW98-AO98)/AO98</f>
        <v>0.84099616858237536</v>
      </c>
      <c r="BC98" s="6">
        <f>(AX98-AP98)/AP98</f>
        <v>-0.71304347826086956</v>
      </c>
      <c r="BD98" s="6">
        <f>(AY98-AQ98)/AQ98</f>
        <v>-0.77828054298642524</v>
      </c>
      <c r="BE98" s="4">
        <v>0.53600000000000003</v>
      </c>
      <c r="BF98" s="4">
        <v>0.93799999999999994</v>
      </c>
      <c r="BG98" s="4">
        <v>4.8000000000000001E-2</v>
      </c>
      <c r="BH98" s="4">
        <v>4.2999999999999997E-2</v>
      </c>
      <c r="BI98" s="4">
        <v>0.28599999999999998</v>
      </c>
      <c r="BJ98" s="5">
        <f>(BE98-AN98)/AN98</f>
        <v>0.50985915492957767</v>
      </c>
      <c r="BK98" s="5">
        <f>(BF98-AO98)/AO98</f>
        <v>0.79693486590038298</v>
      </c>
      <c r="BL98" s="5">
        <f>(BG98-AP98)/AP98</f>
        <v>-0.79130434782608694</v>
      </c>
      <c r="BM98" s="5">
        <f>(BH98-AQ98)/AQ98</f>
        <v>-0.80542986425339358</v>
      </c>
      <c r="BN98" s="4">
        <v>0.54</v>
      </c>
      <c r="BO98" s="4">
        <v>0.83299999999999996</v>
      </c>
      <c r="BP98" s="4">
        <v>7.9000000000000001E-2</v>
      </c>
      <c r="BQ98" s="4">
        <v>0.159</v>
      </c>
      <c r="BR98" s="5">
        <f>(BN98-AR98)/AR98</f>
        <v>2.0000000000000004</v>
      </c>
      <c r="BS98" s="5">
        <f>(BO98-AS98)/AS98</f>
        <v>1.9539007092198581</v>
      </c>
      <c r="BT98" s="5">
        <f>(BP98-AT98)/AT98</f>
        <v>-0.51533742331288346</v>
      </c>
      <c r="BU98" s="5">
        <f>(BQ98-AU98)/AU98</f>
        <v>-3.6363636363636397E-2</v>
      </c>
      <c r="BV98" s="4">
        <f>(BN98-BE98)/BE98</f>
        <v>7.462686567164185E-3</v>
      </c>
      <c r="BW98" s="4">
        <f>(BO98-BF98)/BF98</f>
        <v>-0.11194029850746268</v>
      </c>
      <c r="BX98" s="4">
        <f>(BP98-BG98)/BG98</f>
        <v>0.64583333333333337</v>
      </c>
      <c r="BY98" s="4">
        <f>(BQ98-BH98)/BH98</f>
        <v>2.6976744186046515</v>
      </c>
      <c r="BZ98" s="4">
        <v>0.56999999999999995</v>
      </c>
      <c r="CA98" s="4">
        <v>0.94</v>
      </c>
      <c r="CB98" s="4">
        <v>4.7E-2</v>
      </c>
      <c r="CC98" s="4">
        <v>6.6000000000000003E-2</v>
      </c>
      <c r="CD98" s="4">
        <f>(BZ98-AR98)/AR98</f>
        <v>2.1666666666666665</v>
      </c>
      <c r="CE98" s="4">
        <f>(CA98-AS98)/AS98</f>
        <v>2.3333333333333335</v>
      </c>
      <c r="CF98" s="4">
        <f>(CB98-AT98)/AT98</f>
        <v>-0.71165644171779141</v>
      </c>
      <c r="CG98" s="4">
        <f>(CC98-AU98)/AU98</f>
        <v>-0.6</v>
      </c>
      <c r="CH98" s="4">
        <f>(BZ98-BN98)/BN98</f>
        <v>5.5555555555555393E-2</v>
      </c>
      <c r="CI98" s="4">
        <f>(CA98-BO98)/BO98</f>
        <v>0.12845138055222088</v>
      </c>
      <c r="CJ98" s="4">
        <f>(CB98-BP98)/BP98</f>
        <v>-0.4050632911392405</v>
      </c>
      <c r="CK98" s="4">
        <f>(CC98-BQ98)/BQ98</f>
        <v>-0.58490566037735847</v>
      </c>
      <c r="CL98" s="4">
        <v>0.313</v>
      </c>
      <c r="CM98" s="4">
        <v>0.67500000000000004</v>
      </c>
      <c r="CN98" s="4">
        <f>CL98/CM98</f>
        <v>0.46370370370370367</v>
      </c>
    </row>
    <row r="99" spans="1:92" x14ac:dyDescent="0.3">
      <c r="A99" s="11" t="s">
        <v>100</v>
      </c>
      <c r="B99" s="13">
        <v>15703</v>
      </c>
      <c r="C99" s="13">
        <v>20</v>
      </c>
      <c r="D99" s="13">
        <v>4</v>
      </c>
      <c r="E99" s="13">
        <v>5</v>
      </c>
      <c r="F99" s="13">
        <v>5</v>
      </c>
      <c r="G99" s="12" t="s">
        <v>9</v>
      </c>
      <c r="H99" s="4">
        <v>4.91</v>
      </c>
      <c r="I99" s="4">
        <v>2.4500000000000002</v>
      </c>
      <c r="J99" s="4">
        <v>5.74</v>
      </c>
      <c r="K99" s="4">
        <v>2.88</v>
      </c>
      <c r="L99" s="5">
        <f>(H99-I99)/(H99+I99)</f>
        <v>0.33423913043478259</v>
      </c>
      <c r="M99" s="5">
        <f>(J99-K99)/(J99+K99)</f>
        <v>0.33178654292343385</v>
      </c>
      <c r="N99" s="4">
        <v>0.25</v>
      </c>
      <c r="O99" s="4">
        <v>0.42299999999999999</v>
      </c>
      <c r="P99" s="4">
        <v>0.157</v>
      </c>
      <c r="Q99" s="4">
        <v>0.15</v>
      </c>
      <c r="R99" s="4">
        <v>0.28999999999999998</v>
      </c>
      <c r="S99" s="4">
        <v>0.38300000000000001</v>
      </c>
      <c r="T99" s="4">
        <v>0.191</v>
      </c>
      <c r="U99" s="4">
        <v>0.18</v>
      </c>
      <c r="V99" s="4">
        <v>0.53</v>
      </c>
      <c r="W99" s="4">
        <v>0.95899999999999996</v>
      </c>
      <c r="X99" s="4">
        <v>4.2000000000000003E-2</v>
      </c>
      <c r="Y99" s="4">
        <v>0.02</v>
      </c>
      <c r="Z99" s="4">
        <v>0.28100000000000003</v>
      </c>
      <c r="AA99" s="5">
        <f>(V99-N99)/N99</f>
        <v>1.1200000000000001</v>
      </c>
      <c r="AB99" s="5">
        <f>(W99-O99)/O99</f>
        <v>1.2671394799054374</v>
      </c>
      <c r="AC99" s="5">
        <f>(X99-P99)/P99</f>
        <v>-0.73248407643312097</v>
      </c>
      <c r="AD99" s="5">
        <f>(Y99-Q99)/Q99</f>
        <v>-0.8666666666666667</v>
      </c>
      <c r="AE99" s="4">
        <v>0.62</v>
      </c>
      <c r="AF99" s="4">
        <v>0.94499999999999995</v>
      </c>
      <c r="AG99" s="4">
        <v>5.7000000000000002E-2</v>
      </c>
      <c r="AH99" s="4">
        <v>0.02</v>
      </c>
      <c r="AI99" s="4">
        <v>0.28299999999999997</v>
      </c>
      <c r="AJ99" s="5">
        <f>(AE99-R99)/R99</f>
        <v>1.1379310344827587</v>
      </c>
      <c r="AK99" s="5">
        <f>(AF99-S99)/S99</f>
        <v>1.4673629242819841</v>
      </c>
      <c r="AL99" s="5">
        <f>(AG99-T99)/T99</f>
        <v>-0.70157068062827233</v>
      </c>
      <c r="AM99" s="5">
        <f>(AH99-U99)/U99</f>
        <v>-0.88888888888888895</v>
      </c>
      <c r="AN99" s="4">
        <v>0.38</v>
      </c>
      <c r="AO99" s="4">
        <v>0.54900000000000004</v>
      </c>
      <c r="AP99" s="4">
        <v>0.20899999999999999</v>
      </c>
      <c r="AQ99" s="4">
        <v>0.188</v>
      </c>
      <c r="AR99" s="4">
        <v>0.20300000000000001</v>
      </c>
      <c r="AS99" s="4">
        <v>0.41099999999999998</v>
      </c>
      <c r="AT99" s="4">
        <v>0.14399999999999999</v>
      </c>
      <c r="AU99" s="4">
        <v>0.15</v>
      </c>
      <c r="AV99" s="4">
        <v>0.56999999999999995</v>
      </c>
      <c r="AW99" s="4">
        <v>0.91500000000000004</v>
      </c>
      <c r="AX99" s="4">
        <v>9.0999999999999998E-2</v>
      </c>
      <c r="AY99" s="4">
        <v>7.0999999999999994E-2</v>
      </c>
      <c r="AZ99" s="4">
        <v>0.379</v>
      </c>
      <c r="BA99" s="6">
        <f>(AV99-AN99)/AN99</f>
        <v>0.49999999999999983</v>
      </c>
      <c r="BB99" s="6">
        <f>(AW99-AO99)/AO99</f>
        <v>0.66666666666666663</v>
      </c>
      <c r="BC99" s="6">
        <f>(AX99-AP99)/AP99</f>
        <v>-0.56459330143540665</v>
      </c>
      <c r="BD99" s="6">
        <f>(AY99-AQ99)/AQ99</f>
        <v>-0.62234042553191493</v>
      </c>
      <c r="BE99" s="4">
        <v>0.498</v>
      </c>
      <c r="BF99" s="4">
        <v>0.90100000000000002</v>
      </c>
      <c r="BG99" s="4">
        <v>5.8999999999999997E-2</v>
      </c>
      <c r="BH99" s="4">
        <v>6.3E-2</v>
      </c>
      <c r="BI99" s="4">
        <v>0.36199999999999999</v>
      </c>
      <c r="BJ99" s="5">
        <f>(BE99-AN99)/AN99</f>
        <v>0.31052631578947365</v>
      </c>
      <c r="BK99" s="5">
        <f>(BF99-AO99)/AO99</f>
        <v>0.64116575591985414</v>
      </c>
      <c r="BL99" s="5">
        <f>(BG99-AP99)/AP99</f>
        <v>-0.71770334928229662</v>
      </c>
      <c r="BM99" s="5">
        <f>(BH99-AQ99)/AQ99</f>
        <v>-0.66489361702127658</v>
      </c>
      <c r="BN99" s="4">
        <v>0.501</v>
      </c>
      <c r="BO99" s="4">
        <v>0.72199999999999998</v>
      </c>
      <c r="BP99" s="4">
        <v>9.9000000000000005E-2</v>
      </c>
      <c r="BQ99" s="4">
        <v>0.19700000000000001</v>
      </c>
      <c r="BR99" s="5">
        <f>(BN99-AR99)/AR99</f>
        <v>1.4679802955665022</v>
      </c>
      <c r="BS99" s="5">
        <f>(BO99-AS99)/AS99</f>
        <v>0.75669099756691005</v>
      </c>
      <c r="BT99" s="5">
        <f>(BP99-AT99)/AT99</f>
        <v>-0.31249999999999989</v>
      </c>
      <c r="BU99" s="5">
        <f>(BQ99-AU99)/AU99</f>
        <v>0.31333333333333346</v>
      </c>
      <c r="BV99" s="4">
        <f>(BN99-BE99)/BE99</f>
        <v>6.0240963855421742E-3</v>
      </c>
      <c r="BW99" s="4">
        <f>(BO99-BF99)/BF99</f>
        <v>-0.19866814650388462</v>
      </c>
      <c r="BX99" s="4">
        <f>(BP99-BG99)/BG99</f>
        <v>0.67796610169491545</v>
      </c>
      <c r="BY99" s="4">
        <f>(BQ99-BH99)/BH99</f>
        <v>2.126984126984127</v>
      </c>
      <c r="BZ99" s="4">
        <v>0.53200000000000003</v>
      </c>
      <c r="CA99" s="4">
        <v>0.89300000000000002</v>
      </c>
      <c r="CB99" s="4">
        <v>6.0999999999999999E-2</v>
      </c>
      <c r="CC99" s="4">
        <v>8.6999999999999994E-2</v>
      </c>
      <c r="CD99" s="4">
        <f>(BZ99-AR99)/AR99</f>
        <v>1.6206896551724137</v>
      </c>
      <c r="CE99" s="4">
        <f>(CA99-AS99)/AS99</f>
        <v>1.172749391727494</v>
      </c>
      <c r="CF99" s="4">
        <f>(CB99-AT99)/AT99</f>
        <v>-0.57638888888888884</v>
      </c>
      <c r="CG99" s="4">
        <f>(CC99-AU99)/AU99</f>
        <v>-0.42000000000000004</v>
      </c>
      <c r="CH99" s="4">
        <f>(BZ99-BN99)/BN99</f>
        <v>6.1876247504990073E-2</v>
      </c>
      <c r="CI99" s="4">
        <f>(CA99-BO99)/BO99</f>
        <v>0.23684210526315796</v>
      </c>
      <c r="CJ99" s="4">
        <f>(CB99-BP99)/BP99</f>
        <v>-0.38383838383838387</v>
      </c>
      <c r="CK99" s="4">
        <f>(CC99-BQ99)/BQ99</f>
        <v>-0.55837563451776651</v>
      </c>
      <c r="CL99" s="4">
        <v>0.39900000000000002</v>
      </c>
      <c r="CM99" s="4">
        <v>0.60799999999999998</v>
      </c>
      <c r="CN99" s="4">
        <f>CL99/CM99</f>
        <v>0.65625</v>
      </c>
    </row>
    <row r="100" spans="1:92" x14ac:dyDescent="0.3">
      <c r="A100" s="11" t="s">
        <v>101</v>
      </c>
      <c r="B100" s="13">
        <v>834</v>
      </c>
      <c r="C100" s="13">
        <v>30</v>
      </c>
      <c r="D100" s="13">
        <v>4</v>
      </c>
      <c r="E100" s="13">
        <v>3</v>
      </c>
      <c r="F100" s="13">
        <v>3</v>
      </c>
      <c r="G100" s="12" t="s">
        <v>9</v>
      </c>
      <c r="H100" s="4">
        <v>7.24</v>
      </c>
      <c r="I100" s="4">
        <v>2.23</v>
      </c>
      <c r="J100" s="4">
        <v>8.5</v>
      </c>
      <c r="K100" s="4">
        <v>2.5499999999999998</v>
      </c>
      <c r="L100" s="5">
        <f>(H100-I100)/(H100+I100)</f>
        <v>0.529039070749736</v>
      </c>
      <c r="M100" s="5">
        <f>(J100-K100)/(J100+K100)</f>
        <v>0.53846153846153844</v>
      </c>
      <c r="N100" s="4">
        <v>0.24</v>
      </c>
      <c r="O100" s="4">
        <v>0.52300000000000002</v>
      </c>
      <c r="P100" s="4">
        <v>0.111</v>
      </c>
      <c r="Q100" s="4">
        <v>0.1</v>
      </c>
      <c r="R100" s="4">
        <v>0.28000000000000003</v>
      </c>
      <c r="S100" s="4">
        <v>0.46899999999999997</v>
      </c>
      <c r="T100" s="4">
        <v>0.13900000000000001</v>
      </c>
      <c r="U100" s="4">
        <v>0.12</v>
      </c>
      <c r="V100" s="4">
        <v>0.37</v>
      </c>
      <c r="W100" s="4">
        <v>0.75</v>
      </c>
      <c r="X100" s="4">
        <v>0.08</v>
      </c>
      <c r="Y100" s="4">
        <v>0.05</v>
      </c>
      <c r="Z100" s="4">
        <v>0.30299999999999999</v>
      </c>
      <c r="AA100" s="5">
        <f>(V100-N100)/N100</f>
        <v>0.54166666666666674</v>
      </c>
      <c r="AB100" s="5">
        <f>(W100-O100)/O100</f>
        <v>0.43403441682600374</v>
      </c>
      <c r="AC100" s="5">
        <f>(X100-P100)/P100</f>
        <v>-0.27927927927927926</v>
      </c>
      <c r="AD100" s="5">
        <f>(Y100-Q100)/Q100</f>
        <v>-0.5</v>
      </c>
      <c r="AE100" s="4">
        <v>0.43</v>
      </c>
      <c r="AF100" s="4">
        <v>0.68100000000000005</v>
      </c>
      <c r="AG100" s="4">
        <v>0.108</v>
      </c>
      <c r="AH100" s="4">
        <v>0.06</v>
      </c>
      <c r="AI100" s="4">
        <v>0.29699999999999999</v>
      </c>
      <c r="AJ100" s="5">
        <f>(AE100-R100)/R100</f>
        <v>0.53571428571428559</v>
      </c>
      <c r="AK100" s="5">
        <f>(AF100-S100)/S100</f>
        <v>0.45202558635394474</v>
      </c>
      <c r="AL100" s="5">
        <f>(AG100-T100)/T100</f>
        <v>-0.22302158273381303</v>
      </c>
      <c r="AM100" s="5">
        <f>(AH100-U100)/U100</f>
        <v>-0.5</v>
      </c>
      <c r="AN100" s="4">
        <v>0.33600000000000002</v>
      </c>
      <c r="AO100" s="4">
        <v>0.66300000000000003</v>
      </c>
      <c r="AP100" s="4">
        <v>0.13500000000000001</v>
      </c>
      <c r="AQ100" s="4">
        <v>0.128</v>
      </c>
      <c r="AR100" s="4">
        <v>0.23</v>
      </c>
      <c r="AS100" s="4">
        <v>0.51900000000000002</v>
      </c>
      <c r="AT100" s="4">
        <v>0.104</v>
      </c>
      <c r="AU100" s="4">
        <v>0.1</v>
      </c>
      <c r="AV100" s="4">
        <v>0.47499999999999998</v>
      </c>
      <c r="AW100" s="4">
        <v>0.92100000000000004</v>
      </c>
      <c r="AX100" s="4">
        <v>0.108</v>
      </c>
      <c r="AY100" s="4">
        <v>0.10100000000000001</v>
      </c>
      <c r="AZ100" s="4">
        <v>0.58399999999999996</v>
      </c>
      <c r="BA100" s="6">
        <f>(AV100-AN100)/AN100</f>
        <v>0.41369047619047605</v>
      </c>
      <c r="BB100" s="6">
        <f>(AW100-AO100)/AO100</f>
        <v>0.38914027149321267</v>
      </c>
      <c r="BC100" s="6">
        <f>(AX100-AP100)/AP100</f>
        <v>-0.20000000000000007</v>
      </c>
      <c r="BD100" s="6">
        <f>(AY100-AQ100)/AQ100</f>
        <v>-0.21093749999999997</v>
      </c>
      <c r="BE100" s="4">
        <v>0.28000000000000003</v>
      </c>
      <c r="BF100" s="4">
        <v>0.68200000000000005</v>
      </c>
      <c r="BG100" s="4">
        <v>8.5000000000000006E-2</v>
      </c>
      <c r="BH100" s="4">
        <v>8.5000000000000006E-2</v>
      </c>
      <c r="BI100" s="4">
        <v>0.61899999999999999</v>
      </c>
      <c r="BJ100" s="5">
        <f>(BE100-AN100)/AN100</f>
        <v>-0.16666666666666663</v>
      </c>
      <c r="BK100" s="5">
        <f>(BF100-AO100)/AO100</f>
        <v>2.8657616892911034E-2</v>
      </c>
      <c r="BL100" s="5">
        <f>(BG100-AP100)/AP100</f>
        <v>-0.37037037037037035</v>
      </c>
      <c r="BM100" s="5">
        <f>(BH100-AQ100)/AQ100</f>
        <v>-0.33593749999999994</v>
      </c>
      <c r="BN100" s="4">
        <v>0.25900000000000001</v>
      </c>
      <c r="BO100" s="4">
        <v>0.60099999999999998</v>
      </c>
      <c r="BP100" s="4">
        <v>9.5000000000000001E-2</v>
      </c>
      <c r="BQ100" s="4">
        <v>0.182</v>
      </c>
      <c r="BR100" s="5">
        <f>(BN100-AR100)/AR100</f>
        <v>0.12608695652173912</v>
      </c>
      <c r="BS100" s="5">
        <f>(BO100-AS100)/AS100</f>
        <v>0.15799614643545271</v>
      </c>
      <c r="BT100" s="5">
        <f>(BP100-AT100)/AT100</f>
        <v>-8.6538461538461481E-2</v>
      </c>
      <c r="BU100" s="5">
        <f>(BQ100-AU100)/AU100</f>
        <v>0.81999999999999984</v>
      </c>
      <c r="BV100" s="4">
        <f>(BN100-BE100)/BE100</f>
        <v>-7.5000000000000053E-2</v>
      </c>
      <c r="BW100" s="4">
        <f>(BO100-BF100)/BF100</f>
        <v>-0.1187683284457479</v>
      </c>
      <c r="BX100" s="4">
        <f>(BP100-BG100)/BG100</f>
        <v>0.11764705882352934</v>
      </c>
      <c r="BY100" s="4">
        <f>(BQ100-BH100)/BH100</f>
        <v>1.141176470588235</v>
      </c>
      <c r="BZ100" s="4">
        <v>0.34499999999999997</v>
      </c>
      <c r="CA100" s="4">
        <v>0.75600000000000001</v>
      </c>
      <c r="CB100" s="4">
        <v>7.3999999999999996E-2</v>
      </c>
      <c r="CC100" s="4">
        <v>6.8000000000000005E-2</v>
      </c>
      <c r="CD100" s="4">
        <f>(BZ100-AR100)/AR100</f>
        <v>0.49999999999999983</v>
      </c>
      <c r="CE100" s="4">
        <f>(CA100-AS100)/AS100</f>
        <v>0.45664739884393057</v>
      </c>
      <c r="CF100" s="4">
        <f>(CB100-AT100)/AT100</f>
        <v>-0.28846153846153849</v>
      </c>
      <c r="CG100" s="4">
        <f>(CC100-AU100)/AU100</f>
        <v>-0.32</v>
      </c>
      <c r="CH100" s="4">
        <f>(BZ100-BN100)/BN100</f>
        <v>0.33204633204633188</v>
      </c>
      <c r="CI100" s="4">
        <f>(CA100-BO100)/BO100</f>
        <v>0.25790349417637276</v>
      </c>
      <c r="CJ100" s="4">
        <f>(CB100-BP100)/BP100</f>
        <v>-0.22105263157894742</v>
      </c>
      <c r="CK100" s="4">
        <f>(CC100-BQ100)/BQ100</f>
        <v>-0.62637362637362637</v>
      </c>
      <c r="CL100" s="4">
        <v>0.52200000000000002</v>
      </c>
      <c r="CM100" s="4">
        <v>0.47399999999999998</v>
      </c>
      <c r="CN100" s="4">
        <f>CL100/CM100</f>
        <v>1.1012658227848102</v>
      </c>
    </row>
    <row r="101" spans="1:92" x14ac:dyDescent="0.3">
      <c r="A101" s="11" t="s">
        <v>102</v>
      </c>
      <c r="B101" s="13">
        <v>322</v>
      </c>
      <c r="C101" s="13">
        <v>30</v>
      </c>
      <c r="D101" s="13">
        <v>4</v>
      </c>
      <c r="E101" s="13">
        <v>3</v>
      </c>
      <c r="F101" s="13">
        <v>3</v>
      </c>
      <c r="G101" s="12" t="s">
        <v>9</v>
      </c>
      <c r="H101" s="4">
        <v>4.67</v>
      </c>
      <c r="I101" s="4">
        <v>2.0099999999999998</v>
      </c>
      <c r="J101" s="9">
        <v>5.46</v>
      </c>
      <c r="K101" s="9">
        <v>2.38</v>
      </c>
      <c r="L101" s="6">
        <f>(H101-I101)/(H101+I101)</f>
        <v>0.39820359281437129</v>
      </c>
      <c r="M101" s="6">
        <f>(J101-K101)/(J101+K101)</f>
        <v>0.39285714285714285</v>
      </c>
      <c r="N101" s="9">
        <v>0.16</v>
      </c>
      <c r="O101" s="4">
        <v>0.45</v>
      </c>
      <c r="P101" s="4">
        <v>9.1999999999999998E-2</v>
      </c>
      <c r="Q101" s="4">
        <v>0.1</v>
      </c>
      <c r="R101" s="4">
        <v>0.18</v>
      </c>
      <c r="S101" s="4">
        <v>0.35799999999999998</v>
      </c>
      <c r="T101" s="4">
        <v>0.124</v>
      </c>
      <c r="U101" s="4">
        <v>0.12</v>
      </c>
      <c r="V101" s="4">
        <v>0.28000000000000003</v>
      </c>
      <c r="W101" s="4">
        <v>0.747</v>
      </c>
      <c r="X101" s="4">
        <v>6.2E-2</v>
      </c>
      <c r="Y101" s="4">
        <v>0.06</v>
      </c>
      <c r="Z101" s="4">
        <v>0.24299999999999999</v>
      </c>
      <c r="AA101" s="5">
        <f>(V101-N101)/N101</f>
        <v>0.75000000000000011</v>
      </c>
      <c r="AB101" s="5">
        <f>(W101-O101)/O101</f>
        <v>0.65999999999999992</v>
      </c>
      <c r="AC101" s="5">
        <f>(X101-P101)/P101</f>
        <v>-0.32608695652173914</v>
      </c>
      <c r="AD101" s="5">
        <f>(Y101-Q101)/Q101</f>
        <v>-0.40000000000000008</v>
      </c>
      <c r="AE101" s="4">
        <v>0.33</v>
      </c>
      <c r="AF101" s="4">
        <v>0.60599999999999998</v>
      </c>
      <c r="AG101" s="4">
        <v>9.7000000000000003E-2</v>
      </c>
      <c r="AH101" s="4">
        <v>7.0000000000000007E-2</v>
      </c>
      <c r="AI101" s="4">
        <v>0.24299999999999999</v>
      </c>
      <c r="AJ101" s="5">
        <f>(AE101-R101)/R101</f>
        <v>0.83333333333333348</v>
      </c>
      <c r="AK101" s="5">
        <f>(AF101-S101)/S101</f>
        <v>0.69273743016759781</v>
      </c>
      <c r="AL101" s="5">
        <f>(AG101-T101)/T101</f>
        <v>-0.21774193548387094</v>
      </c>
      <c r="AM101" s="5">
        <f>(AH101-U101)/U101</f>
        <v>-0.41666666666666657</v>
      </c>
      <c r="AN101" s="4">
        <v>0.13100000000000001</v>
      </c>
      <c r="AO101" s="4">
        <v>0.76500000000000001</v>
      </c>
      <c r="AP101" s="4">
        <v>0.12</v>
      </c>
      <c r="AQ101" s="4">
        <v>0.11899999999999999</v>
      </c>
      <c r="AR101" s="4">
        <v>7.3999999999999996E-2</v>
      </c>
      <c r="AS101" s="4">
        <v>0.441</v>
      </c>
      <c r="AT101" s="4">
        <v>9.0999999999999998E-2</v>
      </c>
      <c r="AU101" s="4">
        <v>9.8000000000000004E-2</v>
      </c>
      <c r="AV101" s="4">
        <v>0.29699999999999999</v>
      </c>
      <c r="AW101" s="4">
        <v>0.85499999999999998</v>
      </c>
      <c r="AX101" s="4">
        <v>9.4E-2</v>
      </c>
      <c r="AY101" s="4">
        <v>0.104</v>
      </c>
      <c r="AZ101" s="4">
        <v>0.46</v>
      </c>
      <c r="BA101" s="6">
        <f>(AV101-AN101)/AN101</f>
        <v>1.2671755725190839</v>
      </c>
      <c r="BB101" s="6">
        <f>(AW101-AO101)/AO101</f>
        <v>0.11764705882352937</v>
      </c>
      <c r="BC101" s="6">
        <f>(AX101-AP101)/AP101</f>
        <v>-0.21666666666666665</v>
      </c>
      <c r="BD101" s="6">
        <f>(AY101-AQ101)/AQ101</f>
        <v>-0.12605042016806722</v>
      </c>
      <c r="BE101" s="4">
        <v>0.154</v>
      </c>
      <c r="BF101" s="4">
        <v>0.61799999999999999</v>
      </c>
      <c r="BG101" s="4">
        <v>7.4999999999999997E-2</v>
      </c>
      <c r="BH101" s="4">
        <v>9.8000000000000004E-2</v>
      </c>
      <c r="BI101" s="4">
        <v>0.309</v>
      </c>
      <c r="BJ101" s="5">
        <f>(BE101-AN101)/AN101</f>
        <v>0.1755725190839694</v>
      </c>
      <c r="BK101" s="5">
        <f>(BF101-AO101)/AO101</f>
        <v>-0.19215686274509805</v>
      </c>
      <c r="BL101" s="5">
        <f>(BG101-AP101)/AP101</f>
        <v>-0.375</v>
      </c>
      <c r="BM101" s="5">
        <f>(BH101-AQ101)/AQ101</f>
        <v>-0.17647058823529405</v>
      </c>
      <c r="BN101" s="4">
        <v>0.14399999999999999</v>
      </c>
      <c r="BO101" s="4">
        <v>0.58299999999999996</v>
      </c>
      <c r="BP101" s="4">
        <v>7.8E-2</v>
      </c>
      <c r="BQ101" s="4">
        <v>0.125</v>
      </c>
      <c r="BR101" s="5">
        <f>(BN101-AR101)/AR101</f>
        <v>0.94594594594594594</v>
      </c>
      <c r="BS101" s="5">
        <f>(BO101-AS101)/AS101</f>
        <v>0.3219954648526076</v>
      </c>
      <c r="BT101" s="5">
        <f>(BP101-AT101)/AT101</f>
        <v>-0.14285714285714285</v>
      </c>
      <c r="BU101" s="5">
        <f>(BQ101-AU101)/AU101</f>
        <v>0.27551020408163263</v>
      </c>
      <c r="BV101" s="4">
        <f>(BN101-BE101)/BE101</f>
        <v>-6.4935064935064998E-2</v>
      </c>
      <c r="BW101" s="4">
        <f>(BO101-BF101)/BF101</f>
        <v>-5.663430420711979E-2</v>
      </c>
      <c r="BX101" s="4">
        <f>(BP101-BG101)/BG101</f>
        <v>4.0000000000000036E-2</v>
      </c>
      <c r="BY101" s="4">
        <f>(BQ101-BH101)/BH101</f>
        <v>0.27551020408163263</v>
      </c>
      <c r="BZ101" s="4">
        <v>0.27500000000000002</v>
      </c>
      <c r="CA101" s="4">
        <v>0.72699999999999998</v>
      </c>
      <c r="CB101" s="4">
        <v>6.3E-2</v>
      </c>
      <c r="CC101" s="4">
        <v>7.4999999999999997E-2</v>
      </c>
      <c r="CD101" s="4">
        <f>(BZ101-AR101)/AR101</f>
        <v>2.7162162162162167</v>
      </c>
      <c r="CE101" s="4">
        <f>(CA101-AS101)/AS101</f>
        <v>0.64852607709750565</v>
      </c>
      <c r="CF101" s="4">
        <f>(CB101-AT101)/AT101</f>
        <v>-0.30769230769230765</v>
      </c>
      <c r="CG101" s="4">
        <f>(CC101-AU101)/AU101</f>
        <v>-0.23469387755102047</v>
      </c>
      <c r="CH101" s="4">
        <f>(BZ101-BN101)/BN101</f>
        <v>0.90972222222222254</v>
      </c>
      <c r="CI101" s="4">
        <f>(CA101-BO101)/BO101</f>
        <v>0.24699828473413382</v>
      </c>
      <c r="CJ101" s="4">
        <f>(CB101-BP101)/BP101</f>
        <v>-0.19230769230769229</v>
      </c>
      <c r="CK101" s="4">
        <f>(CC101-BQ101)/BQ101</f>
        <v>-0.4</v>
      </c>
      <c r="CL101" s="4">
        <v>0.436</v>
      </c>
      <c r="CM101" s="4">
        <v>0.55700000000000005</v>
      </c>
      <c r="CN101" s="4">
        <f>CL101/CM101</f>
        <v>0.78276481149012556</v>
      </c>
    </row>
    <row r="102" spans="1:92" x14ac:dyDescent="0.3">
      <c r="A102" s="11" t="s">
        <v>103</v>
      </c>
      <c r="B102" s="13">
        <v>453</v>
      </c>
      <c r="C102" s="13">
        <v>15</v>
      </c>
      <c r="D102" s="13">
        <v>4</v>
      </c>
      <c r="E102" s="13">
        <v>3</v>
      </c>
      <c r="F102" s="13">
        <v>3</v>
      </c>
      <c r="G102" s="12" t="s">
        <v>9</v>
      </c>
      <c r="H102" s="4">
        <v>3.69</v>
      </c>
      <c r="I102" s="4">
        <v>1.24</v>
      </c>
      <c r="J102" s="4">
        <v>4.24</v>
      </c>
      <c r="K102" s="4">
        <v>1.42</v>
      </c>
      <c r="L102" s="5">
        <f>(H102-I102)/(H102+I102)</f>
        <v>0.49695740365111568</v>
      </c>
      <c r="M102" s="5">
        <f>(J102-K102)/(J102+K102)</f>
        <v>0.49823321554770322</v>
      </c>
      <c r="N102" s="4">
        <v>0.25</v>
      </c>
      <c r="O102" s="4">
        <v>0.46700000000000003</v>
      </c>
      <c r="P102" s="4">
        <v>0.152</v>
      </c>
      <c r="Q102" s="4">
        <v>0.13</v>
      </c>
      <c r="R102" s="4">
        <v>0.28000000000000003</v>
      </c>
      <c r="S102" s="4">
        <v>0.41199999999999998</v>
      </c>
      <c r="T102" s="4">
        <v>0.188</v>
      </c>
      <c r="U102" s="4">
        <v>0.15</v>
      </c>
      <c r="V102" s="4">
        <v>0.44</v>
      </c>
      <c r="W102" s="4">
        <v>0.84399999999999997</v>
      </c>
      <c r="X102" s="4">
        <v>8.2000000000000003E-2</v>
      </c>
      <c r="Y102" s="4">
        <v>0.04</v>
      </c>
      <c r="Z102" s="4">
        <v>0.27</v>
      </c>
      <c r="AA102" s="5">
        <f>(V102-N102)/N102</f>
        <v>0.76</v>
      </c>
      <c r="AB102" s="5">
        <f>(W102-O102)/O102</f>
        <v>0.80728051391862943</v>
      </c>
      <c r="AC102" s="5">
        <f>(X102-P102)/P102</f>
        <v>-0.46052631578947367</v>
      </c>
      <c r="AD102" s="5">
        <f>(Y102-Q102)/Q102</f>
        <v>-0.69230769230769229</v>
      </c>
      <c r="AE102" s="4">
        <v>0.5</v>
      </c>
      <c r="AF102" s="4">
        <v>0.77500000000000002</v>
      </c>
      <c r="AG102" s="4">
        <v>0.11600000000000001</v>
      </c>
      <c r="AH102" s="4">
        <v>0.05</v>
      </c>
      <c r="AI102" s="4">
        <v>0.27300000000000002</v>
      </c>
      <c r="AJ102" s="5">
        <f>(AE102-R102)/R102</f>
        <v>0.78571428571428559</v>
      </c>
      <c r="AK102" s="5">
        <f>(AF102-S102)/S102</f>
        <v>0.88106796116504871</v>
      </c>
      <c r="AL102" s="5">
        <f>(AG102-T102)/T102</f>
        <v>-0.38297872340425532</v>
      </c>
      <c r="AM102" s="5">
        <f>(AH102-U102)/U102</f>
        <v>-0.66666666666666663</v>
      </c>
      <c r="AN102" s="4">
        <v>0.379</v>
      </c>
      <c r="AO102" s="4">
        <v>0.60299999999999998</v>
      </c>
      <c r="AP102" s="4">
        <v>0.182</v>
      </c>
      <c r="AQ102" s="4">
        <v>0.14799999999999999</v>
      </c>
      <c r="AR102" s="4">
        <v>0.23200000000000001</v>
      </c>
      <c r="AS102" s="4">
        <v>0.435</v>
      </c>
      <c r="AT102" s="4">
        <v>0.14799999999999999</v>
      </c>
      <c r="AU102" s="4">
        <v>0.11899999999999999</v>
      </c>
      <c r="AV102" s="4">
        <v>0.55300000000000005</v>
      </c>
      <c r="AW102" s="4">
        <v>0.88300000000000001</v>
      </c>
      <c r="AX102" s="4">
        <v>9.8000000000000004E-2</v>
      </c>
      <c r="AY102" s="4">
        <v>8.3000000000000004E-2</v>
      </c>
      <c r="AZ102" s="4">
        <v>0.40100000000000002</v>
      </c>
      <c r="BA102" s="6">
        <f>(AV102-AN102)/AN102</f>
        <v>0.45910290237467027</v>
      </c>
      <c r="BB102" s="6">
        <f>(AW102-AO102)/AO102</f>
        <v>0.46434494195688231</v>
      </c>
      <c r="BC102" s="6">
        <f>(AX102-AP102)/AP102</f>
        <v>-0.46153846153846151</v>
      </c>
      <c r="BD102" s="6">
        <f>(AY102-AQ102)/AQ102</f>
        <v>-0.43918918918918914</v>
      </c>
      <c r="BE102" s="4">
        <v>0.44600000000000001</v>
      </c>
      <c r="BF102" s="4">
        <v>0.80500000000000005</v>
      </c>
      <c r="BG102" s="4">
        <v>8.6999999999999994E-2</v>
      </c>
      <c r="BH102" s="4">
        <v>7.5999999999999998E-2</v>
      </c>
      <c r="BI102" s="4">
        <v>0.36099999999999999</v>
      </c>
      <c r="BJ102" s="5">
        <f>(BE102-AN102)/AN102</f>
        <v>0.17678100263852245</v>
      </c>
      <c r="BK102" s="5">
        <f>(BF102-AO102)/AO102</f>
        <v>0.33499170812603662</v>
      </c>
      <c r="BL102" s="5">
        <f>(BG102-AP102)/AP102</f>
        <v>-0.52197802197802201</v>
      </c>
      <c r="BM102" s="5">
        <f>(BH102-AQ102)/AQ102</f>
        <v>-0.48648648648648646</v>
      </c>
      <c r="BN102" s="4">
        <v>0.42199999999999999</v>
      </c>
      <c r="BO102" s="4">
        <v>0.75600000000000001</v>
      </c>
      <c r="BP102" s="4">
        <v>9.7000000000000003E-2</v>
      </c>
      <c r="BQ102" s="4">
        <v>0.153</v>
      </c>
      <c r="BR102" s="5">
        <f>(BN102-AR102)/AR102</f>
        <v>0.81896551724137912</v>
      </c>
      <c r="BS102" s="5">
        <f>(BO102-AS102)/AS102</f>
        <v>0.73793103448275865</v>
      </c>
      <c r="BT102" s="5">
        <f>(BP102-AT102)/AT102</f>
        <v>-0.34459459459459452</v>
      </c>
      <c r="BU102" s="5">
        <f>(BQ102-AU102)/AU102</f>
        <v>0.28571428571428575</v>
      </c>
      <c r="BV102" s="4">
        <f>(BN102-BE102)/BE102</f>
        <v>-5.3811659192825156E-2</v>
      </c>
      <c r="BW102" s="4">
        <f>(BO102-BF102)/BF102</f>
        <v>-6.0869565217391355E-2</v>
      </c>
      <c r="BX102" s="4">
        <f>(BP102-BG102)/BG102</f>
        <v>0.11494252873563229</v>
      </c>
      <c r="BY102" s="4">
        <f>(BQ102-BH102)/BH102</f>
        <v>1.013157894736842</v>
      </c>
      <c r="BZ102" s="4">
        <v>0.46800000000000003</v>
      </c>
      <c r="CA102" s="4">
        <v>0.88300000000000001</v>
      </c>
      <c r="CB102" s="4">
        <v>6.7000000000000004E-2</v>
      </c>
      <c r="CC102" s="4">
        <v>5.2999999999999999E-2</v>
      </c>
      <c r="CD102" s="4">
        <f>(BZ102-AR102)/AR102</f>
        <v>1.0172413793103448</v>
      </c>
      <c r="CE102" s="4">
        <f>(CA102-AS102)/AS102</f>
        <v>1.0298850574712644</v>
      </c>
      <c r="CF102" s="4">
        <f>(CB102-AT102)/AT102</f>
        <v>-0.54729729729729726</v>
      </c>
      <c r="CG102" s="4">
        <f>(CC102-AU102)/AU102</f>
        <v>-0.55462184873949583</v>
      </c>
      <c r="CH102" s="4">
        <f>(BZ102-BN102)/BN102</f>
        <v>0.10900473933649299</v>
      </c>
      <c r="CI102" s="4">
        <f>(CA102-BO102)/BO102</f>
        <v>0.16798941798941799</v>
      </c>
      <c r="CJ102" s="4">
        <f>(CB102-BP102)/BP102</f>
        <v>-0.30927835051546387</v>
      </c>
      <c r="CK102" s="4">
        <f>(CC102-BQ102)/BQ102</f>
        <v>-0.65359477124183007</v>
      </c>
      <c r="CL102" s="4">
        <v>0.39700000000000002</v>
      </c>
      <c r="CM102" s="4">
        <v>0.61399999999999999</v>
      </c>
      <c r="CN102" s="4">
        <f>CL102/CM102</f>
        <v>0.64657980456026065</v>
      </c>
    </row>
    <row r="103" spans="1:92" x14ac:dyDescent="0.3">
      <c r="A103" s="11" t="s">
        <v>104</v>
      </c>
      <c r="B103" s="13">
        <v>119</v>
      </c>
      <c r="C103" s="13">
        <v>10</v>
      </c>
      <c r="D103" s="13">
        <v>5</v>
      </c>
      <c r="E103" s="13">
        <v>1</v>
      </c>
      <c r="F103" s="13">
        <v>1</v>
      </c>
      <c r="G103" s="12" t="s">
        <v>43</v>
      </c>
      <c r="H103" s="4">
        <v>4.1100000000000003</v>
      </c>
      <c r="I103" s="4">
        <v>0.6</v>
      </c>
      <c r="J103" s="4">
        <v>4.6100000000000003</v>
      </c>
      <c r="K103" s="4">
        <v>0.68</v>
      </c>
      <c r="L103" s="5">
        <f>(H103-I103)/(H103+I103)</f>
        <v>0.74522292993630579</v>
      </c>
      <c r="M103" s="5">
        <f>(J103-K103)/(J103+K103)</f>
        <v>0.74291115311909262</v>
      </c>
      <c r="N103" s="4">
        <v>0.41</v>
      </c>
      <c r="O103" s="4">
        <v>0.81799999999999995</v>
      </c>
      <c r="P103" s="4">
        <v>0.12</v>
      </c>
      <c r="Q103" s="4">
        <v>0.09</v>
      </c>
      <c r="R103" s="4">
        <v>0.46</v>
      </c>
      <c r="S103" s="4">
        <v>0.74199999999999999</v>
      </c>
      <c r="T103" s="4">
        <v>0.16400000000000001</v>
      </c>
      <c r="U103" s="4">
        <v>0.1</v>
      </c>
      <c r="V103" s="4">
        <v>0.5</v>
      </c>
      <c r="W103" s="4">
        <v>0.91700000000000004</v>
      </c>
      <c r="X103" s="4">
        <v>0.08</v>
      </c>
      <c r="Y103" s="4">
        <v>0.05</v>
      </c>
      <c r="Z103" s="4">
        <v>0.53</v>
      </c>
      <c r="AA103" s="5">
        <f>(V103-N103)/N103</f>
        <v>0.2195121951219513</v>
      </c>
      <c r="AB103" s="5">
        <f>(W103-O103)/O103</f>
        <v>0.12102689486552579</v>
      </c>
      <c r="AC103" s="5">
        <f>(X103-P103)/P103</f>
        <v>-0.33333333333333331</v>
      </c>
      <c r="AD103" s="5">
        <f>(Y103-Q103)/Q103</f>
        <v>-0.44444444444444442</v>
      </c>
      <c r="AE103" s="4">
        <v>0.56000000000000005</v>
      </c>
      <c r="AF103" s="4">
        <v>0.84199999999999997</v>
      </c>
      <c r="AG103" s="4">
        <v>0.128</v>
      </c>
      <c r="AH103" s="4">
        <v>0.05</v>
      </c>
      <c r="AI103" s="4">
        <v>0.53</v>
      </c>
      <c r="AJ103" s="5">
        <f>(AE103-R103)/R103</f>
        <v>0.21739130434782614</v>
      </c>
      <c r="AK103" s="5">
        <f>(AF103-S103)/S103</f>
        <v>0.13477088948787058</v>
      </c>
      <c r="AL103" s="5">
        <f>(AG103-T103)/T103</f>
        <v>-0.21951219512195125</v>
      </c>
      <c r="AM103" s="5">
        <f>(AH103-U103)/U103</f>
        <v>-0.5</v>
      </c>
      <c r="AN103" s="4">
        <v>0.504</v>
      </c>
      <c r="AO103" s="4">
        <v>0.85599999999999998</v>
      </c>
      <c r="AP103" s="4">
        <v>0.184</v>
      </c>
      <c r="AQ103" s="4">
        <v>9.6000000000000002E-2</v>
      </c>
      <c r="AR103" s="4">
        <v>0.43</v>
      </c>
      <c r="AS103" s="4">
        <v>0.81100000000000005</v>
      </c>
      <c r="AT103" s="4">
        <v>0.11600000000000001</v>
      </c>
      <c r="AU103" s="4">
        <v>8.2000000000000003E-2</v>
      </c>
      <c r="AV103" s="4">
        <v>0.57899999999999996</v>
      </c>
      <c r="AW103" s="4">
        <v>0.93899999999999995</v>
      </c>
      <c r="AX103" s="4">
        <v>0.11899999999999999</v>
      </c>
      <c r="AY103" s="4">
        <v>6.6000000000000003E-2</v>
      </c>
      <c r="AZ103" s="4">
        <v>0.70499999999999996</v>
      </c>
      <c r="BA103" s="6">
        <f>(AV103-AN103)/AN103</f>
        <v>0.14880952380952372</v>
      </c>
      <c r="BB103" s="6">
        <f>(AW103-AO103)/AO103</f>
        <v>9.6962616822429862E-2</v>
      </c>
      <c r="BC103" s="6">
        <f>(AX103-AP103)/AP103</f>
        <v>-0.35326086956521741</v>
      </c>
      <c r="BD103" s="6">
        <f>(AY103-AQ103)/AQ103</f>
        <v>-0.3125</v>
      </c>
      <c r="BE103" s="4">
        <v>0.51600000000000001</v>
      </c>
      <c r="BF103" s="4">
        <v>0.89900000000000002</v>
      </c>
      <c r="BG103" s="4">
        <v>8.5000000000000006E-2</v>
      </c>
      <c r="BH103" s="4">
        <v>6.4000000000000001E-2</v>
      </c>
      <c r="BI103" s="4">
        <v>0.71299999999999997</v>
      </c>
      <c r="BJ103" s="5">
        <f>(BE103-AN103)/AN103</f>
        <v>2.3809523809523829E-2</v>
      </c>
      <c r="BK103" s="5">
        <f>(BF103-AO103)/AO103</f>
        <v>5.0233644859813131E-2</v>
      </c>
      <c r="BL103" s="5">
        <f>(BG103-AP103)/AP103</f>
        <v>-0.53804347826086951</v>
      </c>
      <c r="BM103" s="5">
        <f>(BH103-AQ103)/AQ103</f>
        <v>-0.33333333333333331</v>
      </c>
      <c r="BN103" s="4">
        <v>0.51500000000000001</v>
      </c>
      <c r="BO103" s="4">
        <v>0.80100000000000005</v>
      </c>
      <c r="BP103" s="4">
        <v>0.13700000000000001</v>
      </c>
      <c r="BQ103" s="4">
        <v>0.23899999999999999</v>
      </c>
      <c r="BR103" s="5">
        <f>(BN103-AR103)/AR103</f>
        <v>0.19767441860465121</v>
      </c>
      <c r="BS103" s="5">
        <f>(BO103-AS103)/AS103</f>
        <v>-1.2330456226880405E-2</v>
      </c>
      <c r="BT103" s="5">
        <f>(BP103-AT103)/AT103</f>
        <v>0.18103448275862072</v>
      </c>
      <c r="BU103" s="5">
        <f>(BQ103-AU103)/AU103</f>
        <v>1.9146341463414629</v>
      </c>
      <c r="BV103" s="4">
        <f>(BN103-BE103)/BE103</f>
        <v>-1.9379844961240327E-3</v>
      </c>
      <c r="BW103" s="4">
        <f>(BO103-BF103)/BF103</f>
        <v>-0.10901001112347049</v>
      </c>
      <c r="BX103" s="4">
        <f>(BP103-BG103)/BG103</f>
        <v>0.61176470588235299</v>
      </c>
      <c r="BY103" s="4">
        <f>(BQ103-BH103)/BH103</f>
        <v>2.7343749999999996</v>
      </c>
      <c r="BZ103" s="7">
        <v>0.46500000000000002</v>
      </c>
      <c r="CA103" s="7">
        <v>1</v>
      </c>
      <c r="CB103" s="7">
        <v>0</v>
      </c>
      <c r="CC103" s="7">
        <v>0.03</v>
      </c>
      <c r="CD103" s="7">
        <f>(BZ103-AR103)/AR103</f>
        <v>8.1395348837209378E-2</v>
      </c>
      <c r="CE103" s="7">
        <f>(CA103-AS103)/AS103</f>
        <v>0.23304562268803938</v>
      </c>
      <c r="CF103" s="7">
        <f>(CB103-AT103)/AT103</f>
        <v>-1</v>
      </c>
      <c r="CG103" s="7">
        <f>(CC103-AU103)/AU103</f>
        <v>-0.63414634146341464</v>
      </c>
      <c r="CH103" s="4">
        <f>(BZ103-BN103)/BN103</f>
        <v>-9.708737864077667E-2</v>
      </c>
      <c r="CI103" s="4">
        <f>(CA103-BO103)/BO103</f>
        <v>0.24843945068664164</v>
      </c>
      <c r="CJ103" s="4">
        <f>(CB103-BP103)/BP103</f>
        <v>-1</v>
      </c>
      <c r="CK103" s="4">
        <f>(CC103-BQ103)/BQ103</f>
        <v>-0.87447698744769875</v>
      </c>
      <c r="CL103" s="7">
        <v>0.67500000000000004</v>
      </c>
      <c r="CM103" s="7">
        <v>0.36899999999999999</v>
      </c>
      <c r="CN103" s="7">
        <f>CL103/CM103</f>
        <v>1.8292682926829269</v>
      </c>
    </row>
    <row r="104" spans="1:92" x14ac:dyDescent="0.3">
      <c r="A104" s="11" t="s">
        <v>105</v>
      </c>
      <c r="B104" s="13">
        <v>285</v>
      </c>
      <c r="C104" s="13">
        <v>10</v>
      </c>
      <c r="D104" s="13">
        <v>5</v>
      </c>
      <c r="E104" s="13">
        <v>1</v>
      </c>
      <c r="F104" s="13">
        <v>1</v>
      </c>
      <c r="G104" s="12" t="s">
        <v>43</v>
      </c>
      <c r="H104" s="4">
        <v>4.3899999999999997</v>
      </c>
      <c r="I104" s="4">
        <v>0.73</v>
      </c>
      <c r="J104" s="4">
        <v>4.8899999999999997</v>
      </c>
      <c r="K104" s="4">
        <v>0.79</v>
      </c>
      <c r="L104" s="5">
        <f>(H104-I104)/(H104+I104)</f>
        <v>0.71484375</v>
      </c>
      <c r="M104" s="5">
        <f>(J104-K104)/(J104+K104)</f>
        <v>0.72183098591549288</v>
      </c>
      <c r="N104" s="4">
        <v>0.44</v>
      </c>
      <c r="O104" s="4">
        <v>0.81599999999999995</v>
      </c>
      <c r="P104" s="4">
        <v>0.13300000000000001</v>
      </c>
      <c r="Q104" s="4">
        <v>0.09</v>
      </c>
      <c r="R104" s="4">
        <v>0.49</v>
      </c>
      <c r="S104" s="4">
        <v>0.78700000000000003</v>
      </c>
      <c r="T104" s="4">
        <v>0.161</v>
      </c>
      <c r="U104" s="4">
        <v>0.1</v>
      </c>
      <c r="V104" s="4">
        <v>0.54</v>
      </c>
      <c r="W104" s="4">
        <v>0.96</v>
      </c>
      <c r="X104" s="4">
        <v>6.2E-2</v>
      </c>
      <c r="Y104" s="4">
        <v>0.03</v>
      </c>
      <c r="Z104" s="4">
        <v>0.56999999999999995</v>
      </c>
      <c r="AA104" s="5">
        <f>(V104-N104)/N104</f>
        <v>0.22727272727272735</v>
      </c>
      <c r="AB104" s="5">
        <f>(W104-O104)/O104</f>
        <v>0.17647058823529416</v>
      </c>
      <c r="AC104" s="5">
        <f>(X104-P104)/P104</f>
        <v>-0.53383458646616544</v>
      </c>
      <c r="AD104" s="5">
        <f>(Y104-Q104)/Q104</f>
        <v>-0.66666666666666663</v>
      </c>
      <c r="AE104" s="4">
        <v>0.59</v>
      </c>
      <c r="AF104" s="4">
        <v>0.93600000000000005</v>
      </c>
      <c r="AG104" s="4">
        <v>8.7999999999999995E-2</v>
      </c>
      <c r="AH104" s="4">
        <v>0.03</v>
      </c>
      <c r="AI104" s="4">
        <v>0.59</v>
      </c>
      <c r="AJ104" s="5">
        <f>(AE104-R104)/R104</f>
        <v>0.20408163265306117</v>
      </c>
      <c r="AK104" s="5">
        <f>(AF104-S104)/S104</f>
        <v>0.18932655654383737</v>
      </c>
      <c r="AL104" s="5">
        <f>(AG104-T104)/T104</f>
        <v>-0.453416149068323</v>
      </c>
      <c r="AM104" s="5">
        <f>(AH104-U104)/U104</f>
        <v>-0.70000000000000007</v>
      </c>
      <c r="AN104" s="4">
        <v>0.53700000000000003</v>
      </c>
      <c r="AO104" s="4">
        <v>0.83299999999999996</v>
      </c>
      <c r="AP104" s="4">
        <v>0.20399999999999999</v>
      </c>
      <c r="AQ104" s="4">
        <v>9.0999999999999998E-2</v>
      </c>
      <c r="AR104" s="4">
        <v>0.432</v>
      </c>
      <c r="AS104" s="4">
        <v>0.77500000000000002</v>
      </c>
      <c r="AT104" s="4">
        <v>0.129</v>
      </c>
      <c r="AU104" s="4">
        <v>8.5000000000000006E-2</v>
      </c>
      <c r="AV104" s="4">
        <v>0.65500000000000003</v>
      </c>
      <c r="AW104" s="4">
        <v>0.93899999999999995</v>
      </c>
      <c r="AX104" s="4">
        <v>0.123</v>
      </c>
      <c r="AY104" s="4">
        <v>5.1999999999999998E-2</v>
      </c>
      <c r="AZ104" s="4">
        <v>0.71699999999999997</v>
      </c>
      <c r="BA104" s="6">
        <f>(AV104-AN104)/AN104</f>
        <v>0.21973929236499065</v>
      </c>
      <c r="BB104" s="6">
        <f>(AW104-AO104)/AO104</f>
        <v>0.12725090036014405</v>
      </c>
      <c r="BC104" s="6">
        <f>(AX104-AP104)/AP104</f>
        <v>-0.39705882352941174</v>
      </c>
      <c r="BD104" s="6">
        <f>(AY104-AQ104)/AQ104</f>
        <v>-0.4285714285714286</v>
      </c>
      <c r="BE104" s="4">
        <v>0.57799999999999996</v>
      </c>
      <c r="BF104" s="4">
        <v>0.94699999999999995</v>
      </c>
      <c r="BG104" s="4">
        <v>6.2E-2</v>
      </c>
      <c r="BH104" s="4">
        <v>5.1999999999999998E-2</v>
      </c>
      <c r="BI104" s="4">
        <v>0.71799999999999997</v>
      </c>
      <c r="BJ104" s="5">
        <f>(BE104-AN104)/AN104</f>
        <v>7.6350093109869496E-2</v>
      </c>
      <c r="BK104" s="5">
        <f>(BF104-AO104)/AO104</f>
        <v>0.1368547418967587</v>
      </c>
      <c r="BL104" s="5">
        <f>(BG104-AP104)/AP104</f>
        <v>-0.69607843137254899</v>
      </c>
      <c r="BM104" s="5">
        <f>(BH104-AQ104)/AQ104</f>
        <v>-0.4285714285714286</v>
      </c>
      <c r="BN104" s="4">
        <v>0.54800000000000004</v>
      </c>
      <c r="BO104" s="4">
        <v>0.76900000000000002</v>
      </c>
      <c r="BP104" s="4">
        <v>0.13100000000000001</v>
      </c>
      <c r="BQ104" s="4">
        <v>0.24</v>
      </c>
      <c r="BR104" s="5">
        <f>(BN104-AR104)/AR104</f>
        <v>0.26851851851851866</v>
      </c>
      <c r="BS104" s="5">
        <f>(BO104-AS104)/AS104</f>
        <v>-7.7419354838709747E-3</v>
      </c>
      <c r="BT104" s="5">
        <f>(BP104-AT104)/AT104</f>
        <v>1.5503875968992262E-2</v>
      </c>
      <c r="BU104" s="5">
        <f>(BQ104-AU104)/AU104</f>
        <v>1.8235294117647054</v>
      </c>
      <c r="BV104" s="4">
        <f>(BN104-BE104)/BE104</f>
        <v>-5.190311418685107E-2</v>
      </c>
      <c r="BW104" s="4">
        <f>(BO104-BF104)/BF104</f>
        <v>-0.187961985216473</v>
      </c>
      <c r="BX104" s="4">
        <f>(BP104-BG104)/BG104</f>
        <v>1.1129032258064517</v>
      </c>
      <c r="BY104" s="4">
        <f>(BQ104-BH104)/BH104</f>
        <v>3.6153846153846154</v>
      </c>
      <c r="BZ104" s="4">
        <v>0.56499999999999995</v>
      </c>
      <c r="CA104" s="4">
        <v>0.95499999999999996</v>
      </c>
      <c r="CB104" s="4">
        <v>5.7000000000000002E-2</v>
      </c>
      <c r="CC104" s="4">
        <v>3.1E-2</v>
      </c>
      <c r="CD104" s="4">
        <f>(BZ104-AR104)/AR104</f>
        <v>0.30787037037037024</v>
      </c>
      <c r="CE104" s="4">
        <f>(CA104-AS104)/AS104</f>
        <v>0.23225806451612896</v>
      </c>
      <c r="CF104" s="4">
        <f>(CB104-AT104)/AT104</f>
        <v>-0.55813953488372103</v>
      </c>
      <c r="CG104" s="4">
        <f>(CC104-AU104)/AU104</f>
        <v>-0.6352941176470589</v>
      </c>
      <c r="CH104" s="4">
        <f>(BZ104-BN104)/BN104</f>
        <v>3.1021897810218801E-2</v>
      </c>
      <c r="CI104" s="4">
        <f>(CA104-BO104)/BO104</f>
        <v>0.24187256176853048</v>
      </c>
      <c r="CJ104" s="4">
        <f>(CB104-BP104)/BP104</f>
        <v>-0.56488549618320616</v>
      </c>
      <c r="CK104" s="4">
        <f>(CC104-BQ104)/BQ104</f>
        <v>-0.87083333333333335</v>
      </c>
      <c r="CL104" s="4">
        <v>0.59499999999999997</v>
      </c>
      <c r="CM104" s="4">
        <v>0.42099999999999999</v>
      </c>
      <c r="CN104" s="4">
        <f>CL104/CM104</f>
        <v>1.4133016627078385</v>
      </c>
    </row>
    <row r="105" spans="1:92" x14ac:dyDescent="0.3">
      <c r="A105" s="11" t="s">
        <v>106</v>
      </c>
      <c r="B105" s="13">
        <v>701</v>
      </c>
      <c r="C105" s="13">
        <v>10</v>
      </c>
      <c r="D105" s="13">
        <v>5</v>
      </c>
      <c r="E105" s="13">
        <v>1</v>
      </c>
      <c r="F105" s="13">
        <v>1</v>
      </c>
      <c r="G105" s="12" t="s">
        <v>43</v>
      </c>
      <c r="H105" s="4">
        <v>4.82</v>
      </c>
      <c r="I105" s="4">
        <v>0.39</v>
      </c>
      <c r="J105" s="4">
        <v>5.44</v>
      </c>
      <c r="K105" s="4">
        <v>0.41</v>
      </c>
      <c r="L105" s="5">
        <f>(H105-I105)/(H105+I105)</f>
        <v>0.85028790786948194</v>
      </c>
      <c r="M105" s="5">
        <f>(J105-K105)/(J105+K105)</f>
        <v>0.85982905982905977</v>
      </c>
      <c r="N105" s="4">
        <v>0.48</v>
      </c>
      <c r="O105" s="4">
        <v>0.89600000000000002</v>
      </c>
      <c r="P105" s="4">
        <v>0.104</v>
      </c>
      <c r="Q105" s="4">
        <v>0.06</v>
      </c>
      <c r="R105" s="4">
        <v>0.54</v>
      </c>
      <c r="S105" s="4">
        <v>0.875</v>
      </c>
      <c r="T105" s="4">
        <v>0.129</v>
      </c>
      <c r="U105" s="4">
        <v>0.06</v>
      </c>
      <c r="V105" s="4">
        <v>0.54</v>
      </c>
      <c r="W105" s="4">
        <v>0.95499999999999996</v>
      </c>
      <c r="X105" s="4">
        <v>6.8000000000000005E-2</v>
      </c>
      <c r="Y105" s="4">
        <v>0.03</v>
      </c>
      <c r="Z105" s="4">
        <v>0.72</v>
      </c>
      <c r="AA105" s="5">
        <f>(V105-N105)/N105</f>
        <v>0.12500000000000011</v>
      </c>
      <c r="AB105" s="5">
        <f>(W105-O105)/O105</f>
        <v>6.5848214285714218E-2</v>
      </c>
      <c r="AC105" s="5">
        <f>(X105-P105)/P105</f>
        <v>-0.34615384615384609</v>
      </c>
      <c r="AD105" s="5">
        <f>(Y105-Q105)/Q105</f>
        <v>-0.5</v>
      </c>
      <c r="AE105" s="4">
        <v>0.6</v>
      </c>
      <c r="AF105" s="4">
        <v>0.93700000000000006</v>
      </c>
      <c r="AG105" s="4">
        <v>9.0999999999999998E-2</v>
      </c>
      <c r="AH105" s="4">
        <v>0.03</v>
      </c>
      <c r="AI105" s="4">
        <v>0.74</v>
      </c>
      <c r="AJ105" s="5">
        <f>(AE105-R105)/R105</f>
        <v>0.11111111111111099</v>
      </c>
      <c r="AK105" s="5">
        <f>(AF105-S105)/S105</f>
        <v>7.0857142857142924E-2</v>
      </c>
      <c r="AL105" s="5">
        <f>(AG105-T105)/T105</f>
        <v>-0.29457364341085274</v>
      </c>
      <c r="AM105" s="5">
        <f>(AH105-U105)/U105</f>
        <v>-0.5</v>
      </c>
      <c r="AN105" s="4">
        <v>0.53300000000000003</v>
      </c>
      <c r="AO105" s="4">
        <v>0.96099999999999997</v>
      </c>
      <c r="AP105" s="4">
        <v>0.127</v>
      </c>
      <c r="AQ105" s="4">
        <v>4.7E-2</v>
      </c>
      <c r="AR105" s="4">
        <v>0.49</v>
      </c>
      <c r="AS105" s="4">
        <v>0.91300000000000003</v>
      </c>
      <c r="AT105" s="4">
        <v>7.9000000000000001E-2</v>
      </c>
      <c r="AU105" s="4">
        <v>4.3999999999999997E-2</v>
      </c>
      <c r="AV105" s="4">
        <v>0.57699999999999996</v>
      </c>
      <c r="AW105" s="4">
        <v>0.98399999999999999</v>
      </c>
      <c r="AX105" s="4">
        <v>8.1000000000000003E-2</v>
      </c>
      <c r="AY105" s="4">
        <v>3.3000000000000002E-2</v>
      </c>
      <c r="AZ105" s="4">
        <v>0.878</v>
      </c>
      <c r="BA105" s="6">
        <f>(AV105-AN105)/AN105</f>
        <v>8.2551594746716556E-2</v>
      </c>
      <c r="BB105" s="6">
        <f>(AW105-AO105)/AO105</f>
        <v>2.3933402705515111E-2</v>
      </c>
      <c r="BC105" s="6">
        <f>(AX105-AP105)/AP105</f>
        <v>-0.36220472440944879</v>
      </c>
      <c r="BD105" s="6">
        <f>(AY105-AQ105)/AQ105</f>
        <v>-0.2978723404255319</v>
      </c>
      <c r="BE105" s="4">
        <v>0.52100000000000002</v>
      </c>
      <c r="BF105" s="4">
        <v>0.96399999999999997</v>
      </c>
      <c r="BG105" s="4">
        <v>0.06</v>
      </c>
      <c r="BH105" s="4">
        <v>3.1E-2</v>
      </c>
      <c r="BI105" s="4">
        <v>0.86799999999999999</v>
      </c>
      <c r="BJ105" s="5">
        <f>(BE105-AN105)/AN105</f>
        <v>-2.2514071294559117E-2</v>
      </c>
      <c r="BK105" s="5">
        <f>(BF105-AO105)/AO105</f>
        <v>3.1217481789802318E-3</v>
      </c>
      <c r="BL105" s="5">
        <f>(BG105-AP105)/AP105</f>
        <v>-0.5275590551181103</v>
      </c>
      <c r="BM105" s="5">
        <f>(BH105-AQ105)/AQ105</f>
        <v>-0.34042553191489361</v>
      </c>
      <c r="BN105" s="4">
        <v>0.52800000000000002</v>
      </c>
      <c r="BO105" s="4">
        <v>0.67600000000000005</v>
      </c>
      <c r="BP105" s="4">
        <v>0.152</v>
      </c>
      <c r="BQ105" s="4">
        <v>0.314</v>
      </c>
      <c r="BR105" s="5">
        <f>(BN105-AR105)/AR105</f>
        <v>7.7551020408163335E-2</v>
      </c>
      <c r="BS105" s="5">
        <f>(BO105-AS105)/AS105</f>
        <v>-0.25958378970427159</v>
      </c>
      <c r="BT105" s="5">
        <f>(BP105-AT105)/AT105</f>
        <v>0.92405063291139233</v>
      </c>
      <c r="BU105" s="5">
        <f>(BQ105-AU105)/AU105</f>
        <v>6.1363636363636367</v>
      </c>
      <c r="BV105" s="4">
        <f>(BN105-BE105)/BE105</f>
        <v>1.3435700575815751E-2</v>
      </c>
      <c r="BW105" s="4">
        <f>(BO105-BF105)/BF105</f>
        <v>-0.29875518672199164</v>
      </c>
      <c r="BX105" s="4">
        <f>(BP105-BG105)/BG105</f>
        <v>1.5333333333333334</v>
      </c>
      <c r="BY105" s="4">
        <f>(BQ105-BH105)/BH105</f>
        <v>9.1290322580645178</v>
      </c>
      <c r="BZ105" s="4">
        <v>0.54600000000000004</v>
      </c>
      <c r="CA105" s="4">
        <v>0.94799999999999995</v>
      </c>
      <c r="CB105" s="4">
        <v>6.0999999999999999E-2</v>
      </c>
      <c r="CC105" s="4">
        <v>2.8000000000000001E-2</v>
      </c>
      <c r="CD105" s="4">
        <f>(BZ105-AR105)/AR105</f>
        <v>0.11428571428571439</v>
      </c>
      <c r="CE105" s="4">
        <f>(CA105-AS105)/AS105</f>
        <v>3.8335158817086441E-2</v>
      </c>
      <c r="CF105" s="4">
        <f>(CB105-AT105)/AT105</f>
        <v>-0.22784810126582281</v>
      </c>
      <c r="CG105" s="4">
        <f>(CC105-AU105)/AU105</f>
        <v>-0.36363636363636359</v>
      </c>
      <c r="CH105" s="4">
        <f>(BZ105-BN105)/BN105</f>
        <v>3.4090909090909116E-2</v>
      </c>
      <c r="CI105" s="4">
        <f>(CA105-BO105)/BO105</f>
        <v>0.40236686390532528</v>
      </c>
      <c r="CJ105" s="4">
        <f>(CB105-BP105)/BP105</f>
        <v>-0.59868421052631582</v>
      </c>
      <c r="CK105" s="4">
        <f>(CC105-BQ105)/BQ105</f>
        <v>-0.91082802547770692</v>
      </c>
      <c r="CL105" s="4">
        <v>0.85799999999999998</v>
      </c>
      <c r="CM105" s="4">
        <v>0.14099999999999999</v>
      </c>
      <c r="CN105" s="4">
        <f>CL105/CM105</f>
        <v>6.085106382978724</v>
      </c>
    </row>
    <row r="106" spans="1:92" x14ac:dyDescent="0.3">
      <c r="A106" s="11" t="s">
        <v>107</v>
      </c>
      <c r="B106" s="13">
        <v>2125</v>
      </c>
      <c r="C106" s="13">
        <v>10</v>
      </c>
      <c r="D106" s="13">
        <v>5</v>
      </c>
      <c r="E106" s="13">
        <v>1</v>
      </c>
      <c r="F106" s="13">
        <v>1</v>
      </c>
      <c r="G106" s="12" t="s">
        <v>43</v>
      </c>
      <c r="H106" s="4">
        <v>3.65</v>
      </c>
      <c r="I106" s="4">
        <v>0.99</v>
      </c>
      <c r="J106" s="4">
        <v>4.05</v>
      </c>
      <c r="K106" s="4">
        <v>1.1000000000000001</v>
      </c>
      <c r="L106" s="5">
        <f>(H106-I106)/(H106+I106)</f>
        <v>0.57327586206896564</v>
      </c>
      <c r="M106" s="5">
        <f>(J106-K106)/(J106+K106)</f>
        <v>0.57281553398058238</v>
      </c>
      <c r="N106" s="4">
        <v>0.36</v>
      </c>
      <c r="O106" s="4">
        <v>0.7</v>
      </c>
      <c r="P106" s="4">
        <v>0.158</v>
      </c>
      <c r="Q106" s="4">
        <v>0.12</v>
      </c>
      <c r="R106" s="4">
        <v>0.4</v>
      </c>
      <c r="S106" s="4">
        <v>0.67500000000000004</v>
      </c>
      <c r="T106" s="4">
        <v>0.184</v>
      </c>
      <c r="U106" s="4">
        <v>0.13</v>
      </c>
      <c r="V106" s="4">
        <v>0.5</v>
      </c>
      <c r="W106" s="4">
        <v>0.93200000000000005</v>
      </c>
      <c r="X106" s="4">
        <v>7.4999999999999997E-2</v>
      </c>
      <c r="Y106" s="4">
        <v>0.03</v>
      </c>
      <c r="Z106" s="4">
        <v>0.43</v>
      </c>
      <c r="AA106" s="5">
        <f>(V106-N106)/N106</f>
        <v>0.38888888888888895</v>
      </c>
      <c r="AB106" s="5">
        <f>(W106-O106)/O106</f>
        <v>0.33142857142857157</v>
      </c>
      <c r="AC106" s="5">
        <f>(X106-P106)/P106</f>
        <v>-0.52531645569620256</v>
      </c>
      <c r="AD106" s="5">
        <f>(Y106-Q106)/Q106</f>
        <v>-0.75</v>
      </c>
      <c r="AE106" s="4">
        <v>0.55000000000000004</v>
      </c>
      <c r="AF106" s="4">
        <v>0.91500000000000004</v>
      </c>
      <c r="AG106" s="4">
        <v>9.4E-2</v>
      </c>
      <c r="AH106" s="4">
        <v>0.03</v>
      </c>
      <c r="AI106" s="4">
        <v>0.43</v>
      </c>
      <c r="AJ106" s="5">
        <f>(AE106-R106)/R106</f>
        <v>0.37500000000000006</v>
      </c>
      <c r="AK106" s="5">
        <f>(AF106-S106)/S106</f>
        <v>0.35555555555555551</v>
      </c>
      <c r="AL106" s="5">
        <f>(AG106-T106)/T106</f>
        <v>-0.4891304347826087</v>
      </c>
      <c r="AM106" s="5">
        <f>(AH106-U106)/U106</f>
        <v>-0.76923076923076927</v>
      </c>
      <c r="AN106" s="4">
        <v>0.42199999999999999</v>
      </c>
      <c r="AO106" s="4">
        <v>0.72799999999999998</v>
      </c>
      <c r="AP106" s="4">
        <v>0.23599999999999999</v>
      </c>
      <c r="AQ106" s="4">
        <v>0.127</v>
      </c>
      <c r="AR106" s="4">
        <v>0.41899999999999998</v>
      </c>
      <c r="AS106" s="4">
        <v>0.65</v>
      </c>
      <c r="AT106" s="4">
        <v>0.14699999999999999</v>
      </c>
      <c r="AU106" s="4">
        <v>0.11700000000000001</v>
      </c>
      <c r="AV106" s="4">
        <v>0.57799999999999996</v>
      </c>
      <c r="AW106" s="4">
        <v>0.96599999999999997</v>
      </c>
      <c r="AX106" s="4">
        <v>8.3000000000000004E-2</v>
      </c>
      <c r="AY106" s="4">
        <v>3.4000000000000002E-2</v>
      </c>
      <c r="AZ106" s="4">
        <v>0.46800000000000003</v>
      </c>
      <c r="BA106" s="6">
        <f>(AV106-AN106)/AN106</f>
        <v>0.36966824644549756</v>
      </c>
      <c r="BB106" s="6">
        <f>(AW106-AO106)/AO106</f>
        <v>0.32692307692307693</v>
      </c>
      <c r="BC106" s="6">
        <f>(AX106-AP106)/AP106</f>
        <v>-0.64830508474576265</v>
      </c>
      <c r="BD106" s="6">
        <f>(AY106-AQ106)/AQ106</f>
        <v>-0.73228346456692917</v>
      </c>
      <c r="BE106" s="4">
        <v>0.52</v>
      </c>
      <c r="BF106" s="4">
        <v>0.95499999999999996</v>
      </c>
      <c r="BG106" s="4">
        <v>5.2999999999999999E-2</v>
      </c>
      <c r="BH106" s="4">
        <v>3.4000000000000002E-2</v>
      </c>
      <c r="BI106" s="4">
        <v>0.47299999999999998</v>
      </c>
      <c r="BJ106" s="5">
        <f>(BE106-AN106)/AN106</f>
        <v>0.23222748815165886</v>
      </c>
      <c r="BK106" s="5">
        <f>(BF106-AO106)/AO106</f>
        <v>0.31181318681318682</v>
      </c>
      <c r="BL106" s="5">
        <f>(BG106-AP106)/AP106</f>
        <v>-0.77542372881355937</v>
      </c>
      <c r="BM106" s="5">
        <f>(BH106-AQ106)/AQ106</f>
        <v>-0.73228346456692917</v>
      </c>
      <c r="BN106" s="4">
        <v>0.52400000000000002</v>
      </c>
      <c r="BO106" s="4">
        <v>0.88600000000000001</v>
      </c>
      <c r="BP106" s="4">
        <v>8.4000000000000005E-2</v>
      </c>
      <c r="BQ106" s="4">
        <v>0.153</v>
      </c>
      <c r="BR106" s="5">
        <f>(BN106-AR106)/AR106</f>
        <v>0.25059665871121728</v>
      </c>
      <c r="BS106" s="5">
        <f>(BO106-AS106)/AS106</f>
        <v>0.36307692307692302</v>
      </c>
      <c r="BT106" s="5">
        <f>(BP106-AT106)/AT106</f>
        <v>-0.42857142857142849</v>
      </c>
      <c r="BU106" s="5">
        <f>(BQ106-AU106)/AU106</f>
        <v>0.3076923076923076</v>
      </c>
      <c r="BV106" s="4">
        <f>(BN106-BE106)/BE106</f>
        <v>7.6923076923076988E-3</v>
      </c>
      <c r="BW106" s="4">
        <f>(BO106-BF106)/BF106</f>
        <v>-7.2251308900523517E-2</v>
      </c>
      <c r="BX106" s="4">
        <f>(BP106-BG106)/BG106</f>
        <v>0.58490566037735858</v>
      </c>
      <c r="BY106" s="4">
        <f>(BQ106-BH106)/BH106</f>
        <v>3.4999999999999996</v>
      </c>
      <c r="BZ106" s="4">
        <v>0.51900000000000002</v>
      </c>
      <c r="CA106" s="4">
        <v>0.97199999999999998</v>
      </c>
      <c r="CB106" s="4">
        <v>4.2000000000000003E-2</v>
      </c>
      <c r="CC106" s="4">
        <v>1.7999999999999999E-2</v>
      </c>
      <c r="CD106" s="4">
        <f>(BZ106-AR106)/AR106</f>
        <v>0.23866348448687361</v>
      </c>
      <c r="CE106" s="4">
        <f>(CA106-AS106)/AS106</f>
        <v>0.49538461538461531</v>
      </c>
      <c r="CF106" s="4">
        <f>(CB106-AT106)/AT106</f>
        <v>-0.71428571428571419</v>
      </c>
      <c r="CG106" s="4">
        <f>(CC106-AU106)/AU106</f>
        <v>-0.84615384615384615</v>
      </c>
      <c r="CH106" s="4">
        <f>(BZ106-BN106)/BN106</f>
        <v>-9.5419847328244364E-3</v>
      </c>
      <c r="CI106" s="4">
        <f>(CA106-BO106)/BO106</f>
        <v>9.7065462753950296E-2</v>
      </c>
      <c r="CJ106" s="4">
        <f>(CB106-BP106)/BP106</f>
        <v>-0.5</v>
      </c>
      <c r="CK106" s="4">
        <f>(CC106-BQ106)/BQ106</f>
        <v>-0.88235294117647067</v>
      </c>
      <c r="CL106" s="4">
        <v>0.65800000000000003</v>
      </c>
      <c r="CM106" s="4">
        <v>0.43099999999999999</v>
      </c>
      <c r="CN106" s="4">
        <f>CL106/CM106</f>
        <v>1.5266821345707657</v>
      </c>
    </row>
    <row r="107" spans="1:92" x14ac:dyDescent="0.3">
      <c r="A107" s="11" t="s">
        <v>108</v>
      </c>
      <c r="B107" s="13">
        <v>295</v>
      </c>
      <c r="C107" s="13">
        <v>11</v>
      </c>
      <c r="D107" s="13">
        <v>7</v>
      </c>
      <c r="E107" s="13">
        <v>2</v>
      </c>
      <c r="F107" s="13">
        <v>2</v>
      </c>
      <c r="G107" s="12" t="s">
        <v>9</v>
      </c>
      <c r="H107" s="4">
        <v>2.39</v>
      </c>
      <c r="I107" s="4">
        <v>0.98</v>
      </c>
      <c r="J107" s="4">
        <v>2.7</v>
      </c>
      <c r="K107" s="4">
        <v>1.07</v>
      </c>
      <c r="L107" s="5">
        <f>(H107-I107)/(H107+I107)</f>
        <v>0.41839762611275966</v>
      </c>
      <c r="M107" s="5">
        <f>(J107-K107)/(J107+K107)</f>
        <v>0.43236074270557029</v>
      </c>
      <c r="N107" s="4">
        <v>0.22</v>
      </c>
      <c r="O107" s="4">
        <v>0.55000000000000004</v>
      </c>
      <c r="P107" s="4">
        <v>0.128</v>
      </c>
      <c r="Q107" s="4">
        <v>0.11</v>
      </c>
      <c r="R107" s="4">
        <v>0.25</v>
      </c>
      <c r="S107" s="4">
        <v>0.52200000000000002</v>
      </c>
      <c r="T107" s="4">
        <v>0.15</v>
      </c>
      <c r="U107" s="4">
        <v>0.13</v>
      </c>
      <c r="V107" s="4">
        <v>0.33</v>
      </c>
      <c r="W107" s="4">
        <v>0.83099999999999996</v>
      </c>
      <c r="X107" s="4">
        <v>7.8E-2</v>
      </c>
      <c r="Y107" s="4">
        <v>0.05</v>
      </c>
      <c r="Z107" s="4">
        <v>0.15</v>
      </c>
      <c r="AA107" s="5">
        <f>(V107-N107)/N107</f>
        <v>0.50000000000000011</v>
      </c>
      <c r="AB107" s="5">
        <f>(W107-O107)/O107</f>
        <v>0.51090909090909076</v>
      </c>
      <c r="AC107" s="5">
        <f>(X107-P107)/P107</f>
        <v>-0.390625</v>
      </c>
      <c r="AD107" s="5">
        <f>(Y107-Q107)/Q107</f>
        <v>-0.54545454545454541</v>
      </c>
      <c r="AE107" s="4">
        <v>0.38</v>
      </c>
      <c r="AF107" s="4">
        <v>0.77200000000000002</v>
      </c>
      <c r="AG107" s="4">
        <v>0.10299999999999999</v>
      </c>
      <c r="AH107" s="4">
        <v>0.05</v>
      </c>
      <c r="AI107" s="4">
        <v>0.14000000000000001</v>
      </c>
      <c r="AJ107" s="5">
        <f>(AE107-R107)/R107</f>
        <v>0.52</v>
      </c>
      <c r="AK107" s="5">
        <f>(AF107-S107)/S107</f>
        <v>0.47892720306513409</v>
      </c>
      <c r="AL107" s="5">
        <f>(AG107-T107)/T107</f>
        <v>-0.31333333333333335</v>
      </c>
      <c r="AM107" s="5">
        <f>(AH107-U107)/U107</f>
        <v>-0.61538461538461542</v>
      </c>
      <c r="AN107" s="7">
        <v>0.27100000000000002</v>
      </c>
      <c r="AO107" s="7">
        <v>0.66500000000000004</v>
      </c>
      <c r="AP107" s="7">
        <v>0.16300000000000001</v>
      </c>
      <c r="AQ107" s="7">
        <v>0.11600000000000001</v>
      </c>
      <c r="AR107" s="4">
        <v>0.20200000000000001</v>
      </c>
      <c r="AS107" s="4">
        <v>0.53400000000000003</v>
      </c>
      <c r="AT107" s="4">
        <v>0.12</v>
      </c>
      <c r="AU107" s="4">
        <v>0.106</v>
      </c>
      <c r="AV107" s="7">
        <v>0.29099999999999998</v>
      </c>
      <c r="AW107" s="7">
        <v>0.66100000000000003</v>
      </c>
      <c r="AX107" s="7">
        <v>0.14699999999999999</v>
      </c>
      <c r="AY107" s="7">
        <v>0.10299999999999999</v>
      </c>
      <c r="AZ107" s="7">
        <v>0.52700000000000002</v>
      </c>
      <c r="BA107" s="8">
        <f>(AV107-AN107)/AN107</f>
        <v>7.3800738007379935E-2</v>
      </c>
      <c r="BB107" s="8">
        <f>(AW107-AO107)/AO107</f>
        <v>-6.0150375939849671E-3</v>
      </c>
      <c r="BC107" s="8">
        <f>(AX107-AP107)/AP107</f>
        <v>-9.8159509202454073E-2</v>
      </c>
      <c r="BD107" s="8">
        <f>(AY107-AQ107)/AQ107</f>
        <v>-0.11206896551724148</v>
      </c>
      <c r="BE107" s="4">
        <v>0.26100000000000001</v>
      </c>
      <c r="BF107" s="4">
        <v>0.64</v>
      </c>
      <c r="BG107" s="4">
        <v>0.106</v>
      </c>
      <c r="BH107" s="4">
        <v>9.8000000000000004E-2</v>
      </c>
      <c r="BI107" s="4">
        <v>0.46400000000000002</v>
      </c>
      <c r="BJ107" s="5">
        <f>(BE107-AN107)/AN107</f>
        <v>-3.6900369003690064E-2</v>
      </c>
      <c r="BK107" s="5">
        <f>(BF107-AO107)/AO107</f>
        <v>-3.7593984962406048E-2</v>
      </c>
      <c r="BL107" s="5">
        <f>(BG107-AP107)/AP107</f>
        <v>-0.34969325153374237</v>
      </c>
      <c r="BM107" s="5">
        <f>(BH107-AQ107)/AQ107</f>
        <v>-0.15517241379310345</v>
      </c>
      <c r="BN107" s="4">
        <v>0.26500000000000001</v>
      </c>
      <c r="BO107" s="4">
        <v>0.60499999999999998</v>
      </c>
      <c r="BP107" s="4">
        <v>0.111</v>
      </c>
      <c r="BQ107" s="4">
        <v>0.13</v>
      </c>
      <c r="BR107" s="5">
        <f>(BN107-AR107)/AR107</f>
        <v>0.31188118811881188</v>
      </c>
      <c r="BS107" s="5">
        <f>(BO107-AS107)/AS107</f>
        <v>0.13295880149812725</v>
      </c>
      <c r="BT107" s="5">
        <f>(BP107-AT107)/AT107</f>
        <v>-7.4999999999999956E-2</v>
      </c>
      <c r="BU107" s="5">
        <f>(BQ107-AU107)/AU107</f>
        <v>0.22641509433962273</v>
      </c>
      <c r="BV107" s="4">
        <f>(BN107-BE107)/BE107</f>
        <v>1.5325670498084304E-2</v>
      </c>
      <c r="BW107" s="4">
        <f>(BO107-BF107)/BF107</f>
        <v>-5.4687500000000049E-2</v>
      </c>
      <c r="BX107" s="4">
        <f>(BP107-BG107)/BG107</f>
        <v>4.7169811320754762E-2</v>
      </c>
      <c r="BY107" s="4">
        <f>(BQ107-BH107)/BH107</f>
        <v>0.32653061224489793</v>
      </c>
      <c r="BZ107" s="7">
        <v>0.28999999999999998</v>
      </c>
      <c r="CA107" s="7">
        <v>0.86399999999999999</v>
      </c>
      <c r="CB107" s="7">
        <v>6.5000000000000002E-2</v>
      </c>
      <c r="CC107" s="7">
        <v>5.6000000000000001E-2</v>
      </c>
      <c r="CD107" s="7">
        <f>(BZ107-AR107)/AR107</f>
        <v>0.43564356435643548</v>
      </c>
      <c r="CE107" s="7">
        <f>(CA107-AS107)/AS107</f>
        <v>0.61797752808988748</v>
      </c>
      <c r="CF107" s="7">
        <f>(CB107-AT107)/AT107</f>
        <v>-0.45833333333333331</v>
      </c>
      <c r="CG107" s="7">
        <f>(CC107-AU107)/AU107</f>
        <v>-0.47169811320754712</v>
      </c>
      <c r="CH107" s="4">
        <f>(BZ107-BN107)/BN107</f>
        <v>9.4339622641509302E-2</v>
      </c>
      <c r="CI107" s="4">
        <f>(CA107-BO107)/BO107</f>
        <v>0.42809917355371901</v>
      </c>
      <c r="CJ107" s="4">
        <f>(CB107-BP107)/BP107</f>
        <v>-0.4144144144144144</v>
      </c>
      <c r="CK107" s="4">
        <f>(CC107-BQ107)/BQ107</f>
        <v>-0.56923076923076932</v>
      </c>
      <c r="CL107" s="7">
        <v>0.29299999999999998</v>
      </c>
      <c r="CM107" s="7">
        <v>0.67400000000000004</v>
      </c>
      <c r="CN107" s="7">
        <f>CL107/CM107</f>
        <v>0.43471810089020768</v>
      </c>
    </row>
    <row r="108" spans="1:92" x14ac:dyDescent="0.3">
      <c r="A108" s="11" t="s">
        <v>109</v>
      </c>
      <c r="B108" s="13">
        <v>463</v>
      </c>
      <c r="C108" s="13">
        <v>11</v>
      </c>
      <c r="D108" s="13">
        <v>7</v>
      </c>
      <c r="E108" s="13">
        <v>2</v>
      </c>
      <c r="F108" s="13">
        <v>2</v>
      </c>
      <c r="G108" s="12" t="s">
        <v>9</v>
      </c>
      <c r="H108" s="4">
        <v>2.0499999999999998</v>
      </c>
      <c r="I108" s="4">
        <v>1.05</v>
      </c>
      <c r="J108" s="4">
        <v>2.91</v>
      </c>
      <c r="K108" s="4">
        <v>1.31</v>
      </c>
      <c r="L108" s="5">
        <f>(H108-I108)/(H108+I108)</f>
        <v>0.32258064516129031</v>
      </c>
      <c r="M108" s="5">
        <f>(J108-K108)/(J108+K108)</f>
        <v>0.37914691943127959</v>
      </c>
      <c r="N108" s="4">
        <v>0.19</v>
      </c>
      <c r="O108" s="4">
        <v>0.50800000000000001</v>
      </c>
      <c r="P108" s="4">
        <v>0.122</v>
      </c>
      <c r="Q108" s="4">
        <v>0.11</v>
      </c>
      <c r="R108" s="4">
        <v>0.26</v>
      </c>
      <c r="S108" s="4">
        <v>0.50700000000000001</v>
      </c>
      <c r="T108" s="4">
        <v>0.16800000000000001</v>
      </c>
      <c r="U108" s="4">
        <v>0.14000000000000001</v>
      </c>
      <c r="V108" s="4">
        <v>0.3</v>
      </c>
      <c r="W108" s="4">
        <v>0.89800000000000002</v>
      </c>
      <c r="X108" s="4">
        <v>5.5E-2</v>
      </c>
      <c r="Y108" s="4">
        <v>0.04</v>
      </c>
      <c r="Z108" s="4">
        <v>0.28000000000000003</v>
      </c>
      <c r="AA108" s="5">
        <f>(V108-N108)/N108</f>
        <v>0.57894736842105254</v>
      </c>
      <c r="AB108" s="5">
        <f>(W108-O108)/O108</f>
        <v>0.76771653543307083</v>
      </c>
      <c r="AC108" s="5">
        <f>(X108-P108)/P108</f>
        <v>-0.54918032786885251</v>
      </c>
      <c r="AD108" s="5">
        <f>(Y108-Q108)/Q108</f>
        <v>-0.63636363636363646</v>
      </c>
      <c r="AE108" s="4">
        <v>0.41</v>
      </c>
      <c r="AF108" s="4">
        <v>0.83099999999999996</v>
      </c>
      <c r="AG108" s="4">
        <v>9.8000000000000004E-2</v>
      </c>
      <c r="AH108" s="4">
        <v>0.05</v>
      </c>
      <c r="AI108" s="4">
        <v>0.28000000000000003</v>
      </c>
      <c r="AJ108" s="5">
        <f>(AE108-R108)/R108</f>
        <v>0.57692307692307676</v>
      </c>
      <c r="AK108" s="5">
        <f>(AF108-S108)/S108</f>
        <v>0.63905325443786976</v>
      </c>
      <c r="AL108" s="5">
        <f>(AG108-T108)/T108</f>
        <v>-0.41666666666666669</v>
      </c>
      <c r="AM108" s="5">
        <f>(AH108-U108)/U108</f>
        <v>-0.6428571428571429</v>
      </c>
      <c r="AN108" s="4">
        <v>0.311</v>
      </c>
      <c r="AO108" s="4">
        <v>0.61499999999999999</v>
      </c>
      <c r="AP108" s="4">
        <v>0.16600000000000001</v>
      </c>
      <c r="AQ108" s="4">
        <v>0.14199999999999999</v>
      </c>
      <c r="AR108" s="4">
        <v>0.17399999999999999</v>
      </c>
      <c r="AS108" s="4">
        <v>0.49399999999999999</v>
      </c>
      <c r="AT108" s="4">
        <v>0.108</v>
      </c>
      <c r="AU108" s="4">
        <v>0.105</v>
      </c>
      <c r="AV108" s="4">
        <v>0.39700000000000002</v>
      </c>
      <c r="AW108" s="4">
        <v>0.89300000000000002</v>
      </c>
      <c r="AX108" s="4">
        <v>8.7999999999999995E-2</v>
      </c>
      <c r="AY108" s="4">
        <v>7.6999999999999999E-2</v>
      </c>
      <c r="AZ108" s="4">
        <v>0.34200000000000003</v>
      </c>
      <c r="BA108" s="6">
        <f>(AV108-AN108)/AN108</f>
        <v>0.27652733118971068</v>
      </c>
      <c r="BB108" s="6">
        <f>(AW108-AO108)/AO108</f>
        <v>0.4520325203252033</v>
      </c>
      <c r="BC108" s="6">
        <f>(AX108-AP108)/AP108</f>
        <v>-0.46987951807228923</v>
      </c>
      <c r="BD108" s="6">
        <f>(AY108-AQ108)/AQ108</f>
        <v>-0.45774647887323938</v>
      </c>
      <c r="BE108" s="4">
        <v>0.27</v>
      </c>
      <c r="BF108" s="4">
        <v>0.81499999999999995</v>
      </c>
      <c r="BG108" s="4">
        <v>6.6000000000000003E-2</v>
      </c>
      <c r="BH108" s="4">
        <v>5.8999999999999997E-2</v>
      </c>
      <c r="BI108" s="4">
        <v>0.34799999999999998</v>
      </c>
      <c r="BJ108" s="5">
        <f>(BE108-AN108)/AN108</f>
        <v>-0.13183279742765266</v>
      </c>
      <c r="BK108" s="5">
        <f>(BF108-AO108)/AO108</f>
        <v>0.32520325203252026</v>
      </c>
      <c r="BL108" s="5">
        <f>(BG108-AP108)/AP108</f>
        <v>-0.60240963855421692</v>
      </c>
      <c r="BM108" s="5">
        <f>(BH108-AQ108)/AQ108</f>
        <v>-0.58450704225352113</v>
      </c>
      <c r="BN108" s="4">
        <v>0.27500000000000002</v>
      </c>
      <c r="BO108" s="4">
        <v>0.76600000000000001</v>
      </c>
      <c r="BP108" s="4">
        <v>7.3999999999999996E-2</v>
      </c>
      <c r="BQ108" s="4">
        <v>8.5999999999999993E-2</v>
      </c>
      <c r="BR108" s="5">
        <f>(BN108-AR108)/AR108</f>
        <v>0.58045977011494276</v>
      </c>
      <c r="BS108" s="5">
        <f>(BO108-AS108)/AS108</f>
        <v>0.5506072874493928</v>
      </c>
      <c r="BT108" s="5">
        <f>(BP108-AT108)/AT108</f>
        <v>-0.31481481481481483</v>
      </c>
      <c r="BU108" s="5">
        <f>(BQ108-AU108)/AU108</f>
        <v>-0.18095238095238098</v>
      </c>
      <c r="BV108" s="4">
        <f>(BN108-BE108)/BE108</f>
        <v>1.8518518518518535E-2</v>
      </c>
      <c r="BW108" s="4">
        <f>(BO108-BF108)/BF108</f>
        <v>-6.0122699386502991E-2</v>
      </c>
      <c r="BX108" s="4">
        <f>(BP108-BG108)/BG108</f>
        <v>0.1212121212121211</v>
      </c>
      <c r="BY108" s="4">
        <f>(BQ108-BH108)/BH108</f>
        <v>0.45762711864406774</v>
      </c>
      <c r="BZ108" s="4">
        <v>0.29299999999999998</v>
      </c>
      <c r="CA108" s="4">
        <v>0.93100000000000005</v>
      </c>
      <c r="CB108" s="4">
        <v>0.04</v>
      </c>
      <c r="CC108" s="4">
        <v>3.4000000000000002E-2</v>
      </c>
      <c r="CD108" s="4">
        <f>(BZ108-AR108)/AR108</f>
        <v>0.68390804597701149</v>
      </c>
      <c r="CE108" s="4">
        <f>(CA108-AS108)/AS108</f>
        <v>0.88461538461538469</v>
      </c>
      <c r="CF108" s="4">
        <f>(CB108-AT108)/AT108</f>
        <v>-0.62962962962962965</v>
      </c>
      <c r="CG108" s="4">
        <f>(CC108-AU108)/AU108</f>
        <v>-0.67619047619047612</v>
      </c>
      <c r="CH108" s="4">
        <f>(BZ108-BN108)/BN108</f>
        <v>6.5454545454545307E-2</v>
      </c>
      <c r="CI108" s="4">
        <f>(CA108-BO108)/BO108</f>
        <v>0.21540469973890344</v>
      </c>
      <c r="CJ108" s="4">
        <f>(CB108-BP108)/BP108</f>
        <v>-0.45945945945945943</v>
      </c>
      <c r="CK108" s="4">
        <f>(CC108-BQ108)/BQ108</f>
        <v>-0.60465116279069764</v>
      </c>
      <c r="CL108" s="4">
        <v>0.42899999999999999</v>
      </c>
      <c r="CM108" s="4">
        <v>0.6</v>
      </c>
      <c r="CN108" s="4">
        <f>CL108/CM108</f>
        <v>0.71499999999999997</v>
      </c>
    </row>
    <row r="109" spans="1:92" x14ac:dyDescent="0.3">
      <c r="A109" s="11" t="s">
        <v>110</v>
      </c>
      <c r="B109" s="13">
        <v>216</v>
      </c>
      <c r="C109" s="13">
        <v>11</v>
      </c>
      <c r="D109" s="13">
        <v>7</v>
      </c>
      <c r="E109" s="13">
        <v>2</v>
      </c>
      <c r="F109" s="13">
        <v>2</v>
      </c>
      <c r="G109" s="12" t="s">
        <v>9</v>
      </c>
      <c r="H109" s="4">
        <v>1.94</v>
      </c>
      <c r="I109" s="4">
        <v>0.86</v>
      </c>
      <c r="J109" s="4">
        <v>2.35</v>
      </c>
      <c r="K109" s="4">
        <v>0.91</v>
      </c>
      <c r="L109" s="5">
        <f>(H109-I109)/(H109+I109)</f>
        <v>0.38571428571428579</v>
      </c>
      <c r="M109" s="5">
        <f>(J109-K109)/(J109+K109)</f>
        <v>0.44171779141104289</v>
      </c>
      <c r="N109" s="4">
        <v>0.18</v>
      </c>
      <c r="O109" s="4">
        <v>0.19800000000000001</v>
      </c>
      <c r="P109" s="4">
        <v>0.11600000000000001</v>
      </c>
      <c r="Q109" s="4">
        <v>0.11</v>
      </c>
      <c r="R109" s="4">
        <v>0.21</v>
      </c>
      <c r="S109" s="4">
        <v>0.52700000000000002</v>
      </c>
      <c r="T109" s="4">
        <v>0.13100000000000001</v>
      </c>
      <c r="U109" s="4">
        <v>0.12</v>
      </c>
      <c r="V109" s="4">
        <v>0.28000000000000003</v>
      </c>
      <c r="W109" s="4">
        <v>0.753</v>
      </c>
      <c r="X109" s="4">
        <v>8.1000000000000003E-2</v>
      </c>
      <c r="Y109" s="4">
        <v>0.06</v>
      </c>
      <c r="Z109" s="4">
        <v>0.11</v>
      </c>
      <c r="AA109" s="5">
        <f>(V109-N109)/N109</f>
        <v>0.5555555555555558</v>
      </c>
      <c r="AB109" s="5">
        <f>(W109-O109)/O109</f>
        <v>2.8030303030303028</v>
      </c>
      <c r="AC109" s="5">
        <f>(X109-P109)/P109</f>
        <v>-0.30172413793103448</v>
      </c>
      <c r="AD109" s="5">
        <f>(Y109-Q109)/Q109</f>
        <v>-0.45454545454545459</v>
      </c>
      <c r="AE109" s="4">
        <v>0.32</v>
      </c>
      <c r="AF109" s="4">
        <v>0.72299999999999998</v>
      </c>
      <c r="AG109" s="4">
        <v>0.01</v>
      </c>
      <c r="AH109" s="4">
        <v>0.06</v>
      </c>
      <c r="AI109" s="4">
        <v>0.11</v>
      </c>
      <c r="AJ109" s="5">
        <f>(AE109-R109)/R109</f>
        <v>0.52380952380952395</v>
      </c>
      <c r="AK109" s="5">
        <f>(AF109-S109)/S109</f>
        <v>0.37191650853889935</v>
      </c>
      <c r="AL109" s="5">
        <f>(AG109-T109)/T109</f>
        <v>-0.92366412213740468</v>
      </c>
      <c r="AM109" s="5">
        <f>(AH109-U109)/U109</f>
        <v>-0.5</v>
      </c>
      <c r="AN109" s="4">
        <v>0.26700000000000002</v>
      </c>
      <c r="AO109" s="4">
        <v>0.73699999999999999</v>
      </c>
      <c r="AP109" s="4">
        <v>0.13100000000000001</v>
      </c>
      <c r="AQ109" s="4">
        <v>0.107</v>
      </c>
      <c r="AR109" s="4">
        <v>0.23300000000000001</v>
      </c>
      <c r="AS109" s="4">
        <v>0.45900000000000002</v>
      </c>
      <c r="AT109" s="4">
        <v>0.115</v>
      </c>
      <c r="AU109" s="4">
        <v>0.1</v>
      </c>
      <c r="AV109" s="4">
        <v>0.33900000000000002</v>
      </c>
      <c r="AW109" s="4">
        <v>0.77</v>
      </c>
      <c r="AX109" s="4">
        <v>0.10100000000000001</v>
      </c>
      <c r="AY109" s="4">
        <v>8.5999999999999993E-2</v>
      </c>
      <c r="AZ109" s="4">
        <v>0.35199999999999998</v>
      </c>
      <c r="BA109" s="6">
        <f>(AV109-AN109)/AN109</f>
        <v>0.2696629213483146</v>
      </c>
      <c r="BB109" s="6">
        <f>(AW109-AO109)/AO109</f>
        <v>4.4776119402985114E-2</v>
      </c>
      <c r="BC109" s="6">
        <f>(AX109-AP109)/AP109</f>
        <v>-0.22900763358778625</v>
      </c>
      <c r="BD109" s="6">
        <f>(AY109-AQ109)/AQ109</f>
        <v>-0.1962616822429907</v>
      </c>
      <c r="BE109" s="4">
        <v>0.26400000000000001</v>
      </c>
      <c r="BF109" s="4">
        <v>0.68300000000000005</v>
      </c>
      <c r="BG109" s="4">
        <v>8.7999999999999995E-2</v>
      </c>
      <c r="BH109" s="4">
        <v>7.9000000000000001E-2</v>
      </c>
      <c r="BI109" s="4">
        <v>0.32400000000000001</v>
      </c>
      <c r="BJ109" s="5">
        <f>(BE109-AN109)/AN109</f>
        <v>-1.1235955056179785E-2</v>
      </c>
      <c r="BK109" s="5">
        <f>(BF109-AO109)/AO109</f>
        <v>-7.3270013568520947E-2</v>
      </c>
      <c r="BL109" s="5">
        <f>(BG109-AP109)/AP109</f>
        <v>-0.32824427480916035</v>
      </c>
      <c r="BM109" s="5">
        <f>(BH109-AQ109)/AQ109</f>
        <v>-0.26168224299065418</v>
      </c>
      <c r="BN109" s="4">
        <v>0.28100000000000003</v>
      </c>
      <c r="BO109" s="4">
        <v>0.65500000000000003</v>
      </c>
      <c r="BP109" s="4">
        <v>9.1999999999999998E-2</v>
      </c>
      <c r="BQ109" s="4">
        <v>9.5000000000000001E-2</v>
      </c>
      <c r="BR109" s="5">
        <f>(BN109-AR109)/AR109</f>
        <v>0.20600858369098718</v>
      </c>
      <c r="BS109" s="5">
        <f>(BO109-AS109)/AS109</f>
        <v>0.42701525054466233</v>
      </c>
      <c r="BT109" s="5">
        <f>(BP109-AT109)/AT109</f>
        <v>-0.20000000000000004</v>
      </c>
      <c r="BU109" s="5">
        <f>(BQ109-AU109)/AU109</f>
        <v>-5.0000000000000044E-2</v>
      </c>
      <c r="BV109" s="4">
        <f>(BN109-BE109)/BE109</f>
        <v>6.4393939393939448E-2</v>
      </c>
      <c r="BW109" s="4">
        <f>(BO109-BF109)/BF109</f>
        <v>-4.0995607613470021E-2</v>
      </c>
      <c r="BX109" s="4">
        <f>(BP109-BG109)/BG109</f>
        <v>4.5454545454545497E-2</v>
      </c>
      <c r="BY109" s="4">
        <f>(BQ109-BH109)/BH109</f>
        <v>0.20253164556962025</v>
      </c>
      <c r="BZ109" s="7">
        <v>0.28799999999999998</v>
      </c>
      <c r="CA109" s="7">
        <v>0.79300000000000004</v>
      </c>
      <c r="CB109" s="7">
        <v>7.0999999999999994E-2</v>
      </c>
      <c r="CC109" s="7">
        <v>7.0000000000000007E-2</v>
      </c>
      <c r="CD109" s="7">
        <f>(BZ109-AR109)/AR109</f>
        <v>0.23605150214592258</v>
      </c>
      <c r="CE109" s="7">
        <f>(CA109-AS109)/AS109</f>
        <v>0.72766884531590414</v>
      </c>
      <c r="CF109" s="7">
        <f>(CB109-AT109)/AT109</f>
        <v>-0.38260869565217398</v>
      </c>
      <c r="CG109" s="7">
        <f>(CC109-AU109)/AU109</f>
        <v>-0.3</v>
      </c>
      <c r="CH109" s="4">
        <f>(BZ109-BN109)/BN109</f>
        <v>2.4911032028469574E-2</v>
      </c>
      <c r="CI109" s="4">
        <f>(CA109-BO109)/BO109</f>
        <v>0.21068702290076335</v>
      </c>
      <c r="CJ109" s="4">
        <f>(CB109-BP109)/BP109</f>
        <v>-0.22826086956521743</v>
      </c>
      <c r="CK109" s="4">
        <f>(CC109-BQ109)/BQ109</f>
        <v>-0.26315789473684204</v>
      </c>
      <c r="CL109" s="7">
        <v>3.0000000000000001E-3</v>
      </c>
      <c r="CM109" s="7">
        <v>0.97</v>
      </c>
      <c r="CN109" s="7">
        <f>CL109/CM109</f>
        <v>3.0927835051546395E-3</v>
      </c>
    </row>
    <row r="110" spans="1:92" x14ac:dyDescent="0.3">
      <c r="A110" s="11" t="s">
        <v>111</v>
      </c>
      <c r="B110" s="13">
        <v>380</v>
      </c>
      <c r="C110" s="13">
        <v>11</v>
      </c>
      <c r="D110" s="13">
        <v>7</v>
      </c>
      <c r="E110" s="13">
        <v>2</v>
      </c>
      <c r="F110" s="13">
        <v>2</v>
      </c>
      <c r="G110" s="12" t="s">
        <v>9</v>
      </c>
      <c r="H110" s="4">
        <v>1.98</v>
      </c>
      <c r="I110" s="4">
        <v>0.93</v>
      </c>
      <c r="J110" s="4">
        <v>2.44</v>
      </c>
      <c r="K110" s="4">
        <v>1.23</v>
      </c>
      <c r="L110" s="5">
        <f>(H110-I110)/(H110+I110)</f>
        <v>0.36082474226804118</v>
      </c>
      <c r="M110" s="5">
        <f>(J110-K110)/(J110+K110)</f>
        <v>0.32970027247956402</v>
      </c>
      <c r="N110" s="4">
        <v>0.18</v>
      </c>
      <c r="O110" s="4">
        <v>0.51700000000000002</v>
      </c>
      <c r="P110" s="4">
        <v>0.11700000000000001</v>
      </c>
      <c r="Q110" s="4">
        <v>0.11</v>
      </c>
      <c r="R110" s="4">
        <v>0.22</v>
      </c>
      <c r="S110" s="4">
        <v>0.438</v>
      </c>
      <c r="T110" s="4">
        <v>0.158</v>
      </c>
      <c r="U110" s="4">
        <v>0.14000000000000001</v>
      </c>
      <c r="V110" s="4">
        <v>0.28999999999999998</v>
      </c>
      <c r="W110" s="4">
        <v>0.81399999999999995</v>
      </c>
      <c r="X110" s="4">
        <v>7.1999999999999995E-2</v>
      </c>
      <c r="Y110" s="4">
        <v>0.05</v>
      </c>
      <c r="Z110" s="4">
        <v>0.2</v>
      </c>
      <c r="AA110" s="5">
        <f>(V110-N110)/N110</f>
        <v>0.61111111111111105</v>
      </c>
      <c r="AB110" s="5">
        <f>(W110-O110)/O110</f>
        <v>0.57446808510638281</v>
      </c>
      <c r="AC110" s="5">
        <f>(X110-P110)/P110</f>
        <v>-0.38461538461538469</v>
      </c>
      <c r="AD110" s="5">
        <f>(Y110-Q110)/Q110</f>
        <v>-0.54545454545454541</v>
      </c>
      <c r="AE110" s="4">
        <v>0.36</v>
      </c>
      <c r="AF110" s="4">
        <v>0.77200000000000002</v>
      </c>
      <c r="AG110" s="4">
        <v>0.01</v>
      </c>
      <c r="AH110" s="4">
        <v>0.06</v>
      </c>
      <c r="AI110" s="4">
        <v>0.2</v>
      </c>
      <c r="AJ110" s="5">
        <f>(AE110-R110)/R110</f>
        <v>0.63636363636363624</v>
      </c>
      <c r="AK110" s="5">
        <f>(AF110-S110)/S110</f>
        <v>0.76255707762557079</v>
      </c>
      <c r="AL110" s="5">
        <f>(AG110-T110)/T110</f>
        <v>-0.93670886075949367</v>
      </c>
      <c r="AM110" s="5">
        <f>(AH110-U110)/U110</f>
        <v>-0.57142857142857151</v>
      </c>
      <c r="AN110" s="4">
        <v>0.23599999999999999</v>
      </c>
      <c r="AO110" s="4">
        <v>0.49399999999999999</v>
      </c>
      <c r="AP110" s="4">
        <v>0.16400000000000001</v>
      </c>
      <c r="AQ110" s="4">
        <v>0.129</v>
      </c>
      <c r="AR110" s="4">
        <v>0.14199999999999999</v>
      </c>
      <c r="AS110" s="4">
        <v>0.46800000000000003</v>
      </c>
      <c r="AT110" s="4">
        <v>0.112</v>
      </c>
      <c r="AU110" s="4">
        <v>0.10199999999999999</v>
      </c>
      <c r="AV110" s="4">
        <v>0.3</v>
      </c>
      <c r="AW110" s="4">
        <v>0.72899999999999998</v>
      </c>
      <c r="AX110" s="4">
        <v>0.12</v>
      </c>
      <c r="AY110" s="4">
        <v>9.9000000000000005E-2</v>
      </c>
      <c r="AZ110" s="4">
        <v>0.432</v>
      </c>
      <c r="BA110" s="6">
        <f>(AV110-AN110)/AN110</f>
        <v>0.2711864406779661</v>
      </c>
      <c r="BB110" s="6">
        <f>(AW110-AO110)/AO110</f>
        <v>0.47570850202429149</v>
      </c>
      <c r="BC110" s="6">
        <f>(AX110-AP110)/AP110</f>
        <v>-0.26829268292682934</v>
      </c>
      <c r="BD110" s="6">
        <f>(AY110-AQ110)/AQ110</f>
        <v>-0.23255813953488372</v>
      </c>
      <c r="BE110" s="4">
        <v>0.22800000000000001</v>
      </c>
      <c r="BF110" s="4">
        <v>0.66100000000000003</v>
      </c>
      <c r="BG110" s="4">
        <v>0.09</v>
      </c>
      <c r="BH110" s="4">
        <v>8.5000000000000006E-2</v>
      </c>
      <c r="BI110" s="4">
        <v>0.41199999999999998</v>
      </c>
      <c r="BJ110" s="5">
        <f>(BE110-AN110)/AN110</f>
        <v>-3.3898305084745679E-2</v>
      </c>
      <c r="BK110" s="5">
        <f>(BF110-AO110)/AO110</f>
        <v>0.3380566801619434</v>
      </c>
      <c r="BL110" s="5">
        <f>(BG110-AP110)/AP110</f>
        <v>-0.45121951219512202</v>
      </c>
      <c r="BM110" s="5">
        <f>(BH110-AQ110)/AQ110</f>
        <v>-0.34108527131782945</v>
      </c>
      <c r="BN110" s="4">
        <v>0.24</v>
      </c>
      <c r="BO110" s="4">
        <v>0.626</v>
      </c>
      <c r="BP110" s="4">
        <v>9.4E-2</v>
      </c>
      <c r="BQ110" s="4">
        <v>0.108</v>
      </c>
      <c r="BR110" s="5">
        <f>(BN110-AR110)/AR110</f>
        <v>0.69014084507042261</v>
      </c>
      <c r="BS110" s="5">
        <f>(BO110-AS110)/AS110</f>
        <v>0.33760683760683752</v>
      </c>
      <c r="BT110" s="5">
        <f>(BP110-AT110)/AT110</f>
        <v>-0.16071428571428573</v>
      </c>
      <c r="BU110" s="5">
        <f>(BQ110-AU110)/AU110</f>
        <v>5.8823529411764761E-2</v>
      </c>
      <c r="BV110" s="4">
        <f>(BN110-BE110)/BE110</f>
        <v>5.2631578947368342E-2</v>
      </c>
      <c r="BW110" s="4">
        <f>(BO110-BF110)/BF110</f>
        <v>-5.295007564296525E-2</v>
      </c>
      <c r="BX110" s="4">
        <f>(BP110-BG110)/BG110</f>
        <v>4.4444444444444488E-2</v>
      </c>
      <c r="BY110" s="4">
        <f>(BQ110-BH110)/BH110</f>
        <v>0.27058823529411752</v>
      </c>
      <c r="BZ110" s="4">
        <v>0.30399999999999999</v>
      </c>
      <c r="CA110" s="4">
        <v>0.95099999999999996</v>
      </c>
      <c r="CB110" s="4">
        <v>3.4000000000000002E-2</v>
      </c>
      <c r="CC110" s="4">
        <v>3.9E-2</v>
      </c>
      <c r="CD110" s="4">
        <f>(BZ110-AR110)/AR110</f>
        <v>1.1408450704225352</v>
      </c>
      <c r="CE110" s="4">
        <f>(CA110-AS110)/AS110</f>
        <v>1.0320512820512819</v>
      </c>
      <c r="CF110" s="4">
        <f>(CB110-AT110)/AT110</f>
        <v>-0.6964285714285714</v>
      </c>
      <c r="CG110" s="4">
        <f>(CC110-AU110)/AU110</f>
        <v>-0.61764705882352944</v>
      </c>
      <c r="CH110" s="4">
        <f>(BZ110-BN110)/BN110</f>
        <v>0.26666666666666666</v>
      </c>
      <c r="CI110" s="4">
        <f>(CA110-BO110)/BO110</f>
        <v>0.51916932907348234</v>
      </c>
      <c r="CJ110" s="4">
        <f>(CB110-BP110)/BP110</f>
        <v>-0.63829787234042545</v>
      </c>
      <c r="CK110" s="4">
        <f>(CC110-BQ110)/BQ110</f>
        <v>-0.63888888888888895</v>
      </c>
      <c r="CL110" s="4">
        <v>0.50600000000000001</v>
      </c>
      <c r="CM110" s="4">
        <v>0.52900000000000003</v>
      </c>
      <c r="CN110" s="4">
        <f>CL110/CM110</f>
        <v>0.9565217391304347</v>
      </c>
    </row>
    <row r="111" spans="1:92" x14ac:dyDescent="0.3">
      <c r="A111" s="11" t="s">
        <v>112</v>
      </c>
      <c r="B111" s="13">
        <v>1218</v>
      </c>
      <c r="C111" s="13">
        <v>8</v>
      </c>
      <c r="D111" s="13">
        <v>7</v>
      </c>
      <c r="E111" s="13">
        <v>2</v>
      </c>
      <c r="F111" s="13">
        <v>2</v>
      </c>
      <c r="G111" s="12" t="s">
        <v>9</v>
      </c>
      <c r="H111" s="4">
        <v>2.1</v>
      </c>
      <c r="I111" s="4">
        <v>0.96</v>
      </c>
      <c r="J111" s="4">
        <v>2.65</v>
      </c>
      <c r="K111" s="4">
        <v>1.04</v>
      </c>
      <c r="L111" s="5">
        <f>(H111-I111)/(H111+I111)</f>
        <v>0.37254901960784315</v>
      </c>
      <c r="M111" s="5">
        <f>(J111-K111)/(J111+K111)</f>
        <v>0.43631436314363142</v>
      </c>
      <c r="N111" s="4">
        <v>0.26</v>
      </c>
      <c r="O111" s="4">
        <v>0.56100000000000005</v>
      </c>
      <c r="P111" s="4">
        <v>0.17</v>
      </c>
      <c r="Q111" s="4">
        <v>0.15</v>
      </c>
      <c r="R111" s="4">
        <v>0.33</v>
      </c>
      <c r="S111" s="4">
        <v>0.625</v>
      </c>
      <c r="T111" s="4">
        <v>0.19700000000000001</v>
      </c>
      <c r="U111" s="4">
        <v>0.16</v>
      </c>
      <c r="V111" s="4">
        <v>0.43</v>
      </c>
      <c r="W111" s="4">
        <v>0.999</v>
      </c>
      <c r="X111" s="4">
        <v>7.0000000000000001E-3</v>
      </c>
      <c r="Y111" s="4">
        <v>0.01</v>
      </c>
      <c r="Z111" s="4">
        <v>0.18</v>
      </c>
      <c r="AA111" s="5">
        <f>(V111-N111)/N111</f>
        <v>0.65384615384615374</v>
      </c>
      <c r="AB111" s="5">
        <f>(W111-O111)/O111</f>
        <v>0.78074866310160407</v>
      </c>
      <c r="AC111" s="5">
        <f>(X111-P111)/P111</f>
        <v>-0.95882352941176463</v>
      </c>
      <c r="AD111" s="5">
        <f>(Y111-Q111)/Q111</f>
        <v>-0.93333333333333324</v>
      </c>
      <c r="AE111" s="4">
        <v>0.51</v>
      </c>
      <c r="AF111" s="4">
        <v>0.99399999999999999</v>
      </c>
      <c r="AG111" s="4">
        <v>2.5000000000000001E-2</v>
      </c>
      <c r="AH111" s="4">
        <v>0.01</v>
      </c>
      <c r="AI111" s="4">
        <v>0.23</v>
      </c>
      <c r="AJ111" s="5">
        <f>(AE111-R111)/R111</f>
        <v>0.54545454545454541</v>
      </c>
      <c r="AK111" s="5">
        <f>(AF111-S111)/S111</f>
        <v>0.59040000000000004</v>
      </c>
      <c r="AL111" s="5">
        <f>(AG111-T111)/T111</f>
        <v>-0.87309644670050768</v>
      </c>
      <c r="AM111" s="5">
        <f>(AH111-U111)/U111</f>
        <v>-0.9375</v>
      </c>
      <c r="AN111" s="4">
        <v>0.22900000000000001</v>
      </c>
      <c r="AO111" s="4">
        <v>0.73299999999999998</v>
      </c>
      <c r="AP111" s="4">
        <v>0.28199999999999997</v>
      </c>
      <c r="AQ111" s="4">
        <v>0.14899999999999999</v>
      </c>
      <c r="AR111" s="4">
        <v>0.124</v>
      </c>
      <c r="AS111" s="4">
        <v>0.55200000000000005</v>
      </c>
      <c r="AT111" s="4">
        <v>0.14099999999999999</v>
      </c>
      <c r="AU111" s="4">
        <v>0.13300000000000001</v>
      </c>
      <c r="AV111" s="4">
        <v>0.48299999999999998</v>
      </c>
      <c r="AW111" s="4">
        <v>0.99199999999999999</v>
      </c>
      <c r="AX111" s="4">
        <v>4.8000000000000001E-2</v>
      </c>
      <c r="AY111" s="4">
        <v>3.2000000000000001E-2</v>
      </c>
      <c r="AZ111" s="4">
        <v>0.26100000000000001</v>
      </c>
      <c r="BA111" s="6">
        <f>(AV111-AN111)/AN111</f>
        <v>1.1091703056768558</v>
      </c>
      <c r="BB111" s="6">
        <f>(AW111-AO111)/AO111</f>
        <v>0.35334242837653479</v>
      </c>
      <c r="BC111" s="6">
        <f>(AX111-AP111)/AP111</f>
        <v>-0.82978723404255317</v>
      </c>
      <c r="BD111" s="6">
        <f>(AY111-AQ111)/AQ111</f>
        <v>-0.78523489932885904</v>
      </c>
      <c r="BE111" s="4">
        <v>0.41699999999999998</v>
      </c>
      <c r="BF111" s="4">
        <v>0.99</v>
      </c>
      <c r="BG111" s="4">
        <v>2.1000000000000001E-2</v>
      </c>
      <c r="BH111" s="4">
        <v>3.1E-2</v>
      </c>
      <c r="BI111" s="4">
        <v>0.19600000000000001</v>
      </c>
      <c r="BJ111" s="5">
        <f>(BE111-AN111)/AN111</f>
        <v>0.82096069868995614</v>
      </c>
      <c r="BK111" s="5">
        <f>(BF111-AO111)/AO111</f>
        <v>0.35061391541609827</v>
      </c>
      <c r="BL111" s="5">
        <f>(BG111-AP111)/AP111</f>
        <v>-0.92553191489361697</v>
      </c>
      <c r="BM111" s="5">
        <f>(BH111-AQ111)/AQ111</f>
        <v>-0.79194630872483218</v>
      </c>
      <c r="BN111" s="4">
        <v>0.41599999999999998</v>
      </c>
      <c r="BO111" s="4">
        <v>0.97199999999999998</v>
      </c>
      <c r="BP111" s="4">
        <v>3.5000000000000003E-2</v>
      </c>
      <c r="BQ111" s="4">
        <v>6.7000000000000004E-2</v>
      </c>
      <c r="BR111" s="5">
        <f>(BN111-AR111)/AR111</f>
        <v>2.354838709677419</v>
      </c>
      <c r="BS111" s="5">
        <f>(BO111-AS111)/AS111</f>
        <v>0.76086956521739113</v>
      </c>
      <c r="BT111" s="5">
        <f>(BP111-AT111)/AT111</f>
        <v>-0.75177304964539005</v>
      </c>
      <c r="BU111" s="5">
        <f>(BQ111-AU111)/AU111</f>
        <v>-0.49624060150375937</v>
      </c>
      <c r="BV111" s="4">
        <f>(BN111-BE111)/BE111</f>
        <v>-2.3980815347721847E-3</v>
      </c>
      <c r="BW111" s="4">
        <f>(BO111-BF111)/BF111</f>
        <v>-1.8181818181818198E-2</v>
      </c>
      <c r="BX111" s="4">
        <f>(BP111-BG111)/BG111</f>
        <v>0.66666666666666674</v>
      </c>
      <c r="BY111" s="4">
        <f>(BQ111-BH111)/BH111</f>
        <v>1.1612903225806452</v>
      </c>
      <c r="BZ111" s="4">
        <v>0.41699999999999998</v>
      </c>
      <c r="CA111" s="4">
        <v>0.99399999999999999</v>
      </c>
      <c r="CB111" s="4">
        <v>1.6E-2</v>
      </c>
      <c r="CC111" s="4">
        <v>1.2999999999999999E-2</v>
      </c>
      <c r="CD111" s="4">
        <f>(BZ111-AR111)/AR111</f>
        <v>2.3629032258064515</v>
      </c>
      <c r="CE111" s="4">
        <f>(CA111-AS111)/AS111</f>
        <v>0.80072463768115931</v>
      </c>
      <c r="CF111" s="4">
        <f>(CB111-AT111)/AT111</f>
        <v>-0.88652482269503541</v>
      </c>
      <c r="CG111" s="4">
        <f>(CC111-AU111)/AU111</f>
        <v>-0.90225563909774442</v>
      </c>
      <c r="CH111" s="4">
        <f>(BZ111-BN111)/BN111</f>
        <v>2.4038461538461561E-3</v>
      </c>
      <c r="CI111" s="4">
        <f>(CA111-BO111)/BO111</f>
        <v>2.26337448559671E-2</v>
      </c>
      <c r="CJ111" s="4">
        <f>(CB111-BP111)/BP111</f>
        <v>-0.54285714285714293</v>
      </c>
      <c r="CK111" s="4">
        <f>(CC111-BQ111)/BQ111</f>
        <v>-0.80597014925373134</v>
      </c>
      <c r="CL111" s="4">
        <v>0.22800000000000001</v>
      </c>
      <c r="CM111" s="4">
        <v>0.76600000000000001</v>
      </c>
      <c r="CN111" s="4">
        <f>CL111/CM111</f>
        <v>0.29765013054830286</v>
      </c>
    </row>
    <row r="112" spans="1:92" x14ac:dyDescent="0.3">
      <c r="A112" s="11" t="s">
        <v>113</v>
      </c>
      <c r="B112" s="13">
        <v>214</v>
      </c>
      <c r="C112" s="13">
        <v>8</v>
      </c>
      <c r="D112" s="13">
        <v>7</v>
      </c>
      <c r="E112" s="13">
        <v>2</v>
      </c>
      <c r="F112" s="13">
        <v>2</v>
      </c>
      <c r="G112" s="12" t="s">
        <v>9</v>
      </c>
      <c r="H112" s="4">
        <v>1.89</v>
      </c>
      <c r="I112" s="4">
        <v>0.87</v>
      </c>
      <c r="J112" s="4">
        <v>2.36</v>
      </c>
      <c r="K112" s="4">
        <v>0.82</v>
      </c>
      <c r="L112" s="5">
        <f>(H112-I112)/(H112+I112)</f>
        <v>0.36956521739130438</v>
      </c>
      <c r="M112" s="5">
        <f>(J112-K112)/(J112+K112)</f>
        <v>0.48427672955974849</v>
      </c>
      <c r="N112" s="4">
        <v>0.24</v>
      </c>
      <c r="O112" s="4">
        <v>0.54900000000000004</v>
      </c>
      <c r="P112" s="4">
        <v>0.159</v>
      </c>
      <c r="Q112" s="4">
        <v>0.14000000000000001</v>
      </c>
      <c r="R112" s="4">
        <v>0.28999999999999998</v>
      </c>
      <c r="S112" s="4">
        <v>0.61699999999999999</v>
      </c>
      <c r="T112" s="4">
        <v>0.182</v>
      </c>
      <c r="U112" s="4">
        <v>0.14000000000000001</v>
      </c>
      <c r="V112" s="4">
        <v>0.39</v>
      </c>
      <c r="W112" s="4">
        <v>0.88900000000000001</v>
      </c>
      <c r="X112" s="4">
        <v>7.9000000000000001E-2</v>
      </c>
      <c r="Y112" s="4">
        <v>0.05</v>
      </c>
      <c r="Z112" s="4">
        <v>0.1</v>
      </c>
      <c r="AA112" s="5">
        <f>(V112-N112)/N112</f>
        <v>0.62500000000000011</v>
      </c>
      <c r="AB112" s="5">
        <f>(W112-O112)/O112</f>
        <v>0.61930783242258647</v>
      </c>
      <c r="AC112" s="5">
        <f>(X112-P112)/P112</f>
        <v>-0.50314465408805031</v>
      </c>
      <c r="AD112" s="5">
        <f>(Y112-Q112)/Q112</f>
        <v>-0.6428571428571429</v>
      </c>
      <c r="AE112" s="4">
        <v>0.44</v>
      </c>
      <c r="AF112" s="4">
        <v>0.79600000000000004</v>
      </c>
      <c r="AG112" s="4">
        <v>0.13300000000000001</v>
      </c>
      <c r="AH112" s="4">
        <v>0.06</v>
      </c>
      <c r="AI112" s="4">
        <v>0.15</v>
      </c>
      <c r="AJ112" s="5">
        <f>(AE112-R112)/R112</f>
        <v>0.51724137931034497</v>
      </c>
      <c r="AK112" s="5">
        <f>(AF112-S112)/S112</f>
        <v>0.29011345218800655</v>
      </c>
      <c r="AL112" s="5">
        <f>(AG112-T112)/T112</f>
        <v>-0.26923076923076916</v>
      </c>
      <c r="AM112" s="5">
        <f>(AH112-U112)/U112</f>
        <v>-0.57142857142857151</v>
      </c>
      <c r="AN112" s="4">
        <v>0.13600000000000001</v>
      </c>
      <c r="AO112" s="4">
        <v>0.79</v>
      </c>
      <c r="AP112" s="4">
        <v>0.23100000000000001</v>
      </c>
      <c r="AQ112" s="4">
        <v>0.127</v>
      </c>
      <c r="AR112" s="4">
        <v>3.3000000000000002E-2</v>
      </c>
      <c r="AS112" s="4">
        <v>0.55700000000000005</v>
      </c>
      <c r="AT112" s="4">
        <v>0.13200000000000001</v>
      </c>
      <c r="AU112" s="4">
        <v>0.126</v>
      </c>
      <c r="AV112" s="4">
        <v>0.433</v>
      </c>
      <c r="AW112" s="4">
        <v>0.95</v>
      </c>
      <c r="AX112" s="4">
        <v>0.112</v>
      </c>
      <c r="AY112" s="4">
        <v>7.8E-2</v>
      </c>
      <c r="AZ112" s="4">
        <v>0.221</v>
      </c>
      <c r="BA112" s="6">
        <f>(AV112-AN112)/AN112</f>
        <v>2.1838235294117645</v>
      </c>
      <c r="BB112" s="6">
        <f>(AW112-AO112)/AO112</f>
        <v>0.20253164556962014</v>
      </c>
      <c r="BC112" s="6">
        <f>(AX112-AP112)/AP112</f>
        <v>-0.51515151515151514</v>
      </c>
      <c r="BD112" s="6">
        <f>(AY112-AQ112)/AQ112</f>
        <v>-0.38582677165354334</v>
      </c>
      <c r="BE112" s="4">
        <v>0.36899999999999999</v>
      </c>
      <c r="BF112" s="4">
        <v>0.88100000000000001</v>
      </c>
      <c r="BG112" s="4">
        <v>6.8000000000000005E-2</v>
      </c>
      <c r="BH112" s="4">
        <v>6.6000000000000003E-2</v>
      </c>
      <c r="BI112" s="4">
        <v>0.11899999999999999</v>
      </c>
      <c r="BJ112" s="5">
        <f>(BE112-AN112)/AN112</f>
        <v>1.7132352941176467</v>
      </c>
      <c r="BK112" s="5">
        <f>(BF112-AO112)/AO112</f>
        <v>0.11518987341772148</v>
      </c>
      <c r="BL112" s="5">
        <f>(BG112-AP112)/AP112</f>
        <v>-0.7056277056277056</v>
      </c>
      <c r="BM112" s="5">
        <f>(BH112-AQ112)/AQ112</f>
        <v>-0.48031496062992124</v>
      </c>
      <c r="BN112" s="4">
        <v>0.36899999999999999</v>
      </c>
      <c r="BO112" s="4">
        <v>0.88300000000000001</v>
      </c>
      <c r="BP112" s="4">
        <v>6.8000000000000005E-2</v>
      </c>
      <c r="BQ112" s="4">
        <v>7.3999999999999996E-2</v>
      </c>
      <c r="BR112" s="5">
        <f>(BN112-AR112)/AR112</f>
        <v>10.18181818181818</v>
      </c>
      <c r="BS112" s="5">
        <f>(BO112-AS112)/AS112</f>
        <v>0.58527827648114883</v>
      </c>
      <c r="BT112" s="5">
        <f>(BP112-AT112)/AT112</f>
        <v>-0.48484848484848486</v>
      </c>
      <c r="BU112" s="5">
        <f>(BQ112-AU112)/AU112</f>
        <v>-0.41269841269841273</v>
      </c>
      <c r="BV112" s="4">
        <f>(BN112-BE112)/BE112</f>
        <v>0</v>
      </c>
      <c r="BW112" s="4">
        <f>(BO112-BF112)/BF112</f>
        <v>2.2701475595913755E-3</v>
      </c>
      <c r="BX112" s="4">
        <f>(BP112-BG112)/BG112</f>
        <v>0</v>
      </c>
      <c r="BY112" s="4">
        <f>(BQ112-BH112)/BH112</f>
        <v>0.1212121212121211</v>
      </c>
      <c r="BZ112" s="7">
        <v>0.26400000000000001</v>
      </c>
      <c r="CA112" s="7">
        <v>0.46700000000000003</v>
      </c>
      <c r="CB112" s="7">
        <v>0.14499999999999999</v>
      </c>
      <c r="CC112" s="7">
        <v>0.06</v>
      </c>
      <c r="CD112" s="7">
        <f>(BZ112-AR112)/AR112</f>
        <v>7</v>
      </c>
      <c r="CE112" s="7">
        <f>(CA112-AS112)/AS112</f>
        <v>-0.16157989228007183</v>
      </c>
      <c r="CF112" s="7">
        <f>(CB112-AT112)/AT112</f>
        <v>9.8484848484848356E-2</v>
      </c>
      <c r="CG112" s="7">
        <f>(CC112-AU112)/AU112</f>
        <v>-0.52380952380952384</v>
      </c>
      <c r="CH112" s="4">
        <f>(BZ112-BN112)/BN112</f>
        <v>-0.28455284552845522</v>
      </c>
      <c r="CI112" s="4">
        <f>(CA112-BO112)/BO112</f>
        <v>-0.47112117780294449</v>
      </c>
      <c r="CJ112" s="4">
        <f>(CB112-BP112)/BP112</f>
        <v>1.1323529411764703</v>
      </c>
      <c r="CK112" s="4">
        <f>(CC112-BQ112)/BQ112</f>
        <v>-0.18918918918918917</v>
      </c>
      <c r="CL112" s="7">
        <v>0.20699999999999999</v>
      </c>
      <c r="CM112" s="7">
        <v>0.83399999999999996</v>
      </c>
      <c r="CN112" s="7">
        <f>CL112/CM112</f>
        <v>0.24820143884892087</v>
      </c>
    </row>
    <row r="113" spans="1:92" x14ac:dyDescent="0.3">
      <c r="A113" s="11" t="s">
        <v>114</v>
      </c>
      <c r="B113" s="13">
        <v>2133</v>
      </c>
      <c r="C113" s="13">
        <v>8</v>
      </c>
      <c r="D113" s="13">
        <v>7</v>
      </c>
      <c r="E113" s="13">
        <v>2</v>
      </c>
      <c r="F113" s="13">
        <v>2</v>
      </c>
      <c r="G113" s="12" t="s">
        <v>9</v>
      </c>
      <c r="H113" s="4">
        <v>2.54</v>
      </c>
      <c r="I113" s="4">
        <v>0.59</v>
      </c>
      <c r="J113" s="4">
        <v>3.07</v>
      </c>
      <c r="K113" s="4">
        <v>0.64</v>
      </c>
      <c r="L113" s="5">
        <f>(H113-I113)/(H113+I113)</f>
        <v>0.62300319488817901</v>
      </c>
      <c r="M113" s="5">
        <f>(J113-K113)/(J113+K113)</f>
        <v>0.65498652291105119</v>
      </c>
      <c r="N113" s="4">
        <v>0.32</v>
      </c>
      <c r="O113" s="4">
        <v>0.69699999999999995</v>
      </c>
      <c r="P113" s="4">
        <v>0.14499999999999999</v>
      </c>
      <c r="Q113" s="4">
        <v>0.09</v>
      </c>
      <c r="R113" s="4">
        <v>0.38</v>
      </c>
      <c r="S113" s="4">
        <v>0.67900000000000005</v>
      </c>
      <c r="T113" s="4">
        <v>0.17799999999999999</v>
      </c>
      <c r="U113" s="4">
        <v>0.1</v>
      </c>
      <c r="V113" s="4">
        <v>0.43</v>
      </c>
      <c r="W113" s="4">
        <v>0.97699999999999998</v>
      </c>
      <c r="X113" s="4">
        <v>0.04</v>
      </c>
      <c r="Y113" s="4">
        <v>0.02</v>
      </c>
      <c r="Z113" s="4">
        <v>0.48</v>
      </c>
      <c r="AA113" s="5">
        <f>(V113-N113)/N113</f>
        <v>0.34374999999999994</v>
      </c>
      <c r="AB113" s="5">
        <f>(W113-O113)/O113</f>
        <v>0.40172166427546635</v>
      </c>
      <c r="AC113" s="5">
        <f>(X113-P113)/P113</f>
        <v>-0.72413793103448265</v>
      </c>
      <c r="AD113" s="5">
        <f>(Y113-Q113)/Q113</f>
        <v>-0.77777777777777768</v>
      </c>
      <c r="AE113" s="4">
        <v>0.5</v>
      </c>
      <c r="AF113" s="4">
        <v>0.96699999999999997</v>
      </c>
      <c r="AG113" s="4">
        <v>5.7000000000000002E-2</v>
      </c>
      <c r="AH113" s="4">
        <v>0.02</v>
      </c>
      <c r="AI113" s="4">
        <v>0.51</v>
      </c>
      <c r="AJ113" s="5">
        <f>(AE113-R113)/R113</f>
        <v>0.31578947368421051</v>
      </c>
      <c r="AK113" s="5">
        <f>(AF113-S113)/S113</f>
        <v>0.42415316642120754</v>
      </c>
      <c r="AL113" s="5">
        <f>(AG113-T113)/T113</f>
        <v>-0.6797752808988764</v>
      </c>
      <c r="AM113" s="5">
        <f>(AH113-U113)/U113</f>
        <v>-0.79999999999999993</v>
      </c>
      <c r="AN113" s="4">
        <v>0.44600000000000001</v>
      </c>
      <c r="AO113" s="4">
        <v>0.75600000000000001</v>
      </c>
      <c r="AP113" s="4">
        <v>0.20699999999999999</v>
      </c>
      <c r="AQ113" s="4">
        <v>9.6000000000000002E-2</v>
      </c>
      <c r="AR113" s="4">
        <v>0.34899999999999998</v>
      </c>
      <c r="AS113" s="4">
        <v>0.67200000000000004</v>
      </c>
      <c r="AT113" s="4">
        <v>0.127</v>
      </c>
      <c r="AU113" s="4">
        <v>8.1000000000000003E-2</v>
      </c>
      <c r="AV113" s="4">
        <v>0.53600000000000003</v>
      </c>
      <c r="AW113" s="4">
        <v>0.89100000000000001</v>
      </c>
      <c r="AX113" s="4">
        <v>0.13900000000000001</v>
      </c>
      <c r="AY113" s="4">
        <v>6.2E-2</v>
      </c>
      <c r="AZ113" s="4">
        <v>0.65800000000000003</v>
      </c>
      <c r="BA113" s="6">
        <f>(AV113-AN113)/AN113</f>
        <v>0.20179372197309423</v>
      </c>
      <c r="BB113" s="6">
        <f>(AW113-AO113)/AO113</f>
        <v>0.17857142857142858</v>
      </c>
      <c r="BC113" s="6">
        <f>(AX113-AP113)/AP113</f>
        <v>-0.3285024154589371</v>
      </c>
      <c r="BD113" s="6">
        <f>(AY113-AQ113)/AQ113</f>
        <v>-0.35416666666666669</v>
      </c>
      <c r="BE113" s="4">
        <v>0.44</v>
      </c>
      <c r="BF113" s="4">
        <v>0.877</v>
      </c>
      <c r="BG113" s="4">
        <v>7.8E-2</v>
      </c>
      <c r="BH113" s="4">
        <v>6.0999999999999999E-2</v>
      </c>
      <c r="BI113" s="4">
        <v>0.57699999999999996</v>
      </c>
      <c r="BJ113" s="5">
        <f>(BE113-AN113)/AN113</f>
        <v>-1.3452914798206289E-2</v>
      </c>
      <c r="BK113" s="5">
        <f>(BF113-AO113)/AO113</f>
        <v>0.16005291005291006</v>
      </c>
      <c r="BL113" s="5">
        <f>(BG113-AP113)/AP113</f>
        <v>-0.62318840579710155</v>
      </c>
      <c r="BM113" s="5">
        <f>(BH113-AQ113)/AQ113</f>
        <v>-0.36458333333333337</v>
      </c>
      <c r="BN113" s="4">
        <v>0.41399999999999998</v>
      </c>
      <c r="BO113" s="4">
        <v>0.72599999999999998</v>
      </c>
      <c r="BP113" s="4">
        <v>0.11600000000000001</v>
      </c>
      <c r="BQ113" s="4">
        <v>0.17599999999999999</v>
      </c>
      <c r="BR113" s="5">
        <f>(BN113-AR113)/AR113</f>
        <v>0.1862464183381089</v>
      </c>
      <c r="BS113" s="5">
        <f>(BO113-AS113)/AS113</f>
        <v>8.0357142857142752E-2</v>
      </c>
      <c r="BT113" s="5">
        <f>(BP113-AT113)/AT113</f>
        <v>-8.6614173228346428E-2</v>
      </c>
      <c r="BU113" s="5">
        <f>(BQ113-AU113)/AU113</f>
        <v>1.1728395061728394</v>
      </c>
      <c r="BV113" s="4">
        <f>(BN113-BE113)/BE113</f>
        <v>-5.9090909090909145E-2</v>
      </c>
      <c r="BW113" s="4">
        <f>(BO113-BF113)/BF113</f>
        <v>-0.17217787913340937</v>
      </c>
      <c r="BX113" s="4">
        <f>(BP113-BG113)/BG113</f>
        <v>0.48717948717948728</v>
      </c>
      <c r="BY113" s="4">
        <f>(BQ113-BH113)/BH113</f>
        <v>1.8852459016393441</v>
      </c>
      <c r="BZ113" s="7">
        <v>0.39100000000000001</v>
      </c>
      <c r="CA113" s="7">
        <v>0.98399999999999999</v>
      </c>
      <c r="CB113" s="7">
        <v>2.8000000000000001E-2</v>
      </c>
      <c r="CC113" s="7">
        <v>1.4999999999999999E-2</v>
      </c>
      <c r="CD113" s="7">
        <f>(BZ113-AR113)/AR113</f>
        <v>0.1203438395415474</v>
      </c>
      <c r="CE113" s="7">
        <f>(CA113-AS113)/AS113</f>
        <v>0.46428571428571419</v>
      </c>
      <c r="CF113" s="7">
        <f>(CB113-AT113)/AT113</f>
        <v>-0.77952755905511817</v>
      </c>
      <c r="CG113" s="7">
        <f>(CC113-AU113)/AU113</f>
        <v>-0.81481481481481488</v>
      </c>
      <c r="CH113" s="4">
        <f>(BZ113-BN113)/BN113</f>
        <v>-5.5555555555555476E-2</v>
      </c>
      <c r="CI113" s="4">
        <f>(CA113-BO113)/BO113</f>
        <v>0.35537190082644632</v>
      </c>
      <c r="CJ113" s="4">
        <f>(CB113-BP113)/BP113</f>
        <v>-0.75862068965517249</v>
      </c>
      <c r="CK113" s="4">
        <f>(CC113-BQ113)/BQ113</f>
        <v>-0.91477272727272718</v>
      </c>
      <c r="CL113" s="7">
        <v>0.01</v>
      </c>
      <c r="CM113" s="7">
        <v>0.79100000000000004</v>
      </c>
      <c r="CN113" s="7">
        <f>CL113/CM113</f>
        <v>1.2642225031605562E-2</v>
      </c>
    </row>
    <row r="114" spans="1:92" x14ac:dyDescent="0.3">
      <c r="A114" s="11" t="s">
        <v>115</v>
      </c>
      <c r="B114" s="13">
        <v>586</v>
      </c>
      <c r="C114" s="13">
        <v>8</v>
      </c>
      <c r="D114" s="13">
        <v>7</v>
      </c>
      <c r="E114" s="13">
        <v>1</v>
      </c>
      <c r="F114" s="13">
        <v>1</v>
      </c>
      <c r="G114" s="12" t="s">
        <v>43</v>
      </c>
      <c r="H114" s="4">
        <v>2.93</v>
      </c>
      <c r="I114" s="4">
        <v>0.47</v>
      </c>
      <c r="J114" s="4">
        <v>3.84</v>
      </c>
      <c r="K114" s="4">
        <v>0.47</v>
      </c>
      <c r="L114" s="5">
        <f>(H114-I114)/(H114+I114)</f>
        <v>0.72352941176470575</v>
      </c>
      <c r="M114" s="5">
        <f>(J114-K114)/(J114+K114)</f>
        <v>0.78190255220417648</v>
      </c>
      <c r="N114" s="4">
        <v>0.37</v>
      </c>
      <c r="O114" s="4">
        <v>0.80600000000000005</v>
      </c>
      <c r="P114" s="4">
        <v>0.126</v>
      </c>
      <c r="Q114" s="4">
        <v>0.08</v>
      </c>
      <c r="R114" s="4">
        <v>0.48</v>
      </c>
      <c r="S114" s="4">
        <v>0.76</v>
      </c>
      <c r="T114" s="4">
        <v>0.185</v>
      </c>
      <c r="U114" s="4">
        <v>0.08</v>
      </c>
      <c r="V114" s="4">
        <v>0.46</v>
      </c>
      <c r="W114" s="4">
        <v>0.98599999999999999</v>
      </c>
      <c r="X114" s="4">
        <v>3.4000000000000002E-2</v>
      </c>
      <c r="Y114" s="4">
        <v>0.02</v>
      </c>
      <c r="Z114" s="4">
        <v>0.45</v>
      </c>
      <c r="AA114" s="5">
        <f>(V114-N114)/N114</f>
        <v>0.24324324324324331</v>
      </c>
      <c r="AB114" s="5">
        <f>(W114-O114)/O114</f>
        <v>0.22332506203473937</v>
      </c>
      <c r="AC114" s="5">
        <f>(X114-P114)/P114</f>
        <v>-0.73015873015873012</v>
      </c>
      <c r="AD114" s="5">
        <f>(Y114-Q114)/Q114</f>
        <v>-0.75</v>
      </c>
      <c r="AE114" s="4">
        <v>0.57999999999999996</v>
      </c>
      <c r="AF114" s="4">
        <v>0.94599999999999995</v>
      </c>
      <c r="AG114" s="4">
        <v>8.7999999999999995E-2</v>
      </c>
      <c r="AH114" s="4">
        <v>0.02</v>
      </c>
      <c r="AI114" s="4">
        <v>0.49</v>
      </c>
      <c r="AJ114" s="5">
        <f>(AE114-R114)/R114</f>
        <v>0.20833333333333329</v>
      </c>
      <c r="AK114" s="5">
        <f>(AF114-S114)/S114</f>
        <v>0.24473684210526309</v>
      </c>
      <c r="AL114" s="5">
        <f>(AG114-T114)/T114</f>
        <v>-0.5243243243243243</v>
      </c>
      <c r="AM114" s="5">
        <f>(AH114-U114)/U114</f>
        <v>-0.75</v>
      </c>
      <c r="AN114" s="4">
        <v>0.55500000000000005</v>
      </c>
      <c r="AO114" s="4">
        <v>0.90200000000000002</v>
      </c>
      <c r="AP114" s="4">
        <v>0.13200000000000001</v>
      </c>
      <c r="AQ114" s="4">
        <v>7.5999999999999998E-2</v>
      </c>
      <c r="AR114" s="4">
        <v>0.36599999999999999</v>
      </c>
      <c r="AS114" s="4">
        <v>0.78600000000000003</v>
      </c>
      <c r="AT114" s="4">
        <v>0.106</v>
      </c>
      <c r="AU114" s="4">
        <v>6.8000000000000005E-2</v>
      </c>
      <c r="AV114" s="7">
        <v>0.51100000000000001</v>
      </c>
      <c r="AW114" s="7">
        <v>0.94299999999999995</v>
      </c>
      <c r="AX114" s="7">
        <v>0.10100000000000001</v>
      </c>
      <c r="AY114" s="7">
        <v>5.8999999999999997E-2</v>
      </c>
      <c r="AZ114" s="7">
        <v>0.73</v>
      </c>
      <c r="BA114" s="8">
        <f>(AV114-AN114)/AN114</f>
        <v>-7.9279279279279344E-2</v>
      </c>
      <c r="BB114" s="8">
        <f>(AW114-AO114)/AO114</f>
        <v>4.5454545454545373E-2</v>
      </c>
      <c r="BC114" s="8">
        <f>(AX114-AP114)/AP114</f>
        <v>-0.23484848484848483</v>
      </c>
      <c r="BD114" s="8">
        <f>(AY114-AQ114)/AQ114</f>
        <v>-0.22368421052631582</v>
      </c>
      <c r="BE114" s="7">
        <v>0.38200000000000001</v>
      </c>
      <c r="BF114" s="7">
        <v>0.871</v>
      </c>
      <c r="BG114" s="7">
        <v>8.2000000000000003E-2</v>
      </c>
      <c r="BH114" s="7">
        <v>5.5E-2</v>
      </c>
      <c r="BI114" s="7">
        <v>0.64</v>
      </c>
      <c r="BJ114" s="8">
        <f>(BE114-AN114)/AN114</f>
        <v>-0.31171171171171175</v>
      </c>
      <c r="BK114" s="8">
        <f>(BF114-AO114)/AO114</f>
        <v>-3.4368070953436837E-2</v>
      </c>
      <c r="BL114" s="8">
        <f>(BG114-AP114)/AP114</f>
        <v>-0.37878787878787878</v>
      </c>
      <c r="BM114" s="8">
        <f>(BH114-AQ114)/AQ114</f>
        <v>-0.27631578947368418</v>
      </c>
      <c r="BN114" s="4">
        <v>0.41899999999999998</v>
      </c>
      <c r="BO114" s="4">
        <v>0.626</v>
      </c>
      <c r="BP114" s="4">
        <v>0.13900000000000001</v>
      </c>
      <c r="BQ114" s="4">
        <v>0.189</v>
      </c>
      <c r="BR114" s="5">
        <f>(BN114-AR114)/AR114</f>
        <v>0.14480874316939887</v>
      </c>
      <c r="BS114" s="5">
        <f>(BO114-AS114)/AS114</f>
        <v>-0.20356234096692116</v>
      </c>
      <c r="BT114" s="5">
        <f>(BP114-AT114)/AT114</f>
        <v>0.31132075471698128</v>
      </c>
      <c r="BU114" s="5">
        <f>(BQ114-AU114)/AU114</f>
        <v>1.7794117647058822</v>
      </c>
      <c r="BV114" s="4">
        <f>(BN114-BE114)/BE114</f>
        <v>9.6858638743455433E-2</v>
      </c>
      <c r="BW114" s="4">
        <f>(BO114-BF114)/BF114</f>
        <v>-0.28128587830080365</v>
      </c>
      <c r="BX114" s="4">
        <f>(BP114-BG114)/BG114</f>
        <v>0.69512195121951226</v>
      </c>
      <c r="BY114" s="4">
        <f>(BQ114-BH114)/BH114</f>
        <v>2.4363636363636365</v>
      </c>
      <c r="BZ114" s="7">
        <v>0.496</v>
      </c>
      <c r="CA114" s="7">
        <v>0.93600000000000005</v>
      </c>
      <c r="CB114" s="7">
        <v>5.8000000000000003E-2</v>
      </c>
      <c r="CC114" s="7">
        <v>3.3000000000000002E-2</v>
      </c>
      <c r="CD114" s="7">
        <f>(BZ114-AR114)/AR114</f>
        <v>0.3551912568306011</v>
      </c>
      <c r="CE114" s="7">
        <f>(CA114-AS114)/AS114</f>
        <v>0.19083969465648856</v>
      </c>
      <c r="CF114" s="7">
        <f>(CB114-AT114)/AT114</f>
        <v>-0.45283018867924524</v>
      </c>
      <c r="CG114" s="7">
        <f>(CC114-AU114)/AU114</f>
        <v>-0.51470588235294124</v>
      </c>
      <c r="CH114" s="4">
        <f>(BZ114-BN114)/BN114</f>
        <v>0.18377088305489264</v>
      </c>
      <c r="CI114" s="4">
        <f>(CA114-BO114)/BO114</f>
        <v>0.4952076677316295</v>
      </c>
      <c r="CJ114" s="4">
        <f>(CB114-BP114)/BP114</f>
        <v>-0.58273381294964033</v>
      </c>
      <c r="CK114" s="4">
        <f>(CC114-BQ114)/BQ114</f>
        <v>-0.82539682539682535</v>
      </c>
      <c r="CL114" s="7">
        <v>0.58199999999999996</v>
      </c>
      <c r="CM114" s="7">
        <v>0.36</v>
      </c>
      <c r="CN114" s="7">
        <f>CL114/CM114</f>
        <v>1.6166666666666667</v>
      </c>
    </row>
    <row r="115" spans="1:92" x14ac:dyDescent="0.3">
      <c r="A115" s="11" t="s">
        <v>116</v>
      </c>
      <c r="B115" s="13">
        <v>625</v>
      </c>
      <c r="C115" s="13">
        <v>8</v>
      </c>
      <c r="D115" s="13">
        <v>7</v>
      </c>
      <c r="E115" s="13">
        <v>1</v>
      </c>
      <c r="F115" s="13">
        <v>1</v>
      </c>
      <c r="G115" s="12" t="s">
        <v>43</v>
      </c>
      <c r="H115" s="4">
        <v>2.99</v>
      </c>
      <c r="I115" s="4">
        <v>0.55000000000000004</v>
      </c>
      <c r="J115" s="4">
        <v>3.72</v>
      </c>
      <c r="K115" s="4">
        <v>0.54</v>
      </c>
      <c r="L115" s="5">
        <f>(H115-I115)/(H115+I115)</f>
        <v>0.68926553672316393</v>
      </c>
      <c r="M115" s="5">
        <f>(J115-K115)/(J115+K115)</f>
        <v>0.74647887323943674</v>
      </c>
      <c r="N115" s="4">
        <v>0.37</v>
      </c>
      <c r="O115" s="4">
        <v>0.754</v>
      </c>
      <c r="P115" s="4">
        <v>0.14899999999999999</v>
      </c>
      <c r="Q115" s="4">
        <v>0.09</v>
      </c>
      <c r="R115" s="4">
        <v>0.46</v>
      </c>
      <c r="S115" s="4">
        <v>0.70799999999999996</v>
      </c>
      <c r="T115" s="4">
        <v>0.20200000000000001</v>
      </c>
      <c r="U115" s="4">
        <v>0.09</v>
      </c>
      <c r="V115" s="4">
        <v>0.48</v>
      </c>
      <c r="W115" s="4">
        <v>0.96499999999999997</v>
      </c>
      <c r="X115" s="4">
        <v>5.6000000000000001E-2</v>
      </c>
      <c r="Y115" s="4">
        <v>0.02</v>
      </c>
      <c r="Z115" s="4">
        <v>0.45</v>
      </c>
      <c r="AA115" s="5">
        <f>(V115-N115)/N115</f>
        <v>0.29729729729729726</v>
      </c>
      <c r="AB115" s="5">
        <f>(W115-O115)/O115</f>
        <v>0.279840848806366</v>
      </c>
      <c r="AC115" s="5">
        <f>(X115-P115)/P115</f>
        <v>-0.62416107382550334</v>
      </c>
      <c r="AD115" s="5">
        <f>(Y115-Q115)/Q115</f>
        <v>-0.77777777777777768</v>
      </c>
      <c r="AE115" s="4">
        <v>0.56999999999999995</v>
      </c>
      <c r="AF115" s="4">
        <v>0.88500000000000001</v>
      </c>
      <c r="AG115" s="4">
        <v>0.127</v>
      </c>
      <c r="AH115" s="4">
        <v>0.04</v>
      </c>
      <c r="AI115" s="4">
        <v>0.51</v>
      </c>
      <c r="AJ115" s="5">
        <f>(AE115-R115)/R115</f>
        <v>0.23913043478260854</v>
      </c>
      <c r="AK115" s="5">
        <f>(AF115-S115)/S115</f>
        <v>0.25000000000000006</v>
      </c>
      <c r="AL115" s="5">
        <f>(AG115-T115)/T115</f>
        <v>-0.37128712871287134</v>
      </c>
      <c r="AM115" s="5">
        <f>(AH115-U115)/U115</f>
        <v>-0.55555555555555558</v>
      </c>
      <c r="AN115" s="4">
        <v>0.47699999999999998</v>
      </c>
      <c r="AO115" s="4">
        <v>0.86699999999999999</v>
      </c>
      <c r="AP115" s="4">
        <v>0.157</v>
      </c>
      <c r="AQ115" s="4">
        <v>8.5000000000000006E-2</v>
      </c>
      <c r="AR115" s="4">
        <v>0.40400000000000003</v>
      </c>
      <c r="AS115" s="4">
        <v>0.72799999999999998</v>
      </c>
      <c r="AT115" s="4">
        <v>0.13700000000000001</v>
      </c>
      <c r="AU115" s="4">
        <v>0.08</v>
      </c>
      <c r="AV115" s="7">
        <v>0.48</v>
      </c>
      <c r="AW115" s="7">
        <v>0.91800000000000004</v>
      </c>
      <c r="AX115" s="7">
        <v>0.123</v>
      </c>
      <c r="AY115" s="7">
        <v>6.8000000000000005E-2</v>
      </c>
      <c r="AZ115" s="7">
        <v>0.61499999999999999</v>
      </c>
      <c r="BA115" s="8">
        <f>(AV115-AN115)/AN115</f>
        <v>6.2893081761006345E-3</v>
      </c>
      <c r="BB115" s="8">
        <f>(AW115-AO115)/AO115</f>
        <v>5.8823529411764761E-2</v>
      </c>
      <c r="BC115" s="8">
        <f>(AX115-AP115)/AP115</f>
        <v>-0.21656050955414013</v>
      </c>
      <c r="BD115" s="8">
        <f>(AY115-AQ115)/AQ115</f>
        <v>-0.2</v>
      </c>
      <c r="BE115" s="7">
        <v>0.41499999999999998</v>
      </c>
      <c r="BF115" s="7">
        <v>0.81599999999999995</v>
      </c>
      <c r="BG115" s="7">
        <v>0.113</v>
      </c>
      <c r="BH115" s="7">
        <v>6.5000000000000002E-2</v>
      </c>
      <c r="BI115" s="7">
        <v>0.439</v>
      </c>
      <c r="BJ115" s="8">
        <f>(BE115-AN115)/AN115</f>
        <v>-0.12997903563941302</v>
      </c>
      <c r="BK115" s="8">
        <f>(BF115-AO115)/AO115</f>
        <v>-5.8823529411764761E-2</v>
      </c>
      <c r="BL115" s="8">
        <f>(BG115-AP115)/AP115</f>
        <v>-0.28025477707006369</v>
      </c>
      <c r="BM115" s="8">
        <f>(BH115-AQ115)/AQ115</f>
        <v>-0.23529411764705885</v>
      </c>
      <c r="BN115" s="7">
        <v>0.433</v>
      </c>
      <c r="BO115" s="7">
        <v>0.58299999999999996</v>
      </c>
      <c r="BP115" s="7">
        <v>0.17</v>
      </c>
      <c r="BQ115" s="7">
        <v>0.183</v>
      </c>
      <c r="BR115" s="8">
        <f>(BN115-AR115)/AR115</f>
        <v>7.1782178217821707E-2</v>
      </c>
      <c r="BS115" s="8">
        <f>(BO115-AS115)/AS115</f>
        <v>-0.19917582417582422</v>
      </c>
      <c r="BT115" s="8">
        <f>(BP115-AT115)/AT115</f>
        <v>0.24087591240875911</v>
      </c>
      <c r="BU115" s="8">
        <f>(BQ115-AU115)/AU115</f>
        <v>1.2874999999999999</v>
      </c>
      <c r="BV115" s="7">
        <f>(BN115-BE115)/BE115</f>
        <v>4.3373493975903656E-2</v>
      </c>
      <c r="BW115" s="7">
        <f>(BO115-BF115)/BF115</f>
        <v>-0.28553921568627449</v>
      </c>
      <c r="BX115" s="7">
        <f>(BP115-BG115)/BG115</f>
        <v>0.50442477876106206</v>
      </c>
      <c r="BY115" s="7">
        <f>(BQ115-BH115)/BH115</f>
        <v>1.8153846153846152</v>
      </c>
      <c r="BZ115" s="4">
        <v>0.51900000000000002</v>
      </c>
      <c r="CA115" s="4">
        <v>0.93400000000000005</v>
      </c>
      <c r="CB115" s="4">
        <v>6.8000000000000005E-2</v>
      </c>
      <c r="CC115" s="4">
        <v>3.5999999999999997E-2</v>
      </c>
      <c r="CD115" s="4">
        <f>(BZ115-AR115)/AR115</f>
        <v>0.28465346534653463</v>
      </c>
      <c r="CE115" s="4">
        <f>(CA115-AS115)/AS115</f>
        <v>0.28296703296703307</v>
      </c>
      <c r="CF115" s="4">
        <f>(CB115-AT115)/AT115</f>
        <v>-0.5036496350364964</v>
      </c>
      <c r="CG115" s="4">
        <f>(CC115-AU115)/AU115</f>
        <v>-0.55000000000000004</v>
      </c>
      <c r="CH115" s="4">
        <f>(BZ115-BN115)/BN115</f>
        <v>0.19861431870669752</v>
      </c>
      <c r="CI115" s="4">
        <f>(CA115-BO115)/BO115</f>
        <v>0.60205831903945128</v>
      </c>
      <c r="CJ115" s="4">
        <f>(CB115-BP115)/BP115</f>
        <v>-0.6</v>
      </c>
      <c r="CK115" s="4">
        <f>(CC115-BQ115)/BQ115</f>
        <v>-0.80327868852459017</v>
      </c>
      <c r="CL115" s="4">
        <v>0.57499999999999996</v>
      </c>
      <c r="CM115" s="4">
        <v>0.4</v>
      </c>
      <c r="CN115" s="4">
        <f>CL115/CM115</f>
        <v>1.4374999999999998</v>
      </c>
    </row>
    <row r="116" spans="1:92" x14ac:dyDescent="0.3">
      <c r="A116" s="11" t="s">
        <v>117</v>
      </c>
      <c r="B116" s="13">
        <v>306</v>
      </c>
      <c r="C116" s="13">
        <v>8</v>
      </c>
      <c r="D116" s="13">
        <v>7</v>
      </c>
      <c r="E116" s="13">
        <v>1</v>
      </c>
      <c r="F116" s="13">
        <v>1</v>
      </c>
      <c r="G116" s="12" t="s">
        <v>43</v>
      </c>
      <c r="H116" s="4">
        <v>2.36</v>
      </c>
      <c r="I116" s="4">
        <v>0.5</v>
      </c>
      <c r="J116" s="4">
        <v>3.29</v>
      </c>
      <c r="K116" s="4">
        <v>0.64</v>
      </c>
      <c r="L116" s="5">
        <f>(H116-I116)/(H116+I116)</f>
        <v>0.65034965034965031</v>
      </c>
      <c r="M116" s="5">
        <f>(J116-K116)/(J116+K116)</f>
        <v>0.67430025445292618</v>
      </c>
      <c r="N116" s="4">
        <v>0.28999999999999998</v>
      </c>
      <c r="O116" s="4">
        <v>0.76700000000000002</v>
      </c>
      <c r="P116" s="4">
        <v>0.11700000000000001</v>
      </c>
      <c r="Q116" s="4">
        <v>0.08</v>
      </c>
      <c r="R116" s="4">
        <v>0.41</v>
      </c>
      <c r="S116" s="4">
        <v>0.629</v>
      </c>
      <c r="T116" s="4">
        <v>0.21</v>
      </c>
      <c r="U116" s="4">
        <v>0.11</v>
      </c>
      <c r="V116" s="4">
        <v>0.4</v>
      </c>
      <c r="W116" s="4">
        <v>0.97499999999999998</v>
      </c>
      <c r="X116" s="4">
        <v>3.7999999999999999E-2</v>
      </c>
      <c r="Y116" s="4">
        <v>0.03</v>
      </c>
      <c r="Z116" s="4">
        <v>0.32</v>
      </c>
      <c r="AA116" s="5">
        <f>(V116-N116)/N116</f>
        <v>0.37931034482758635</v>
      </c>
      <c r="AB116" s="5">
        <f>(W116-O116)/O116</f>
        <v>0.27118644067796605</v>
      </c>
      <c r="AC116" s="5">
        <f>(X116-P116)/P116</f>
        <v>-0.67521367521367526</v>
      </c>
      <c r="AD116" s="5">
        <f>(Y116-Q116)/Q116</f>
        <v>-0.625</v>
      </c>
      <c r="AE116" s="4">
        <v>0.55000000000000004</v>
      </c>
      <c r="AF116" s="4">
        <v>0.94299999999999995</v>
      </c>
      <c r="AG116" s="4">
        <v>8.3000000000000004E-2</v>
      </c>
      <c r="AH116" s="4">
        <v>0.03</v>
      </c>
      <c r="AI116" s="4">
        <v>0.38</v>
      </c>
      <c r="AJ116" s="5">
        <f>(AE116-R116)/R116</f>
        <v>0.34146341463414653</v>
      </c>
      <c r="AK116" s="5">
        <f>(AF116-S116)/S116</f>
        <v>0.49920508744038145</v>
      </c>
      <c r="AL116" s="5">
        <f>(AG116-T116)/T116</f>
        <v>-0.60476190476190483</v>
      </c>
      <c r="AM116" s="5">
        <f>(AH116-U116)/U116</f>
        <v>-0.72727272727272729</v>
      </c>
      <c r="AN116" s="4">
        <v>0.41699999999999998</v>
      </c>
      <c r="AO116" s="4">
        <v>0.85099999999999998</v>
      </c>
      <c r="AP116" s="4">
        <v>0.14199999999999999</v>
      </c>
      <c r="AQ116" s="4">
        <v>0.1</v>
      </c>
      <c r="AR116" s="4">
        <v>0.245</v>
      </c>
      <c r="AS116" s="4">
        <v>0.72199999999999998</v>
      </c>
      <c r="AT116" s="4">
        <v>0.108</v>
      </c>
      <c r="AU116" s="4">
        <v>7.5999999999999998E-2</v>
      </c>
      <c r="AV116" s="7">
        <v>0.45900000000000002</v>
      </c>
      <c r="AW116" s="7">
        <v>0.90100000000000002</v>
      </c>
      <c r="AX116" s="7">
        <v>0.11600000000000001</v>
      </c>
      <c r="AY116" s="7">
        <v>8.4000000000000005E-2</v>
      </c>
      <c r="AZ116" s="7">
        <v>0.70199999999999996</v>
      </c>
      <c r="BA116" s="8">
        <f>(AV116-AN116)/AN116</f>
        <v>0.10071942446043175</v>
      </c>
      <c r="BB116" s="8">
        <f>(AW116-AO116)/AO116</f>
        <v>5.8754406580493593E-2</v>
      </c>
      <c r="BC116" s="8">
        <f>(AX116-AP116)/AP116</f>
        <v>-0.18309859154929567</v>
      </c>
      <c r="BD116" s="8">
        <f>(AY116-AQ116)/AQ116</f>
        <v>-0.16</v>
      </c>
      <c r="BE116" s="7">
        <v>0.20300000000000001</v>
      </c>
      <c r="BF116" s="7">
        <v>0.80100000000000005</v>
      </c>
      <c r="BG116" s="7">
        <v>9.0999999999999998E-2</v>
      </c>
      <c r="BH116" s="7">
        <v>6.6000000000000003E-2</v>
      </c>
      <c r="BI116" s="7">
        <v>0.71399999999999997</v>
      </c>
      <c r="BJ116" s="8">
        <f>(BE116-AN116)/AN116</f>
        <v>-0.51318944844124692</v>
      </c>
      <c r="BK116" s="8">
        <f>(BF116-AO116)/AO116</f>
        <v>-5.8754406580493461E-2</v>
      </c>
      <c r="BL116" s="8">
        <f>(BG116-AP116)/AP116</f>
        <v>-0.35915492957746475</v>
      </c>
      <c r="BM116" s="8">
        <f>(BH116-AQ116)/AQ116</f>
        <v>-0.34</v>
      </c>
      <c r="BN116" s="7">
        <v>0.34399999999999997</v>
      </c>
      <c r="BO116" s="7">
        <v>0.40600000000000003</v>
      </c>
      <c r="BP116" s="7">
        <v>0.157</v>
      </c>
      <c r="BQ116" s="7">
        <v>0.17799999999999999</v>
      </c>
      <c r="BR116" s="8">
        <f>(BN116-AR116)/AR116</f>
        <v>0.40408163265306113</v>
      </c>
      <c r="BS116" s="8">
        <f>(BO116-AS116)/AS116</f>
        <v>-0.43767313019390575</v>
      </c>
      <c r="BT116" s="8">
        <f>(BP116-AT116)/AT116</f>
        <v>0.45370370370370372</v>
      </c>
      <c r="BU116" s="8">
        <f>(BQ116-AU116)/AU116</f>
        <v>1.3421052631578947</v>
      </c>
      <c r="BV116" s="7">
        <f>(BN116-BE116)/BE116</f>
        <v>0.69458128078817705</v>
      </c>
      <c r="BW116" s="7">
        <f>(BO116-BF116)/BF116</f>
        <v>-0.49313358302122345</v>
      </c>
      <c r="BX116" s="7">
        <f>(BP116-BG116)/BG116</f>
        <v>0.72527472527472536</v>
      </c>
      <c r="BY116" s="7">
        <f>(BQ116-BH116)/BH116</f>
        <v>1.6969696969696968</v>
      </c>
      <c r="BZ116" s="7">
        <v>0.42199999999999999</v>
      </c>
      <c r="CA116" s="7">
        <v>0.91600000000000004</v>
      </c>
      <c r="CB116" s="7">
        <v>5.8999999999999997E-2</v>
      </c>
      <c r="CC116" s="7">
        <v>4.1000000000000002E-2</v>
      </c>
      <c r="CD116" s="7">
        <f>(BZ116-AR116)/AR116</f>
        <v>0.72244897959183674</v>
      </c>
      <c r="CE116" s="7">
        <f>(CA116-AS116)/AS116</f>
        <v>0.26869806094182835</v>
      </c>
      <c r="CF116" s="7">
        <f>(CB116-AT116)/AT116</f>
        <v>-0.45370370370370372</v>
      </c>
      <c r="CG116" s="7">
        <f>(CC116-AU116)/AU116</f>
        <v>-0.46052631578947367</v>
      </c>
      <c r="CH116" s="4">
        <f>(BZ116-BN116)/BN116</f>
        <v>0.2267441860465117</v>
      </c>
      <c r="CI116" s="4">
        <f>(CA116-BO116)/BO116</f>
        <v>1.2561576354679802</v>
      </c>
      <c r="CJ116" s="4">
        <f>(CB116-BP116)/BP116</f>
        <v>-0.62420382165605093</v>
      </c>
      <c r="CK116" s="4">
        <f>(CC116-BQ116)/BQ116</f>
        <v>-0.7696629213483146</v>
      </c>
      <c r="CL116" s="7">
        <v>0.63500000000000001</v>
      </c>
      <c r="CM116" s="7">
        <v>0.33900000000000002</v>
      </c>
      <c r="CN116" s="7">
        <f>CL116/CM116</f>
        <v>1.8731563421828907</v>
      </c>
    </row>
    <row r="117" spans="1:92" x14ac:dyDescent="0.3">
      <c r="A117" s="11" t="s">
        <v>118</v>
      </c>
      <c r="B117" s="13">
        <v>228</v>
      </c>
      <c r="C117" s="13">
        <v>8</v>
      </c>
      <c r="D117" s="13">
        <v>7</v>
      </c>
      <c r="E117" s="13">
        <v>1</v>
      </c>
      <c r="F117" s="13">
        <v>1</v>
      </c>
      <c r="G117" s="12" t="s">
        <v>43</v>
      </c>
      <c r="H117" s="4">
        <v>2.99</v>
      </c>
      <c r="I117" s="4">
        <v>0.55000000000000004</v>
      </c>
      <c r="J117" s="4">
        <v>3.58</v>
      </c>
      <c r="K117" s="4">
        <v>0.6</v>
      </c>
      <c r="L117" s="5">
        <f>(H117-I117)/(H117+I117)</f>
        <v>0.68926553672316393</v>
      </c>
      <c r="M117" s="5">
        <f>(J117-K117)/(J117+K117)</f>
        <v>0.7129186602870814</v>
      </c>
      <c r="N117" s="4">
        <v>0.36</v>
      </c>
      <c r="O117" s="4">
        <v>0.77700000000000002</v>
      </c>
      <c r="P117" s="4">
        <v>0.13700000000000001</v>
      </c>
      <c r="Q117" s="4">
        <v>0.09</v>
      </c>
      <c r="R117" s="4">
        <v>0.45</v>
      </c>
      <c r="S117" s="4">
        <v>0.68400000000000005</v>
      </c>
      <c r="T117" s="4">
        <v>0.20399999999999999</v>
      </c>
      <c r="U117" s="4">
        <v>0.1</v>
      </c>
      <c r="V117" s="4">
        <v>0.47</v>
      </c>
      <c r="W117" s="4">
        <v>0.94799999999999995</v>
      </c>
      <c r="X117" s="4">
        <v>6.6000000000000003E-2</v>
      </c>
      <c r="Y117" s="4">
        <v>0.03</v>
      </c>
      <c r="Z117" s="4">
        <v>0.49</v>
      </c>
      <c r="AA117" s="5">
        <f>(V117-N117)/N117</f>
        <v>0.30555555555555552</v>
      </c>
      <c r="AB117" s="5">
        <f>(W117-O117)/O117</f>
        <v>0.22007722007721997</v>
      </c>
      <c r="AC117" s="5">
        <f>(X117-P117)/P117</f>
        <v>-0.51824817518248179</v>
      </c>
      <c r="AD117" s="5">
        <f>(Y117-Q117)/Q117</f>
        <v>-0.66666666666666663</v>
      </c>
      <c r="AE117" s="4">
        <v>0.56000000000000005</v>
      </c>
      <c r="AF117" s="4">
        <v>0.85499999999999998</v>
      </c>
      <c r="AG117" s="4">
        <v>0.13800000000000001</v>
      </c>
      <c r="AH117" s="4">
        <v>0.04</v>
      </c>
      <c r="AI117" s="4">
        <v>0.57999999999999996</v>
      </c>
      <c r="AJ117" s="5">
        <f>(AE117-R117)/R117</f>
        <v>0.24444444444444452</v>
      </c>
      <c r="AK117" s="5">
        <f>(AF117-S117)/S117</f>
        <v>0.24999999999999989</v>
      </c>
      <c r="AL117" s="5">
        <f>(AG117-T117)/T117</f>
        <v>-0.32352941176470579</v>
      </c>
      <c r="AM117" s="5">
        <f>(AH117-U117)/U117</f>
        <v>-0.6</v>
      </c>
      <c r="AN117" s="4">
        <v>0.41799999999999998</v>
      </c>
      <c r="AO117" s="4">
        <v>0.89500000000000002</v>
      </c>
      <c r="AP117" s="4">
        <v>0.158</v>
      </c>
      <c r="AQ117" s="4">
        <v>9.1999999999999998E-2</v>
      </c>
      <c r="AR117" s="4">
        <v>0.28899999999999998</v>
      </c>
      <c r="AS117" s="4">
        <v>0.79300000000000004</v>
      </c>
      <c r="AT117" s="4">
        <v>0.107</v>
      </c>
      <c r="AU117" s="4">
        <v>8.3000000000000004E-2</v>
      </c>
      <c r="AV117" s="7">
        <v>0.38900000000000001</v>
      </c>
      <c r="AW117" s="7">
        <v>0.90600000000000003</v>
      </c>
      <c r="AX117" s="7">
        <v>0.15</v>
      </c>
      <c r="AY117" s="7">
        <v>8.5000000000000006E-2</v>
      </c>
      <c r="AZ117" s="7">
        <v>0.80900000000000005</v>
      </c>
      <c r="BA117" s="8">
        <f>(AV117-AN117)/AN117</f>
        <v>-6.9377990430621941E-2</v>
      </c>
      <c r="BB117" s="8">
        <f>(AW117-AO117)/AO117</f>
        <v>1.2290502793296101E-2</v>
      </c>
      <c r="BC117" s="8">
        <f>(AX117-AP117)/AP117</f>
        <v>-5.0632911392405111E-2</v>
      </c>
      <c r="BD117" s="8">
        <f>(AY117-AQ117)/AQ117</f>
        <v>-7.6086956521739052E-2</v>
      </c>
      <c r="BE117" s="4">
        <v>0.31</v>
      </c>
      <c r="BF117" s="4">
        <v>0.81</v>
      </c>
      <c r="BG117" s="4">
        <v>0.10299999999999999</v>
      </c>
      <c r="BH117" s="4">
        <v>7.6999999999999999E-2</v>
      </c>
      <c r="BI117" s="4">
        <v>0.83299999999999996</v>
      </c>
      <c r="BJ117" s="5">
        <f>(BE117-AN117)/AN117</f>
        <v>-0.25837320574162675</v>
      </c>
      <c r="BK117" s="5">
        <f>(BF117-AO117)/AO117</f>
        <v>-9.4972067039106101E-2</v>
      </c>
      <c r="BL117" s="5">
        <f>(BG117-AP117)/AP117</f>
        <v>-0.34810126582278483</v>
      </c>
      <c r="BM117" s="5">
        <f>(BH117-AQ117)/AQ117</f>
        <v>-0.16304347826086957</v>
      </c>
      <c r="BN117" s="4">
        <v>0.35599999999999998</v>
      </c>
      <c r="BO117" s="4">
        <v>0.42299999999999999</v>
      </c>
      <c r="BP117" s="4">
        <v>0.17899999999999999</v>
      </c>
      <c r="BQ117" s="4">
        <v>0.22</v>
      </c>
      <c r="BR117" s="5">
        <f>(BN117-AR117)/AR117</f>
        <v>0.2318339100346021</v>
      </c>
      <c r="BS117" s="5">
        <f>(BO117-AS117)/AS117</f>
        <v>-0.46658259773013877</v>
      </c>
      <c r="BT117" s="5">
        <f>(BP117-AT117)/AT117</f>
        <v>0.67289719626168221</v>
      </c>
      <c r="BU117" s="5">
        <f>(BQ117-AU117)/AU117</f>
        <v>1.6506024096385543</v>
      </c>
      <c r="BV117" s="4">
        <f>(BN117-BE117)/BE117</f>
        <v>0.14838709677419351</v>
      </c>
      <c r="BW117" s="4">
        <f>(BO117-BF117)/BF117</f>
        <v>-0.4777777777777778</v>
      </c>
      <c r="BX117" s="4">
        <f>(BP117-BG117)/BG117</f>
        <v>0.73786407766990292</v>
      </c>
      <c r="BY117" s="4">
        <f>(BQ117-BH117)/BH117</f>
        <v>1.8571428571428574</v>
      </c>
      <c r="BZ117" s="7">
        <v>0.45600000000000002</v>
      </c>
      <c r="CA117" s="7">
        <v>0.91300000000000003</v>
      </c>
      <c r="CB117" s="7">
        <v>6.9000000000000006E-2</v>
      </c>
      <c r="CC117" s="7">
        <v>3.6999999999999998E-2</v>
      </c>
      <c r="CD117" s="7">
        <f>(BZ117-AR117)/AR117</f>
        <v>0.57785467128027701</v>
      </c>
      <c r="CE117" s="7">
        <f>(CA117-AS117)/AS117</f>
        <v>0.15132408575031525</v>
      </c>
      <c r="CF117" s="7">
        <f>(CB117-AT117)/AT117</f>
        <v>-0.35514018691588778</v>
      </c>
      <c r="CG117" s="7">
        <f>(CC117-AU117)/AU117</f>
        <v>-0.55421686746987953</v>
      </c>
      <c r="CH117" s="4">
        <f>(BZ117-BN117)/BN117</f>
        <v>0.28089887640449451</v>
      </c>
      <c r="CI117" s="4">
        <f>(CA117-BO117)/BO117</f>
        <v>1.1583924349881798</v>
      </c>
      <c r="CJ117" s="4">
        <f>(CB117-BP117)/BP117</f>
        <v>-0.61452513966480438</v>
      </c>
      <c r="CK117" s="4">
        <f>(CC117-BQ117)/BQ117</f>
        <v>-0.83181818181818179</v>
      </c>
      <c r="CL117" s="7">
        <v>0.67300000000000004</v>
      </c>
      <c r="CM117" s="7">
        <v>0.28399999999999997</v>
      </c>
      <c r="CN117" s="7">
        <f>CL117/CM117</f>
        <v>2.3697183098591554</v>
      </c>
    </row>
    <row r="118" spans="1:92" x14ac:dyDescent="0.3">
      <c r="A118" s="11" t="s">
        <v>119</v>
      </c>
      <c r="B118" s="13">
        <v>109</v>
      </c>
      <c r="C118" s="13">
        <v>7</v>
      </c>
      <c r="D118" s="13">
        <v>11</v>
      </c>
      <c r="E118" s="13">
        <v>1</v>
      </c>
      <c r="F118" s="13">
        <v>1</v>
      </c>
      <c r="G118" s="12" t="s">
        <v>43</v>
      </c>
      <c r="H118" s="4">
        <v>3.38</v>
      </c>
      <c r="I118" s="4">
        <v>0.59</v>
      </c>
      <c r="J118" s="9">
        <v>3.55</v>
      </c>
      <c r="K118" s="9">
        <v>0.49</v>
      </c>
      <c r="L118" s="6">
        <f>(H118-I118)/(H118+I118)</f>
        <v>0.70277078085642319</v>
      </c>
      <c r="M118" s="6">
        <f>(J118-K118)/(J118+K118)</f>
        <v>0.75742574257425732</v>
      </c>
      <c r="N118" s="9">
        <v>0.48</v>
      </c>
      <c r="O118" s="9">
        <v>0.67900000000000005</v>
      </c>
      <c r="P118" s="9">
        <v>0.222</v>
      </c>
      <c r="Q118" s="9">
        <v>0.11</v>
      </c>
      <c r="R118" s="9">
        <v>0.51</v>
      </c>
      <c r="S118" s="9">
        <v>0.68500000000000005</v>
      </c>
      <c r="T118" s="9">
        <v>0.23</v>
      </c>
      <c r="U118" s="9">
        <v>0.1</v>
      </c>
      <c r="V118" s="4">
        <v>0.61</v>
      </c>
      <c r="W118" s="4">
        <v>0.84</v>
      </c>
      <c r="X118" s="4">
        <v>0.156</v>
      </c>
      <c r="Y118" s="4">
        <v>0.05</v>
      </c>
      <c r="Z118" s="4">
        <v>0.54</v>
      </c>
      <c r="AA118" s="5">
        <f>(V118-N118)/N118</f>
        <v>0.27083333333333337</v>
      </c>
      <c r="AB118" s="5">
        <f>(W118-O118)/O118</f>
        <v>0.23711340206185555</v>
      </c>
      <c r="AC118" s="5">
        <f>(X118-P118)/P118</f>
        <v>-0.29729729729729731</v>
      </c>
      <c r="AD118" s="6">
        <f>(Y118-Q118)/Q118</f>
        <v>-0.54545454545454541</v>
      </c>
      <c r="AE118" s="9">
        <v>0.61</v>
      </c>
      <c r="AF118" s="9">
        <v>0.74399999999999999</v>
      </c>
      <c r="AG118" s="9">
        <v>0.20699999999999999</v>
      </c>
      <c r="AH118" s="9">
        <v>0.06</v>
      </c>
      <c r="AI118" s="9">
        <v>0.62</v>
      </c>
      <c r="AJ118" s="6">
        <f>(AE118-R118)/R118</f>
        <v>0.19607843137254896</v>
      </c>
      <c r="AK118" s="5">
        <f>(AF118-S118)/S118</f>
        <v>8.6131386861313775E-2</v>
      </c>
      <c r="AL118" s="5">
        <f>(AG118-T118)/T118</f>
        <v>-0.10000000000000009</v>
      </c>
      <c r="AM118" s="5">
        <f>(AH118-U118)/U118</f>
        <v>-0.40000000000000008</v>
      </c>
      <c r="AN118" s="7">
        <v>0.60699999999999998</v>
      </c>
      <c r="AO118" s="7">
        <v>0.98899999999999999</v>
      </c>
      <c r="AP118" s="7">
        <v>0.23</v>
      </c>
      <c r="AQ118" s="7">
        <v>9.0999999999999998E-2</v>
      </c>
      <c r="AR118" s="4">
        <v>0.48799999999999999</v>
      </c>
      <c r="AS118" s="4">
        <v>0.60599999999999998</v>
      </c>
      <c r="AT118" s="4">
        <v>0.20899999999999999</v>
      </c>
      <c r="AU118" s="4">
        <v>0.106</v>
      </c>
      <c r="AV118" s="7">
        <v>0.61</v>
      </c>
      <c r="AW118" s="7">
        <v>0.89400000000000002</v>
      </c>
      <c r="AX118" s="7">
        <v>0.23400000000000001</v>
      </c>
      <c r="AY118" s="7">
        <v>8.7999999999999995E-2</v>
      </c>
      <c r="AZ118" s="7">
        <v>0.84299999999999997</v>
      </c>
      <c r="BA118" s="8">
        <f>(AV118-AN118)/AN118</f>
        <v>4.9423393739703508E-3</v>
      </c>
      <c r="BB118" s="8">
        <f>(AW118-AO118)/AO118</f>
        <v>-9.6056622851364987E-2</v>
      </c>
      <c r="BC118" s="8">
        <f>(AX118-AP118)/AP118</f>
        <v>1.7391304347826101E-2</v>
      </c>
      <c r="BD118" s="8">
        <f>(AY118-AQ118)/AQ118</f>
        <v>-3.2967032967032996E-2</v>
      </c>
      <c r="BE118" s="9">
        <v>0.59499999999999997</v>
      </c>
      <c r="BF118" s="4">
        <v>0.65300000000000002</v>
      </c>
      <c r="BG118" s="4">
        <v>0.19700000000000001</v>
      </c>
      <c r="BH118" s="4">
        <v>0.1</v>
      </c>
      <c r="BI118" s="4">
        <v>0.64800000000000002</v>
      </c>
      <c r="BJ118" s="5">
        <f>(BE118-AN118)/AN118</f>
        <v>-1.9769357495881403E-2</v>
      </c>
      <c r="BK118" s="5">
        <f>(BF118-AO118)/AO118</f>
        <v>-0.33973710819009095</v>
      </c>
      <c r="BL118" s="5">
        <f>(BG118-AP118)/AP118</f>
        <v>-0.14347826086956522</v>
      </c>
      <c r="BM118" s="5">
        <f>(BH118-AQ118)/AQ118</f>
        <v>9.8901098901098994E-2</v>
      </c>
      <c r="BN118" s="4">
        <v>0.61599999999999999</v>
      </c>
      <c r="BO118" s="4">
        <v>0.61299999999999999</v>
      </c>
      <c r="BP118" s="4">
        <v>0.20799999999999999</v>
      </c>
      <c r="BQ118" s="4">
        <v>0.24399999999999999</v>
      </c>
      <c r="BR118" s="5">
        <f>(BN118-AR118)/AR118</f>
        <v>0.26229508196721313</v>
      </c>
      <c r="BS118" s="5">
        <f>(BO118-AS118)/AS118</f>
        <v>1.1551155115511563E-2</v>
      </c>
      <c r="BT118" s="5">
        <f>(BP118-AT118)/AT118</f>
        <v>-4.7846889952153152E-3</v>
      </c>
      <c r="BU118" s="5">
        <f>(BQ118-AU118)/AU118</f>
        <v>1.3018867924528303</v>
      </c>
      <c r="BV118" s="4">
        <f>(BN118-BE118)/BE118</f>
        <v>3.5294117647058858E-2</v>
      </c>
      <c r="BW118" s="4">
        <f>(BO118-BF118)/BF118</f>
        <v>-6.1255742725880601E-2</v>
      </c>
      <c r="BX118" s="4">
        <f>(BP118-BG118)/BG118</f>
        <v>5.5837563451776553E-2</v>
      </c>
      <c r="BY118" s="4">
        <f>(BQ118-BH118)/BH118</f>
        <v>1.4399999999999997</v>
      </c>
      <c r="BZ118" s="7">
        <v>0.625</v>
      </c>
      <c r="CA118" s="7">
        <v>0.78500000000000003</v>
      </c>
      <c r="CB118" s="7">
        <v>0.155</v>
      </c>
      <c r="CC118" s="7">
        <v>4.7E-2</v>
      </c>
      <c r="CD118" s="7">
        <f>(BZ118-AR118)/AR118</f>
        <v>0.28073770491803279</v>
      </c>
      <c r="CE118" s="7">
        <f>(CA118-AS118)/AS118</f>
        <v>0.29537953795379546</v>
      </c>
      <c r="CF118" s="7">
        <f>(CB118-AT118)/AT118</f>
        <v>-0.25837320574162675</v>
      </c>
      <c r="CG118" s="7">
        <f>(CC118-AU118)/AU118</f>
        <v>-0.55660377358490565</v>
      </c>
      <c r="CH118" s="4">
        <f>(BZ118-BN118)/BN118</f>
        <v>1.4610389610389624E-2</v>
      </c>
      <c r="CI118" s="4">
        <f>(CA118-BO118)/BO118</f>
        <v>0.28058727569331166</v>
      </c>
      <c r="CJ118" s="4">
        <f>(CB118-BP118)/BP118</f>
        <v>-0.25480769230769229</v>
      </c>
      <c r="CK118" s="4">
        <f>(CC118-BQ118)/BQ118</f>
        <v>-0.80737704918032793</v>
      </c>
      <c r="CL118" s="7">
        <v>0.432</v>
      </c>
      <c r="CM118" s="7">
        <v>0.59199999999999997</v>
      </c>
      <c r="CN118" s="7">
        <f>CL118/CM118</f>
        <v>0.72972972972972971</v>
      </c>
    </row>
    <row r="119" spans="1:92" x14ac:dyDescent="0.3">
      <c r="A119" s="11" t="s">
        <v>120</v>
      </c>
      <c r="B119" s="13">
        <v>408</v>
      </c>
      <c r="C119" s="13">
        <v>7</v>
      </c>
      <c r="D119" s="13">
        <v>11</v>
      </c>
      <c r="E119" s="13">
        <v>1</v>
      </c>
      <c r="F119" s="13">
        <v>1</v>
      </c>
      <c r="G119" s="12" t="s">
        <v>43</v>
      </c>
      <c r="H119" s="4">
        <v>3.6</v>
      </c>
      <c r="I119" s="4">
        <v>0.47</v>
      </c>
      <c r="J119" s="9">
        <v>4.0199999999999996</v>
      </c>
      <c r="K119" s="9">
        <v>0.45</v>
      </c>
      <c r="L119" s="6">
        <f>(H119-I119)/(H119+I119)</f>
        <v>0.76904176904176891</v>
      </c>
      <c r="M119" s="6">
        <f>(J119-K119)/(J119+K119)</f>
        <v>0.79865771812080533</v>
      </c>
      <c r="N119" s="9">
        <v>0.51</v>
      </c>
      <c r="O119" s="9">
        <v>0.81100000000000005</v>
      </c>
      <c r="P119" s="9">
        <v>0.185</v>
      </c>
      <c r="Q119" s="9">
        <v>0.09</v>
      </c>
      <c r="R119" s="9">
        <v>0.56999999999999995</v>
      </c>
      <c r="S119" s="9">
        <v>0.83</v>
      </c>
      <c r="T119" s="9">
        <v>0.19900000000000001</v>
      </c>
      <c r="U119" s="9">
        <v>0.09</v>
      </c>
      <c r="V119" s="4">
        <v>0.62</v>
      </c>
      <c r="W119" s="4">
        <v>0.86399999999999999</v>
      </c>
      <c r="X119" s="4">
        <v>0.157</v>
      </c>
      <c r="Y119" s="4">
        <v>0.04</v>
      </c>
      <c r="Z119" s="4">
        <v>0.47</v>
      </c>
      <c r="AA119" s="5">
        <f>(V119-N119)/N119</f>
        <v>0.2156862745098039</v>
      </c>
      <c r="AB119" s="5">
        <f>(W119-O119)/O119</f>
        <v>6.5351418002466008E-2</v>
      </c>
      <c r="AC119" s="5">
        <f>(X119-P119)/P119</f>
        <v>-0.15135135135135133</v>
      </c>
      <c r="AD119" s="5">
        <f>(Y119-Q119)/Q119</f>
        <v>-0.55555555555555558</v>
      </c>
      <c r="AE119" s="9">
        <v>0.69</v>
      </c>
      <c r="AF119" s="9">
        <v>0.86499999999999999</v>
      </c>
      <c r="AG119" s="9">
        <v>0.17699999999999999</v>
      </c>
      <c r="AH119" s="9">
        <v>0.03</v>
      </c>
      <c r="AI119" s="9">
        <v>0.49</v>
      </c>
      <c r="AJ119" s="5">
        <f>(AE119-R119)/R119</f>
        <v>0.2105263157894737</v>
      </c>
      <c r="AK119" s="5">
        <f>(AF119-S119)/S119</f>
        <v>4.2168674698795219E-2</v>
      </c>
      <c r="AL119" s="5">
        <f>(AG119-T119)/T119</f>
        <v>-0.11055276381909557</v>
      </c>
      <c r="AM119" s="5">
        <f>(AH119-U119)/U119</f>
        <v>-0.66666666666666663</v>
      </c>
      <c r="AN119" s="7">
        <v>0.72699999999999998</v>
      </c>
      <c r="AO119" s="7">
        <v>0.91900000000000004</v>
      </c>
      <c r="AP119" s="7">
        <v>0.23499999999999999</v>
      </c>
      <c r="AQ119" s="7">
        <v>8.5999999999999993E-2</v>
      </c>
      <c r="AR119" s="4">
        <v>0.60099999999999998</v>
      </c>
      <c r="AS119" s="4">
        <v>0.79700000000000004</v>
      </c>
      <c r="AT119" s="4">
        <v>0.17</v>
      </c>
      <c r="AU119" s="4">
        <v>8.3000000000000004E-2</v>
      </c>
      <c r="AV119" s="7">
        <v>0.73599999999999999</v>
      </c>
      <c r="AW119" s="7">
        <v>0.97099999999999997</v>
      </c>
      <c r="AX119" s="7">
        <v>0.14099999999999999</v>
      </c>
      <c r="AY119" s="7">
        <v>4.4999999999999998E-2</v>
      </c>
      <c r="AZ119" s="7">
        <v>0.502</v>
      </c>
      <c r="BA119" s="8">
        <f>(AV119-AN119)/AN119</f>
        <v>1.237964236588722E-2</v>
      </c>
      <c r="BB119" s="8">
        <f>(AW119-AO119)/AO119</f>
        <v>5.6583242655059776E-2</v>
      </c>
      <c r="BC119" s="8">
        <f>(AX119-AP119)/AP119</f>
        <v>-0.4</v>
      </c>
      <c r="BD119" s="8">
        <f>(AY119-AQ119)/AQ119</f>
        <v>-0.47674418604651159</v>
      </c>
      <c r="BE119" s="4">
        <v>0.627</v>
      </c>
      <c r="BF119" s="4">
        <v>0.85899999999999999</v>
      </c>
      <c r="BG119" s="4">
        <v>0.14199999999999999</v>
      </c>
      <c r="BH119" s="4">
        <v>5.0999999999999997E-2</v>
      </c>
      <c r="BI119" s="4">
        <v>0.47799999999999998</v>
      </c>
      <c r="BJ119" s="5">
        <f>(BE119-AN119)/AN119</f>
        <v>-0.13755158184319116</v>
      </c>
      <c r="BK119" s="5">
        <f>(BF119-AO119)/AO119</f>
        <v>-6.52883569096845E-2</v>
      </c>
      <c r="BL119" s="5">
        <f>(BG119-AP119)/AP119</f>
        <v>-0.39574468085106385</v>
      </c>
      <c r="BM119" s="5">
        <f>(BH119-AQ119)/AQ119</f>
        <v>-0.40697674418604651</v>
      </c>
      <c r="BN119" s="4">
        <v>0.61499999999999999</v>
      </c>
      <c r="BO119" s="4">
        <v>0.78500000000000003</v>
      </c>
      <c r="BP119" s="4">
        <v>0.17599999999999999</v>
      </c>
      <c r="BQ119" s="4">
        <v>0.185</v>
      </c>
      <c r="BR119" s="5">
        <f>(BN119-AR119)/AR119</f>
        <v>2.329450915141433E-2</v>
      </c>
      <c r="BS119" s="5">
        <f>(BO119-AS119)/AS119</f>
        <v>-1.5056461731493111E-2</v>
      </c>
      <c r="BT119" s="5">
        <f>(BP119-AT119)/AT119</f>
        <v>3.5294117647058691E-2</v>
      </c>
      <c r="BU119" s="5">
        <f>(BQ119-AU119)/AU119</f>
        <v>1.2289156626506024</v>
      </c>
      <c r="BV119" s="4">
        <f>(BN119-BE119)/BE119</f>
        <v>-1.9138755980861261E-2</v>
      </c>
      <c r="BW119" s="4">
        <f>(BO119-BF119)/BF119</f>
        <v>-8.6146682188591339E-2</v>
      </c>
      <c r="BX119" s="4">
        <f>(BP119-BG119)/BG119</f>
        <v>0.2394366197183099</v>
      </c>
      <c r="BY119" s="4">
        <f>(BQ119-BH119)/BH119</f>
        <v>2.6274509803921573</v>
      </c>
      <c r="BZ119" s="7">
        <v>0.72</v>
      </c>
      <c r="CA119" s="7">
        <v>0.96</v>
      </c>
      <c r="CB119" s="7">
        <v>7.4999999999999997E-2</v>
      </c>
      <c r="CC119" s="7">
        <v>1.9E-2</v>
      </c>
      <c r="CD119" s="7">
        <f>(BZ119-AR119)/AR119</f>
        <v>0.19800332778702162</v>
      </c>
      <c r="CE119" s="7">
        <f>(CA119-AS119)/AS119</f>
        <v>0.20451693851944783</v>
      </c>
      <c r="CF119" s="7">
        <f>(CB119-AT119)/AT119</f>
        <v>-0.55882352941176472</v>
      </c>
      <c r="CG119" s="7">
        <f>(CC119-AU119)/AU119</f>
        <v>-0.77108433734939752</v>
      </c>
      <c r="CH119" s="4">
        <f>(BZ119-BN119)/BN119</f>
        <v>0.17073170731707316</v>
      </c>
      <c r="CI119" s="4">
        <f>(CA119-BO119)/BO119</f>
        <v>0.22292993630573238</v>
      </c>
      <c r="CJ119" s="4">
        <f>(CB119-BP119)/BP119</f>
        <v>-0.57386363636363635</v>
      </c>
      <c r="CK119" s="4">
        <f>(CC119-BQ119)/BQ119</f>
        <v>-0.89729729729729735</v>
      </c>
      <c r="CL119" s="7">
        <v>0.65</v>
      </c>
      <c r="CM119" s="7">
        <v>0.46899999999999997</v>
      </c>
      <c r="CN119" s="7">
        <f>CL119/CM119</f>
        <v>1.3859275053304905</v>
      </c>
    </row>
    <row r="120" spans="1:92" x14ac:dyDescent="0.3">
      <c r="A120" s="14" t="s">
        <v>121</v>
      </c>
      <c r="B120" s="15">
        <v>153</v>
      </c>
      <c r="C120" s="15">
        <v>7</v>
      </c>
      <c r="D120" s="15">
        <v>11</v>
      </c>
      <c r="E120" s="15">
        <v>1</v>
      </c>
      <c r="F120" s="15">
        <v>1</v>
      </c>
      <c r="G120" s="16" t="s">
        <v>43</v>
      </c>
      <c r="H120" s="9">
        <v>3.8</v>
      </c>
      <c r="I120" s="9">
        <v>0.3</v>
      </c>
      <c r="J120" s="9">
        <v>3.82</v>
      </c>
      <c r="K120" s="9">
        <v>0.27</v>
      </c>
      <c r="L120" s="6">
        <f>(H120-I120)/(H120+I120)</f>
        <v>0.85365853658536595</v>
      </c>
      <c r="M120" s="6">
        <f>(J120-K120)/(J120+K120)</f>
        <v>0.86797066014669921</v>
      </c>
      <c r="N120" s="9">
        <v>0.54</v>
      </c>
      <c r="O120" s="9">
        <v>0.82499999999999996</v>
      </c>
      <c r="P120" s="9">
        <v>0.183</v>
      </c>
      <c r="Q120" s="9">
        <v>7.0000000000000007E-2</v>
      </c>
      <c r="R120" s="9">
        <v>0.55000000000000004</v>
      </c>
      <c r="S120" s="9">
        <v>0.88300000000000001</v>
      </c>
      <c r="T120" s="9">
        <v>0.14699999999999999</v>
      </c>
      <c r="U120" s="9">
        <v>0.06</v>
      </c>
      <c r="V120" s="9">
        <v>0.61</v>
      </c>
      <c r="W120" s="9">
        <v>0.78800000000000003</v>
      </c>
      <c r="X120" s="9">
        <v>0.20100000000000001</v>
      </c>
      <c r="Y120" s="9">
        <v>0.04</v>
      </c>
      <c r="Z120" s="9">
        <v>0.71</v>
      </c>
      <c r="AA120" s="6">
        <f>(V120-N120)/N120</f>
        <v>0.12962962962962954</v>
      </c>
      <c r="AB120" s="6">
        <f>(W120-O120)/O120</f>
        <v>-4.4848484848484756E-2</v>
      </c>
      <c r="AC120" s="6">
        <f>(X120-P120)/P120</f>
        <v>9.8360655737705013E-2</v>
      </c>
      <c r="AD120" s="6">
        <f>(Y120-Q120)/Q120</f>
        <v>-0.4285714285714286</v>
      </c>
      <c r="AE120" s="9">
        <v>0.65</v>
      </c>
      <c r="AF120" s="9">
        <v>0.91300000000000003</v>
      </c>
      <c r="AG120" s="9">
        <v>0.126</v>
      </c>
      <c r="AH120" s="9">
        <v>0.03</v>
      </c>
      <c r="AI120" s="9">
        <v>0.56000000000000005</v>
      </c>
      <c r="AJ120" s="5">
        <f>(AE120-R120)/R120</f>
        <v>0.18181818181818177</v>
      </c>
      <c r="AK120" s="5">
        <f>(AF120-S120)/S120</f>
        <v>3.3975084937712376E-2</v>
      </c>
      <c r="AL120" s="5">
        <f>(AG120-T120)/T120</f>
        <v>-0.14285714285714279</v>
      </c>
      <c r="AM120" s="5">
        <f>(AH120-U120)/U120</f>
        <v>-0.5</v>
      </c>
      <c r="AN120" s="7">
        <v>0.46400000000000002</v>
      </c>
      <c r="AO120" s="7">
        <v>0.97099999999999997</v>
      </c>
      <c r="AP120" s="7">
        <v>0.14199999999999999</v>
      </c>
      <c r="AQ120" s="7">
        <v>5.5E-2</v>
      </c>
      <c r="AR120" s="9">
        <v>0.49199999999999999</v>
      </c>
      <c r="AS120" s="9">
        <v>0.81599999999999995</v>
      </c>
      <c r="AT120" s="9">
        <v>0.159</v>
      </c>
      <c r="AU120" s="9">
        <v>6.6000000000000003E-2</v>
      </c>
      <c r="AV120" s="7">
        <v>0.56699999999999995</v>
      </c>
      <c r="AW120" s="7">
        <v>0.98799999999999999</v>
      </c>
      <c r="AX120" s="7">
        <v>9.2999999999999999E-2</v>
      </c>
      <c r="AY120" s="7">
        <v>3.6999999999999998E-2</v>
      </c>
      <c r="AZ120" s="7">
        <v>0.75900000000000001</v>
      </c>
      <c r="BA120" s="8">
        <f>(AV120-AN120)/AN120</f>
        <v>0.22198275862068947</v>
      </c>
      <c r="BB120" s="8">
        <f>(AW120-AO120)/AO120</f>
        <v>1.7507723995880551E-2</v>
      </c>
      <c r="BC120" s="8">
        <f>(AX120-AP120)/AP120</f>
        <v>-0.3450704225352112</v>
      </c>
      <c r="BD120" s="8">
        <f>(AY120-AQ120)/AQ120</f>
        <v>-0.32727272727272733</v>
      </c>
      <c r="BE120" s="4">
        <v>0.53100000000000003</v>
      </c>
      <c r="BF120" s="4">
        <v>0.84699999999999998</v>
      </c>
      <c r="BG120" s="4">
        <v>0.14499999999999999</v>
      </c>
      <c r="BH120" s="4">
        <v>5.1999999999999998E-2</v>
      </c>
      <c r="BI120" s="4">
        <v>0.73499999999999999</v>
      </c>
      <c r="BJ120" s="5">
        <f>(BE120-AN120)/AN120</f>
        <v>0.14439655172413793</v>
      </c>
      <c r="BK120" s="5">
        <f>(BF120-AO120)/AO120</f>
        <v>-0.12770339855818744</v>
      </c>
      <c r="BL120" s="5">
        <f>(BG120-AP120)/AP120</f>
        <v>2.1126760563380302E-2</v>
      </c>
      <c r="BM120" s="5">
        <f>(BH120-AQ120)/AQ120</f>
        <v>-5.4545454545454591E-2</v>
      </c>
      <c r="BN120" s="7">
        <v>0.66500000000000004</v>
      </c>
      <c r="BO120" s="7">
        <v>0.70599999999999996</v>
      </c>
      <c r="BP120" s="7">
        <v>0.20100000000000001</v>
      </c>
      <c r="BQ120" s="7">
        <v>0.26400000000000001</v>
      </c>
      <c r="BR120" s="8">
        <f>(BN120-AR120)/AR120</f>
        <v>0.35162601626016271</v>
      </c>
      <c r="BS120" s="8">
        <f>(BO120-AS120)/AS120</f>
        <v>-0.13480392156862744</v>
      </c>
      <c r="BT120" s="8">
        <f>(BP120-AT120)/AT120</f>
        <v>0.26415094339622647</v>
      </c>
      <c r="BU120" s="8">
        <f>(BQ120-AU120)/AU120</f>
        <v>3</v>
      </c>
      <c r="BV120" s="7">
        <f>(BN120-BE120)/BE120</f>
        <v>0.25235404896421848</v>
      </c>
      <c r="BW120" s="7">
        <f>(BO120-BF120)/BF120</f>
        <v>-0.16646989374262103</v>
      </c>
      <c r="BX120" s="7">
        <f>(BP120-BG120)/BG120</f>
        <v>0.3862068965517243</v>
      </c>
      <c r="BY120" s="7">
        <f>(BQ120-BH120)/BH120</f>
        <v>4.0769230769230775</v>
      </c>
      <c r="BZ120" s="7">
        <v>0.64900000000000002</v>
      </c>
      <c r="CA120" s="7">
        <v>0.93899999999999995</v>
      </c>
      <c r="CB120" s="7">
        <v>9.0999999999999998E-2</v>
      </c>
      <c r="CC120" s="7">
        <v>3.5000000000000003E-2</v>
      </c>
      <c r="CD120" s="7">
        <f>(BZ120-AR120)/AR120</f>
        <v>0.31910569105691061</v>
      </c>
      <c r="CE120" s="7">
        <f>(CA120-AS120)/AS120</f>
        <v>0.15073529411764708</v>
      </c>
      <c r="CF120" s="7">
        <f>(CB120-AT120)/AT120</f>
        <v>-0.42767295597484278</v>
      </c>
      <c r="CG120" s="7">
        <f>(CC120-AU120)/AU120</f>
        <v>-0.46969696969696967</v>
      </c>
      <c r="CH120" s="4">
        <f>(BZ120-BN120)/BN120</f>
        <v>-2.4060150375939868E-2</v>
      </c>
      <c r="CI120" s="4">
        <f>(CA120-BO120)/BO120</f>
        <v>0.33002832861189801</v>
      </c>
      <c r="CJ120" s="4">
        <f>(CB120-BP120)/BP120</f>
        <v>-0.54726368159203986</v>
      </c>
      <c r="CK120" s="4">
        <f>(CC120-BQ120)/BQ120</f>
        <v>-0.86742424242424243</v>
      </c>
      <c r="CL120" s="7">
        <v>0.75</v>
      </c>
      <c r="CM120" s="7">
        <v>0.33500000000000002</v>
      </c>
      <c r="CN120" s="7">
        <f>CL120/CM120</f>
        <v>2.2388059701492535</v>
      </c>
    </row>
    <row r="121" spans="1:92" x14ac:dyDescent="0.3">
      <c r="A121" s="14" t="s">
        <v>122</v>
      </c>
      <c r="B121" s="15">
        <v>177</v>
      </c>
      <c r="C121" s="15">
        <v>7</v>
      </c>
      <c r="D121" s="15">
        <v>11</v>
      </c>
      <c r="E121" s="15">
        <v>1</v>
      </c>
      <c r="F121" s="15">
        <v>1</v>
      </c>
      <c r="G121" s="16" t="s">
        <v>43</v>
      </c>
      <c r="H121" s="9">
        <v>3.35</v>
      </c>
      <c r="I121" s="9">
        <v>0.5</v>
      </c>
      <c r="J121" s="9">
        <v>3.63</v>
      </c>
      <c r="K121" s="9">
        <v>0.56999999999999995</v>
      </c>
      <c r="L121" s="6">
        <f>(H121-I121)/(H121+I121)</f>
        <v>0.74025974025974028</v>
      </c>
      <c r="M121" s="6">
        <f>(J121-K121)/(J121+K121)</f>
        <v>0.72857142857142854</v>
      </c>
      <c r="N121" s="9">
        <v>0.48</v>
      </c>
      <c r="O121" s="9">
        <v>0.83299999999999996</v>
      </c>
      <c r="P121" s="9">
        <v>0.16300000000000001</v>
      </c>
      <c r="Q121" s="9">
        <v>0.1</v>
      </c>
      <c r="R121" s="9">
        <v>0.52</v>
      </c>
      <c r="S121" s="9">
        <v>0.80300000000000005</v>
      </c>
      <c r="T121" s="9">
        <v>0.19900000000000001</v>
      </c>
      <c r="U121" s="9">
        <v>0.11</v>
      </c>
      <c r="V121" s="9">
        <v>0.6</v>
      </c>
      <c r="W121" s="9">
        <v>0.91300000000000003</v>
      </c>
      <c r="X121" s="9">
        <v>0.11700000000000001</v>
      </c>
      <c r="Y121" s="9">
        <v>0.03</v>
      </c>
      <c r="Z121" s="9">
        <v>0.26</v>
      </c>
      <c r="AA121" s="6">
        <f>(V121-N121)/N121</f>
        <v>0.25</v>
      </c>
      <c r="AB121" s="6">
        <f>(W121-O121)/O121</f>
        <v>9.6038415366146546E-2</v>
      </c>
      <c r="AC121" s="6">
        <f>(X121-P121)/P121</f>
        <v>-0.2822085889570552</v>
      </c>
      <c r="AD121" s="6">
        <f>(Y121-Q121)/Q121</f>
        <v>-0.70000000000000007</v>
      </c>
      <c r="AE121" s="9">
        <v>0.66</v>
      </c>
      <c r="AF121" s="9">
        <v>0.89</v>
      </c>
      <c r="AG121" s="9">
        <v>0.14799999999999999</v>
      </c>
      <c r="AH121" s="9">
        <v>0.03</v>
      </c>
      <c r="AI121" s="9">
        <v>0.2</v>
      </c>
      <c r="AJ121" s="5">
        <f>(AE121-R121)/R121</f>
        <v>0.26923076923076927</v>
      </c>
      <c r="AK121" s="5">
        <f>(AF121-S121)/S121</f>
        <v>0.10834371108343706</v>
      </c>
      <c r="AL121" s="5">
        <f>(AG121-T121)/T121</f>
        <v>-0.25628140703517593</v>
      </c>
      <c r="AM121" s="5">
        <f>(AH121-U121)/U121</f>
        <v>-0.72727272727272729</v>
      </c>
      <c r="AN121" s="4">
        <v>0.71399999999999997</v>
      </c>
      <c r="AO121" s="4">
        <v>0.89800000000000002</v>
      </c>
      <c r="AP121" s="4">
        <v>0.26900000000000002</v>
      </c>
      <c r="AQ121" s="4">
        <v>0.10100000000000001</v>
      </c>
      <c r="AR121" s="4">
        <v>0.67</v>
      </c>
      <c r="AS121" s="4">
        <v>0.84099999999999997</v>
      </c>
      <c r="AT121" s="4">
        <v>0.14699999999999999</v>
      </c>
      <c r="AU121" s="4">
        <v>0.09</v>
      </c>
      <c r="AV121" s="4">
        <v>0.755</v>
      </c>
      <c r="AW121" s="4">
        <v>0.96599999999999997</v>
      </c>
      <c r="AX121" s="4">
        <v>0.155</v>
      </c>
      <c r="AY121" s="4">
        <v>5.7000000000000002E-2</v>
      </c>
      <c r="AZ121" s="4">
        <v>0.27500000000000002</v>
      </c>
      <c r="BA121" s="6">
        <f>(AV121-AN121)/AN121</f>
        <v>5.7422969187675123E-2</v>
      </c>
      <c r="BB121" s="6">
        <f>(AW121-AO121)/AO121</f>
        <v>7.5723830734966538E-2</v>
      </c>
      <c r="BC121" s="6">
        <f>(AX121-AP121)/AP121</f>
        <v>-0.42379182156133832</v>
      </c>
      <c r="BD121" s="6">
        <f>(AY121-AQ121)/AQ121</f>
        <v>-0.43564356435643564</v>
      </c>
      <c r="BE121" s="4">
        <v>0.66900000000000004</v>
      </c>
      <c r="BF121" s="4">
        <v>0.90200000000000002</v>
      </c>
      <c r="BG121" s="4">
        <v>0.115</v>
      </c>
      <c r="BH121" s="4">
        <v>5.5E-2</v>
      </c>
      <c r="BI121" s="4">
        <v>0.29199999999999998</v>
      </c>
      <c r="BJ121" s="5">
        <f>(BE121-AN121)/AN121</f>
        <v>-6.3025210084033514E-2</v>
      </c>
      <c r="BK121" s="5">
        <f>(BF121-AO121)/AO121</f>
        <v>4.4543429844098037E-3</v>
      </c>
      <c r="BL121" s="5">
        <f>(BG121-AP121)/AP121</f>
        <v>-0.57249070631970267</v>
      </c>
      <c r="BM121" s="5">
        <f>(BH121-AQ121)/AQ121</f>
        <v>-0.45544554455445546</v>
      </c>
      <c r="BN121" s="4">
        <v>0.66400000000000003</v>
      </c>
      <c r="BO121" s="4">
        <v>0.89900000000000002</v>
      </c>
      <c r="BP121" s="4">
        <v>0.11700000000000001</v>
      </c>
      <c r="BQ121" s="4">
        <v>0.115</v>
      </c>
      <c r="BR121" s="5">
        <f>(BN121-AR121)/AR121</f>
        <v>-8.9552238805970224E-3</v>
      </c>
      <c r="BS121" s="5">
        <f>(BO121-AS121)/AS121</f>
        <v>6.8965517241379379E-2</v>
      </c>
      <c r="BT121" s="5">
        <f>(BP121-AT121)/AT121</f>
        <v>-0.20408163265306115</v>
      </c>
      <c r="BU121" s="5">
        <f>(BQ121-AU121)/AU121</f>
        <v>0.2777777777777779</v>
      </c>
      <c r="BV121" s="4">
        <f>(BN121-BE121)/BE121</f>
        <v>-7.4738415545590499E-3</v>
      </c>
      <c r="BW121" s="4">
        <f>(BO121-BF121)/BF121</f>
        <v>-3.3259423503325973E-3</v>
      </c>
      <c r="BX121" s="4">
        <f>(BP121-BG121)/BG121</f>
        <v>1.7391304347826101E-2</v>
      </c>
      <c r="BY121" s="4">
        <f>(BQ121-BH121)/BH121</f>
        <v>1.0909090909090911</v>
      </c>
      <c r="BZ121" s="7">
        <v>0.66600000000000004</v>
      </c>
      <c r="CA121" s="7">
        <v>0.96699999999999997</v>
      </c>
      <c r="CB121" s="7">
        <v>6.7000000000000004E-2</v>
      </c>
      <c r="CC121" s="7">
        <v>2.8000000000000001E-2</v>
      </c>
      <c r="CD121" s="7">
        <f>(BZ121-AR121)/AR121</f>
        <v>-5.9701492537313485E-3</v>
      </c>
      <c r="CE121" s="7">
        <f>(CA121-AS121)/AS121</f>
        <v>0.1498216409036861</v>
      </c>
      <c r="CF121" s="7">
        <f>(CB121-AT121)/AT121</f>
        <v>-0.54421768707482987</v>
      </c>
      <c r="CG121" s="7">
        <f>(CC121-AU121)/AU121</f>
        <v>-0.68888888888888888</v>
      </c>
      <c r="CH121" s="4">
        <f>(BZ121-BN121)/BN121</f>
        <v>3.0120481927710867E-3</v>
      </c>
      <c r="CI121" s="4">
        <f>(CA121-BO121)/BO121</f>
        <v>7.5639599555061124E-2</v>
      </c>
      <c r="CJ121" s="4">
        <f>(CB121-BP121)/BP121</f>
        <v>-0.42735042735042733</v>
      </c>
      <c r="CK121" s="4">
        <f>(CC121-BQ121)/BQ121</f>
        <v>-0.75652173913043486</v>
      </c>
      <c r="CL121" s="7">
        <v>0.47</v>
      </c>
      <c r="CM121" s="7">
        <v>0.65100000000000002</v>
      </c>
      <c r="CN121" s="7">
        <f>CL121/CM121</f>
        <v>0.72196620583717352</v>
      </c>
    </row>
    <row r="122" spans="1:92" x14ac:dyDescent="0.3">
      <c r="A122" s="14" t="s">
        <v>123</v>
      </c>
      <c r="B122" s="15">
        <v>263</v>
      </c>
      <c r="C122" s="15">
        <v>7</v>
      </c>
      <c r="D122" s="15">
        <v>11</v>
      </c>
      <c r="E122" s="15">
        <v>1</v>
      </c>
      <c r="F122" s="15">
        <v>1</v>
      </c>
      <c r="G122" s="16" t="s">
        <v>43</v>
      </c>
      <c r="H122" s="9">
        <v>3.84</v>
      </c>
      <c r="I122" s="9">
        <v>0.92</v>
      </c>
      <c r="J122" s="9">
        <v>3.61</v>
      </c>
      <c r="K122" s="9">
        <v>0.45</v>
      </c>
      <c r="L122" s="6">
        <f>(H122-I122)/(H122+I122)</f>
        <v>0.61344537815126055</v>
      </c>
      <c r="M122" s="6">
        <f>(J122-K122)/(J122+K122)</f>
        <v>0.77832512315270941</v>
      </c>
      <c r="N122" s="9">
        <v>0.55000000000000004</v>
      </c>
      <c r="O122" s="9">
        <v>0.82699999999999996</v>
      </c>
      <c r="P122" s="9">
        <v>0.189</v>
      </c>
      <c r="Q122" s="9">
        <v>7.0000000000000007E-2</v>
      </c>
      <c r="R122" s="9">
        <v>0.52</v>
      </c>
      <c r="S122" s="9">
        <v>0.73799999999999999</v>
      </c>
      <c r="T122" s="9">
        <v>0.224</v>
      </c>
      <c r="U122" s="9">
        <v>0.09</v>
      </c>
      <c r="V122" s="9">
        <v>0.63</v>
      </c>
      <c r="W122" s="9">
        <v>0.96199999999999997</v>
      </c>
      <c r="X122" s="9">
        <v>8.8999999999999996E-2</v>
      </c>
      <c r="Y122" s="9">
        <v>0.03</v>
      </c>
      <c r="Z122" s="9">
        <v>0.68</v>
      </c>
      <c r="AA122" s="6">
        <f>(V122-N122)/N122</f>
        <v>0.14545454545454536</v>
      </c>
      <c r="AB122" s="6">
        <f>(W122-O122)/O122</f>
        <v>0.16324062877871828</v>
      </c>
      <c r="AC122" s="6">
        <f>(X122-P122)/P122</f>
        <v>-0.52910052910052907</v>
      </c>
      <c r="AD122" s="6">
        <f>(Y122-Q122)/Q122</f>
        <v>-0.57142857142857151</v>
      </c>
      <c r="AE122" s="9">
        <v>0.62</v>
      </c>
      <c r="AF122" s="9">
        <v>0.95899999999999996</v>
      </c>
      <c r="AG122" s="9">
        <v>8.8999999999999996E-2</v>
      </c>
      <c r="AH122" s="9">
        <v>0.03</v>
      </c>
      <c r="AI122" s="9">
        <v>0.64</v>
      </c>
      <c r="AJ122" s="5">
        <f>(AE122-R122)/R122</f>
        <v>0.19230769230769226</v>
      </c>
      <c r="AK122" s="5">
        <f>(AF122-S122)/S122</f>
        <v>0.29945799457994576</v>
      </c>
      <c r="AL122" s="5">
        <f>(AG122-T122)/T122</f>
        <v>-0.60267857142857151</v>
      </c>
      <c r="AM122" s="5">
        <f>(AH122-U122)/U122</f>
        <v>-0.66666666666666663</v>
      </c>
      <c r="AN122" s="9">
        <v>0.67300000000000004</v>
      </c>
      <c r="AO122" s="9">
        <v>0.91400000000000003</v>
      </c>
      <c r="AP122" s="9">
        <v>0.24099999999999999</v>
      </c>
      <c r="AQ122" s="9">
        <v>8.1000000000000003E-2</v>
      </c>
      <c r="AR122" s="9">
        <v>0.65800000000000003</v>
      </c>
      <c r="AS122" s="9">
        <v>0.80600000000000005</v>
      </c>
      <c r="AT122" s="9">
        <v>0.161</v>
      </c>
      <c r="AU122" s="9">
        <v>6.2E-2</v>
      </c>
      <c r="AV122" s="9">
        <v>0.71599999999999997</v>
      </c>
      <c r="AW122" s="9">
        <v>0.90300000000000002</v>
      </c>
      <c r="AX122" s="9">
        <v>0.25600000000000001</v>
      </c>
      <c r="AY122" s="9">
        <v>7.9000000000000001E-2</v>
      </c>
      <c r="AZ122" s="9">
        <v>0.71599999999999997</v>
      </c>
      <c r="BA122" s="6">
        <f>(AV122-AN122)/AN122</f>
        <v>6.3893016344724995E-2</v>
      </c>
      <c r="BB122" s="6">
        <f>(AW122-AO122)/AO122</f>
        <v>-1.2035010940919048E-2</v>
      </c>
      <c r="BC122" s="6">
        <f>(AX122-AP122)/AP122</f>
        <v>6.2240663900414994E-2</v>
      </c>
      <c r="BD122" s="6">
        <f>(AY122-AQ122)/AQ122</f>
        <v>-2.4691358024691377E-2</v>
      </c>
      <c r="BE122" s="4">
        <v>0.68400000000000005</v>
      </c>
      <c r="BF122" s="4">
        <v>0.8</v>
      </c>
      <c r="BG122" s="4">
        <v>0.16300000000000001</v>
      </c>
      <c r="BH122" s="4">
        <v>0.06</v>
      </c>
      <c r="BI122" s="4">
        <v>0.64</v>
      </c>
      <c r="BJ122" s="5">
        <f>(BE122-AN122)/AN122</f>
        <v>1.6344725111441322E-2</v>
      </c>
      <c r="BK122" s="5">
        <f>(BF122-AO122)/AO122</f>
        <v>-0.12472647702407001</v>
      </c>
      <c r="BL122" s="5">
        <f>(BG122-AP122)/AP122</f>
        <v>-0.32365145228215764</v>
      </c>
      <c r="BM122" s="5">
        <f>(BH122-AQ122)/AQ122</f>
        <v>-0.2592592592592593</v>
      </c>
      <c r="BN122" s="7">
        <v>0.65</v>
      </c>
      <c r="BO122" s="7">
        <v>0.71899999999999997</v>
      </c>
      <c r="BP122" s="7">
        <v>0.193</v>
      </c>
      <c r="BQ122" s="7">
        <v>0.20499999999999999</v>
      </c>
      <c r="BR122" s="8">
        <f>(BN122-AR122)/AR122</f>
        <v>-1.2158054711246211E-2</v>
      </c>
      <c r="BS122" s="8">
        <f>(BO122-AS122)/AS122</f>
        <v>-0.10794044665012416</v>
      </c>
      <c r="BT122" s="8">
        <f>(BP122-AT122)/AT122</f>
        <v>0.19875776397515527</v>
      </c>
      <c r="BU122" s="8">
        <f>(BQ122-AU122)/AU122</f>
        <v>2.3064516129032255</v>
      </c>
      <c r="BV122" s="7">
        <f>(BN122-BE122)/BE122</f>
        <v>-4.9707602339181325E-2</v>
      </c>
      <c r="BW122" s="7">
        <f>(BO122-BF122)/BF122</f>
        <v>-0.10125000000000009</v>
      </c>
      <c r="BX122" s="7">
        <f>(BP122-BG122)/BG122</f>
        <v>0.18404907975460122</v>
      </c>
      <c r="BY122" s="7">
        <f>(BQ122-BH122)/BH122</f>
        <v>2.4166666666666665</v>
      </c>
      <c r="BZ122" s="4">
        <v>0.70299999999999996</v>
      </c>
      <c r="CA122" s="4">
        <v>0.875</v>
      </c>
      <c r="CB122" s="4">
        <v>0.129</v>
      </c>
      <c r="CC122" s="4">
        <v>5.3999999999999999E-2</v>
      </c>
      <c r="CD122" s="4">
        <f>(BZ122-AR122)/AR122</f>
        <v>6.8389057750759763E-2</v>
      </c>
      <c r="CE122" s="4">
        <f>(CA122-AS122)/AS122</f>
        <v>8.5607940446650058E-2</v>
      </c>
      <c r="CF122" s="4">
        <f>(CB122-AT122)/AT122</f>
        <v>-0.19875776397515527</v>
      </c>
      <c r="CG122" s="4">
        <f>(CC122-AU122)/AU122</f>
        <v>-0.12903225806451613</v>
      </c>
      <c r="CH122" s="4">
        <f>(BZ122-BN122)/BN122</f>
        <v>8.1538461538461435E-2</v>
      </c>
      <c r="CI122" s="4">
        <f>(CA122-BO122)/BO122</f>
        <v>0.21696801112656472</v>
      </c>
      <c r="CJ122" s="4">
        <f>(CB122-BP122)/BP122</f>
        <v>-0.33160621761658032</v>
      </c>
      <c r="CK122" s="4">
        <f>(CC122-BQ122)/BQ122</f>
        <v>-0.73658536585365852</v>
      </c>
      <c r="CL122" s="4">
        <v>0.81899999999999995</v>
      </c>
      <c r="CM122" s="4">
        <v>0.32900000000000001</v>
      </c>
      <c r="CN122" s="4">
        <f>CL122/CM122</f>
        <v>2.4893617021276593</v>
      </c>
    </row>
    <row r="123" spans="1:92" x14ac:dyDescent="0.3">
      <c r="A123" s="11" t="s">
        <v>124</v>
      </c>
      <c r="B123" s="13">
        <v>237</v>
      </c>
      <c r="C123" s="13">
        <v>13</v>
      </c>
      <c r="D123" s="13">
        <v>5</v>
      </c>
      <c r="E123" s="13">
        <v>1</v>
      </c>
      <c r="F123" s="13">
        <v>1</v>
      </c>
      <c r="G123" s="12" t="s">
        <v>43</v>
      </c>
      <c r="H123" s="4">
        <v>4.74</v>
      </c>
      <c r="I123" s="4">
        <v>1.17</v>
      </c>
      <c r="J123" s="4">
        <v>5.3</v>
      </c>
      <c r="K123" s="4">
        <v>1.28</v>
      </c>
      <c r="L123" s="5">
        <f>(H123-I123)/(H123+I123)</f>
        <v>0.60406091370558379</v>
      </c>
      <c r="M123" s="5">
        <f>(J123-K123)/(J123+K123)</f>
        <v>0.61094224924012153</v>
      </c>
      <c r="N123" s="4">
        <v>0.36</v>
      </c>
      <c r="O123" s="4">
        <v>0.73599999999999999</v>
      </c>
      <c r="P123" s="4">
        <v>0.13500000000000001</v>
      </c>
      <c r="Q123" s="4">
        <v>0.12</v>
      </c>
      <c r="R123" s="4">
        <v>0.41</v>
      </c>
      <c r="S123" s="4">
        <v>0.69599999999999995</v>
      </c>
      <c r="T123" s="4">
        <v>0.16600000000000001</v>
      </c>
      <c r="U123" s="4">
        <v>0.13</v>
      </c>
      <c r="V123" s="4">
        <v>0.49</v>
      </c>
      <c r="W123" s="4">
        <v>0.88900000000000001</v>
      </c>
      <c r="X123" s="4">
        <v>8.7999999999999995E-2</v>
      </c>
      <c r="Y123" s="4">
        <v>0.05</v>
      </c>
      <c r="Z123" s="4">
        <v>0.06</v>
      </c>
      <c r="AA123" s="5">
        <f>(V123-N123)/N123</f>
        <v>0.36111111111111116</v>
      </c>
      <c r="AB123" s="5">
        <f>(W123-O123)/O123</f>
        <v>0.20788043478260873</v>
      </c>
      <c r="AC123" s="5">
        <f>(X123-P123)/P123</f>
        <v>-0.34814814814814821</v>
      </c>
      <c r="AD123" s="5">
        <f>(Y123-Q123)/Q123</f>
        <v>-0.58333333333333326</v>
      </c>
      <c r="AE123" s="4">
        <v>0.54</v>
      </c>
      <c r="AF123" s="4">
        <v>0.83799999999999997</v>
      </c>
      <c r="AG123" s="4">
        <v>0.121</v>
      </c>
      <c r="AH123" s="4">
        <v>0.05</v>
      </c>
      <c r="AI123" s="4">
        <v>0.08</v>
      </c>
      <c r="AJ123" s="5">
        <f>(AE123-R123)/R123</f>
        <v>0.31707317073170749</v>
      </c>
      <c r="AK123" s="5">
        <f>(AF123-S123)/S123</f>
        <v>0.20402298850574715</v>
      </c>
      <c r="AL123" s="5">
        <f>(AG123-T123)/T123</f>
        <v>-0.27108433734939763</v>
      </c>
      <c r="AM123" s="5">
        <f>(AH123-U123)/U123</f>
        <v>-0.61538461538461542</v>
      </c>
      <c r="AN123" s="4">
        <v>0.496</v>
      </c>
      <c r="AO123" s="4">
        <v>0.68400000000000005</v>
      </c>
      <c r="AP123" s="4">
        <v>0.22900000000000001</v>
      </c>
      <c r="AQ123" s="4">
        <v>0.128</v>
      </c>
      <c r="AR123" s="4">
        <v>0.433</v>
      </c>
      <c r="AS123" s="4">
        <v>0.67400000000000004</v>
      </c>
      <c r="AT123" s="4">
        <v>0.13300000000000001</v>
      </c>
      <c r="AU123" s="4">
        <v>0.115</v>
      </c>
      <c r="AV123" s="4">
        <v>0.52600000000000002</v>
      </c>
      <c r="AW123" s="4">
        <v>0.91</v>
      </c>
      <c r="AX123" s="4">
        <v>0.122</v>
      </c>
      <c r="AY123" s="4">
        <v>8.2000000000000003E-2</v>
      </c>
      <c r="AZ123" s="4">
        <v>0.23899999999999999</v>
      </c>
      <c r="BA123" s="6">
        <f>(AV123-AN123)/AN123</f>
        <v>6.0483870967741993E-2</v>
      </c>
      <c r="BB123" s="6">
        <f>(AW123-AO123)/AO123</f>
        <v>0.33040935672514615</v>
      </c>
      <c r="BC123" s="6">
        <f>(AX123-AP123)/AP123</f>
        <v>-0.46724890829694327</v>
      </c>
      <c r="BD123" s="6">
        <f>(AY123-AQ123)/AQ123</f>
        <v>-0.359375</v>
      </c>
      <c r="BE123" s="4">
        <v>0.45300000000000001</v>
      </c>
      <c r="BF123" s="4">
        <v>0.83199999999999996</v>
      </c>
      <c r="BG123" s="4">
        <v>9.5000000000000001E-2</v>
      </c>
      <c r="BH123" s="4">
        <v>7.6999999999999999E-2</v>
      </c>
      <c r="BI123" s="4">
        <v>0.126</v>
      </c>
      <c r="BJ123" s="5">
        <f>(BE123-AN123)/AN123</f>
        <v>-8.6693548387096739E-2</v>
      </c>
      <c r="BK123" s="5">
        <f>(BF123-AO123)/AO123</f>
        <v>0.2163742690058478</v>
      </c>
      <c r="BL123" s="5">
        <f>(BG123-AP123)/AP123</f>
        <v>-0.58515283842794763</v>
      </c>
      <c r="BM123" s="5">
        <f>(BH123-AQ123)/AQ123</f>
        <v>-0.3984375</v>
      </c>
      <c r="BN123" s="4">
        <v>0.45200000000000001</v>
      </c>
      <c r="BO123" s="4">
        <v>0.83799999999999997</v>
      </c>
      <c r="BP123" s="4">
        <v>9.4E-2</v>
      </c>
      <c r="BQ123" s="4">
        <v>8.7999999999999995E-2</v>
      </c>
      <c r="BR123" s="5">
        <f>(BN123-AR123)/AR123</f>
        <v>4.3879907621247154E-2</v>
      </c>
      <c r="BS123" s="5">
        <f>(BO123-AS123)/AS123</f>
        <v>0.2433234421364984</v>
      </c>
      <c r="BT123" s="5">
        <f>(BP123-AT123)/AT123</f>
        <v>-0.29323308270676696</v>
      </c>
      <c r="BU123" s="5">
        <f>(BQ123-AU123)/AU123</f>
        <v>-0.23478260869565226</v>
      </c>
      <c r="BV123" s="4">
        <f>(BN123-BE123)/BE123</f>
        <v>-2.2075055187637986E-3</v>
      </c>
      <c r="BW123" s="4">
        <f>(BO123-BF123)/BF123</f>
        <v>7.211538461538468E-3</v>
      </c>
      <c r="BX123" s="4">
        <f>(BP123-BG123)/BG123</f>
        <v>-1.0526315789473693E-2</v>
      </c>
      <c r="BY123" s="4">
        <f>(BQ123-BH123)/BH123</f>
        <v>0.14285714285714279</v>
      </c>
      <c r="BZ123" s="4">
        <v>0.47899999999999998</v>
      </c>
      <c r="CA123" s="4">
        <v>0.84499999999999997</v>
      </c>
      <c r="CB123" s="4">
        <v>9.1999999999999998E-2</v>
      </c>
      <c r="CC123" s="4">
        <v>5.8999999999999997E-2</v>
      </c>
      <c r="CD123" s="4">
        <f>(BZ123-AR123)/AR123</f>
        <v>0.10623556581986141</v>
      </c>
      <c r="CE123" s="4">
        <f>(CA123-AS123)/AS123</f>
        <v>0.25370919881305626</v>
      </c>
      <c r="CF123" s="4">
        <f>(CB123-AT123)/AT123</f>
        <v>-0.30827067669172936</v>
      </c>
      <c r="CG123" s="4">
        <f>(CC123-AU123)/AU123</f>
        <v>-0.48695652173913051</v>
      </c>
      <c r="CH123" s="4">
        <f>(BZ123-BN123)/BN123</f>
        <v>5.9734513274336209E-2</v>
      </c>
      <c r="CI123" s="4">
        <f>(CA123-BO123)/BO123</f>
        <v>8.3532219570405797E-3</v>
      </c>
      <c r="CJ123" s="4">
        <f>(CB123-BP123)/BP123</f>
        <v>-2.1276595744680871E-2</v>
      </c>
      <c r="CK123" s="4">
        <f>(CC123-BQ123)/BQ123</f>
        <v>-0.32954545454545453</v>
      </c>
      <c r="CL123" s="4">
        <v>0.46600000000000003</v>
      </c>
      <c r="CM123" s="4">
        <v>0.66400000000000003</v>
      </c>
      <c r="CN123" s="4">
        <f>CL123/CM123</f>
        <v>0.70180722891566261</v>
      </c>
    </row>
    <row r="124" spans="1:92" x14ac:dyDescent="0.3">
      <c r="A124" s="11" t="s">
        <v>125</v>
      </c>
      <c r="B124" s="13">
        <v>244</v>
      </c>
      <c r="C124" s="13">
        <v>13</v>
      </c>
      <c r="D124" s="13">
        <v>5</v>
      </c>
      <c r="E124" s="13">
        <v>1</v>
      </c>
      <c r="F124" s="13">
        <v>1</v>
      </c>
      <c r="G124" s="12" t="s">
        <v>43</v>
      </c>
      <c r="H124" s="4">
        <v>4.1900000000000004</v>
      </c>
      <c r="I124" s="4">
        <v>1.34</v>
      </c>
      <c r="J124" s="4">
        <v>4.62</v>
      </c>
      <c r="K124" s="4">
        <v>1.46</v>
      </c>
      <c r="L124" s="5">
        <f>(H124-I124)/(H124+I124)</f>
        <v>0.51537070524412298</v>
      </c>
      <c r="M124" s="5">
        <f>(J124-K124)/(J124+K124)</f>
        <v>0.51973684210526316</v>
      </c>
      <c r="N124" s="4">
        <v>0.32</v>
      </c>
      <c r="O124" s="4">
        <v>0.68700000000000006</v>
      </c>
      <c r="P124" s="4">
        <v>0.13500000000000001</v>
      </c>
      <c r="Q124" s="4">
        <v>0.13</v>
      </c>
      <c r="R124" s="4">
        <v>0.36</v>
      </c>
      <c r="S124" s="4">
        <v>0.65300000000000002</v>
      </c>
      <c r="T124" s="4">
        <v>0.158</v>
      </c>
      <c r="U124" s="4">
        <v>0.14000000000000001</v>
      </c>
      <c r="V124" s="4">
        <v>0.46</v>
      </c>
      <c r="W124" s="4">
        <v>0.91700000000000004</v>
      </c>
      <c r="X124" s="4">
        <v>7.0000000000000007E-2</v>
      </c>
      <c r="Y124" s="4">
        <v>0.04</v>
      </c>
      <c r="Z124" s="4">
        <v>0.03</v>
      </c>
      <c r="AA124" s="5">
        <f>(V124-N124)/N124</f>
        <v>0.43750000000000006</v>
      </c>
      <c r="AB124" s="5">
        <f>(W124-O124)/O124</f>
        <v>0.33478893740902471</v>
      </c>
      <c r="AC124" s="5">
        <f>(X124-P124)/P124</f>
        <v>-0.48148148148148145</v>
      </c>
      <c r="AD124" s="5">
        <f>(Y124-Q124)/Q124</f>
        <v>-0.69230769230769229</v>
      </c>
      <c r="AE124" s="4">
        <v>0.51</v>
      </c>
      <c r="AF124" s="4">
        <v>0.876</v>
      </c>
      <c r="AG124" s="4">
        <v>9.5000000000000001E-2</v>
      </c>
      <c r="AH124" s="4">
        <v>0.05</v>
      </c>
      <c r="AI124" s="4">
        <v>0.04</v>
      </c>
      <c r="AJ124" s="5">
        <f>(AE124-R124)/R124</f>
        <v>0.41666666666666674</v>
      </c>
      <c r="AK124" s="5">
        <f>(AF124-S124)/S124</f>
        <v>0.341500765696784</v>
      </c>
      <c r="AL124" s="5">
        <f>(AG124-T124)/T124</f>
        <v>-0.39873417721518989</v>
      </c>
      <c r="AM124" s="5">
        <f>(AH124-U124)/U124</f>
        <v>-0.6428571428571429</v>
      </c>
      <c r="AN124" s="4">
        <v>0.41899999999999998</v>
      </c>
      <c r="AO124" s="4">
        <v>0.57099999999999995</v>
      </c>
      <c r="AP124" s="4">
        <v>0.223</v>
      </c>
      <c r="AQ124" s="4">
        <v>0.14000000000000001</v>
      </c>
      <c r="AR124" s="4">
        <v>0.36899999999999999</v>
      </c>
      <c r="AS124" s="4">
        <v>0.65500000000000003</v>
      </c>
      <c r="AT124" s="4">
        <v>0.13400000000000001</v>
      </c>
      <c r="AU124" s="4">
        <v>0.128</v>
      </c>
      <c r="AV124" s="9">
        <v>0.55400000000000005</v>
      </c>
      <c r="AW124" s="9">
        <v>0.92</v>
      </c>
      <c r="AX124" s="9">
        <v>9.6000000000000002E-2</v>
      </c>
      <c r="AY124" s="9">
        <v>7.3999999999999996E-2</v>
      </c>
      <c r="AZ124" s="9">
        <v>0.128</v>
      </c>
      <c r="BA124" s="6">
        <f>(AV124-AN124)/AN124</f>
        <v>0.32219570405727938</v>
      </c>
      <c r="BB124" s="6">
        <f>(AW124-AO124)/AO124</f>
        <v>0.61120840630472872</v>
      </c>
      <c r="BC124" s="6">
        <f>(AX124-AP124)/AP124</f>
        <v>-0.56950672645739908</v>
      </c>
      <c r="BD124" s="6">
        <f>(AY124-AQ124)/AQ124</f>
        <v>-0.47142857142857153</v>
      </c>
      <c r="BE124" s="9">
        <v>0.498</v>
      </c>
      <c r="BF124" s="9">
        <v>0.91</v>
      </c>
      <c r="BG124" s="9">
        <v>6.8000000000000005E-2</v>
      </c>
      <c r="BH124" s="9">
        <v>6.6000000000000003E-2</v>
      </c>
      <c r="BI124" s="9">
        <v>7.1999999999999995E-2</v>
      </c>
      <c r="BJ124" s="6">
        <f>(BE124-AN124)/AN124</f>
        <v>0.1885441527446301</v>
      </c>
      <c r="BK124" s="6">
        <f>(BF124-AO124)/AO124</f>
        <v>0.59369527145359036</v>
      </c>
      <c r="BL124" s="6">
        <f>(BG124-AP124)/AP124</f>
        <v>-0.69506726457399104</v>
      </c>
      <c r="BM124" s="6">
        <f>(BH124-AQ124)/AQ124</f>
        <v>-0.52857142857142858</v>
      </c>
      <c r="BN124" s="9">
        <v>0.498</v>
      </c>
      <c r="BO124" s="9">
        <v>0.91300000000000003</v>
      </c>
      <c r="BP124" s="9">
        <v>6.7000000000000004E-2</v>
      </c>
      <c r="BQ124" s="9">
        <v>7.0999999999999994E-2</v>
      </c>
      <c r="BR124" s="6">
        <f>(BN124-AR124)/AR124</f>
        <v>0.34959349593495936</v>
      </c>
      <c r="BS124" s="6">
        <f>(BO124-AS124)/AS124</f>
        <v>0.39389312977099233</v>
      </c>
      <c r="BT124" s="6">
        <f>(BP124-AT124)/AT124</f>
        <v>-0.5</v>
      </c>
      <c r="BU124" s="6">
        <f>(BQ124-AU124)/AU124</f>
        <v>-0.44531250000000006</v>
      </c>
      <c r="BV124" s="9">
        <f>(BN124-BE124)/BE124</f>
        <v>0</v>
      </c>
      <c r="BW124" s="9">
        <f>(BO124-BF124)/BF124</f>
        <v>3.2967032967032993E-3</v>
      </c>
      <c r="BX124" s="9">
        <f>(BP124-BG124)/BG124</f>
        <v>-1.4705882352941188E-2</v>
      </c>
      <c r="BY124" s="9">
        <f>(BQ124-BH124)/BH124</f>
        <v>7.5757575757575607E-2</v>
      </c>
      <c r="BZ124" s="9">
        <v>0.52400000000000002</v>
      </c>
      <c r="CA124" s="9">
        <v>0.93100000000000005</v>
      </c>
      <c r="CB124" s="9">
        <v>0.06</v>
      </c>
      <c r="CC124" s="9">
        <v>6.2E-2</v>
      </c>
      <c r="CD124" s="9">
        <f>(BZ124-AR124)/AR124</f>
        <v>0.42005420054200548</v>
      </c>
      <c r="CE124" s="9">
        <f>(CA124-AS124)/AS124</f>
        <v>0.42137404580152671</v>
      </c>
      <c r="CF124" s="9">
        <f>(CB124-AT124)/AT124</f>
        <v>-0.55223880597014929</v>
      </c>
      <c r="CG124" s="9">
        <f>(CC124-AU124)/AU124</f>
        <v>-0.515625</v>
      </c>
      <c r="CH124" s="4">
        <f>(BZ124-BN124)/BN124</f>
        <v>5.2208835341365507E-2</v>
      </c>
      <c r="CI124" s="4">
        <f>(CA124-BO124)/BO124</f>
        <v>1.9715224534501658E-2</v>
      </c>
      <c r="CJ124" s="4">
        <f>(CB124-BP124)/BP124</f>
        <v>-0.1044776119402986</v>
      </c>
      <c r="CK124" s="4">
        <f>(CC124-BQ124)/BQ124</f>
        <v>-0.12676056338028163</v>
      </c>
      <c r="CL124" s="9">
        <v>0.129</v>
      </c>
      <c r="CM124" s="9">
        <v>0.88700000000000001</v>
      </c>
      <c r="CN124" s="9">
        <f>CL124/CM124</f>
        <v>0.14543404735062007</v>
      </c>
    </row>
    <row r="125" spans="1:92" x14ac:dyDescent="0.3">
      <c r="A125" s="11" t="s">
        <v>126</v>
      </c>
      <c r="B125" s="13">
        <v>249</v>
      </c>
      <c r="C125" s="13">
        <v>13</v>
      </c>
      <c r="D125" s="13">
        <v>5</v>
      </c>
      <c r="E125" s="13">
        <v>1</v>
      </c>
      <c r="F125" s="13">
        <v>1</v>
      </c>
      <c r="G125" s="12" t="s">
        <v>43</v>
      </c>
      <c r="H125" s="4">
        <v>2.33</v>
      </c>
      <c r="I125" s="4">
        <v>1.23</v>
      </c>
      <c r="J125" s="4">
        <v>2.77</v>
      </c>
      <c r="K125" s="4">
        <v>1.34</v>
      </c>
      <c r="L125" s="5">
        <f>(H125-I125)/(H125+I125)</f>
        <v>0.30898876404494385</v>
      </c>
      <c r="M125" s="5">
        <f>(J125-K125)/(J125+K125)</f>
        <v>0.3479318734793187</v>
      </c>
      <c r="N125" s="4">
        <v>0.18</v>
      </c>
      <c r="O125" s="4">
        <v>0.48399999999999999</v>
      </c>
      <c r="P125" s="4">
        <v>0.11799999999999999</v>
      </c>
      <c r="Q125" s="4">
        <v>0.12</v>
      </c>
      <c r="R125" s="4">
        <v>0.21</v>
      </c>
      <c r="S125" s="4">
        <v>0.47599999999999998</v>
      </c>
      <c r="T125" s="4">
        <v>0.14000000000000001</v>
      </c>
      <c r="U125" s="4">
        <v>0.13</v>
      </c>
      <c r="V125" s="4">
        <v>0.3</v>
      </c>
      <c r="W125" s="4">
        <v>0.85799999999999998</v>
      </c>
      <c r="X125" s="4">
        <v>6.2E-2</v>
      </c>
      <c r="Y125" s="4">
        <v>0.05</v>
      </c>
      <c r="Z125" s="4">
        <v>0.13</v>
      </c>
      <c r="AA125" s="5">
        <f>(V125-N125)/N125</f>
        <v>0.66666666666666663</v>
      </c>
      <c r="AB125" s="5">
        <f>(W125-O125)/O125</f>
        <v>0.77272727272727271</v>
      </c>
      <c r="AC125" s="5">
        <f>(X125-P125)/P125</f>
        <v>-0.47457627118644063</v>
      </c>
      <c r="AD125" s="5">
        <f>(Y125-Q125)/Q125</f>
        <v>-0.58333333333333326</v>
      </c>
      <c r="AE125" s="4">
        <v>0.35</v>
      </c>
      <c r="AF125" s="4">
        <v>0.79200000000000004</v>
      </c>
      <c r="AG125" s="4">
        <v>8.7999999999999995E-2</v>
      </c>
      <c r="AH125" s="4">
        <v>0.06</v>
      </c>
      <c r="AI125" s="4">
        <v>0.14000000000000001</v>
      </c>
      <c r="AJ125" s="5">
        <f>(AE125-R125)/R125</f>
        <v>0.66666666666666663</v>
      </c>
      <c r="AK125" s="5">
        <f>(AF125-S125)/S125</f>
        <v>0.66386554621848759</v>
      </c>
      <c r="AL125" s="5">
        <f>(AG125-T125)/T125</f>
        <v>-0.37142857142857155</v>
      </c>
      <c r="AM125" s="5">
        <f>(AH125-U125)/U125</f>
        <v>-0.53846153846153855</v>
      </c>
      <c r="AN125" s="4">
        <v>0.16600000000000001</v>
      </c>
      <c r="AO125" s="4">
        <v>0.40899999999999997</v>
      </c>
      <c r="AP125" s="4">
        <v>0.186</v>
      </c>
      <c r="AQ125" s="4">
        <v>0.13200000000000001</v>
      </c>
      <c r="AR125" s="4">
        <v>0.153</v>
      </c>
      <c r="AS125" s="4">
        <v>0.44</v>
      </c>
      <c r="AT125" s="4">
        <v>0.11799999999999999</v>
      </c>
      <c r="AU125" s="4">
        <v>0.11899999999999999</v>
      </c>
      <c r="AV125" s="4">
        <v>0.36</v>
      </c>
      <c r="AW125" s="4">
        <v>0.502</v>
      </c>
      <c r="AX125" s="4">
        <v>0.16400000000000001</v>
      </c>
      <c r="AY125" s="4">
        <v>0.127</v>
      </c>
      <c r="AZ125" s="4">
        <v>0.41099999999999998</v>
      </c>
      <c r="BA125" s="6">
        <f>(AV125-AN125)/AN125</f>
        <v>1.1686746987951806</v>
      </c>
      <c r="BB125" s="6">
        <f>(AW125-AO125)/AO125</f>
        <v>0.22738386308068467</v>
      </c>
      <c r="BC125" s="6">
        <f>(AX125-AP125)/AP125</f>
        <v>-0.11827956989247307</v>
      </c>
      <c r="BD125" s="6">
        <f>(AY125-AQ125)/AQ125</f>
        <v>-3.7878787878787908E-2</v>
      </c>
      <c r="BE125" s="4">
        <v>0.30199999999999999</v>
      </c>
      <c r="BF125" s="4">
        <v>0.61099999999999999</v>
      </c>
      <c r="BG125" s="4">
        <v>9.8000000000000004E-2</v>
      </c>
      <c r="BH125" s="4">
        <v>0.115</v>
      </c>
      <c r="BI125" s="4">
        <v>0.13800000000000001</v>
      </c>
      <c r="BJ125" s="5">
        <f>(BE125-AN125)/AN125</f>
        <v>0.8192771084337348</v>
      </c>
      <c r="BK125" s="5">
        <f>(BF125-AO125)/AO125</f>
        <v>0.49388753056234724</v>
      </c>
      <c r="BL125" s="5">
        <f>(BG125-AP125)/AP125</f>
        <v>-0.47311827956989244</v>
      </c>
      <c r="BM125" s="5">
        <f>(BH125-AQ125)/AQ125</f>
        <v>-0.12878787878787878</v>
      </c>
      <c r="BN125" s="4">
        <v>0.29599999999999999</v>
      </c>
      <c r="BO125" s="4">
        <v>0.63200000000000001</v>
      </c>
      <c r="BP125" s="4">
        <v>9.6000000000000002E-2</v>
      </c>
      <c r="BQ125" s="4">
        <v>0.11799999999999999</v>
      </c>
      <c r="BR125" s="5">
        <f>(BN125-AR125)/AR125</f>
        <v>0.93464052287581689</v>
      </c>
      <c r="BS125" s="5">
        <f>(BO125-AS125)/AS125</f>
        <v>0.4363636363636364</v>
      </c>
      <c r="BT125" s="5">
        <f>(BP125-AT125)/AT125</f>
        <v>-0.18644067796610164</v>
      </c>
      <c r="BU125" s="5">
        <f>(BQ125-AU125)/AU125</f>
        <v>-8.4033613445378234E-3</v>
      </c>
      <c r="BV125" s="4">
        <f>(BN125-BE125)/BE125</f>
        <v>-1.986754966887419E-2</v>
      </c>
      <c r="BW125" s="4">
        <f>(BO125-BF125)/BF125</f>
        <v>3.4369885433715254E-2</v>
      </c>
      <c r="BX125" s="4">
        <f>(BP125-BG125)/BG125</f>
        <v>-2.0408163265306138E-2</v>
      </c>
      <c r="BY125" s="4">
        <f>(BQ125-BH125)/BH125</f>
        <v>2.6086956521739032E-2</v>
      </c>
      <c r="BZ125" s="4">
        <v>0.38500000000000001</v>
      </c>
      <c r="CA125" s="4">
        <v>0.80300000000000005</v>
      </c>
      <c r="CB125" s="4">
        <v>7.0000000000000007E-2</v>
      </c>
      <c r="CC125" s="4">
        <v>7.0000000000000007E-2</v>
      </c>
      <c r="CD125" s="4">
        <f>(BZ125-AR125)/AR125</f>
        <v>1.5163398692810459</v>
      </c>
      <c r="CE125" s="4">
        <f>(CA125-AS125)/AS125</f>
        <v>0.82500000000000007</v>
      </c>
      <c r="CF125" s="4">
        <f>(CB125-AT125)/AT125</f>
        <v>-0.40677966101694907</v>
      </c>
      <c r="CG125" s="4">
        <f>(CC125-AU125)/AU125</f>
        <v>-0.41176470588235287</v>
      </c>
      <c r="CH125" s="4">
        <f>(BZ125-BN125)/BN125</f>
        <v>0.30067567567567577</v>
      </c>
      <c r="CI125" s="4">
        <f>(CA125-BO125)/BO125</f>
        <v>0.27056962025316461</v>
      </c>
      <c r="CJ125" s="4">
        <f>(CB125-BP125)/BP125</f>
        <v>-0.27083333333333326</v>
      </c>
      <c r="CK125" s="4">
        <f>(CC125-BQ125)/BQ125</f>
        <v>-0.40677966101694907</v>
      </c>
      <c r="CL125" s="4">
        <v>0.42399999999999999</v>
      </c>
      <c r="CM125" s="4">
        <v>0.57799999999999996</v>
      </c>
      <c r="CN125" s="4">
        <f>CL125/CM125</f>
        <v>0.73356401384083048</v>
      </c>
    </row>
    <row r="126" spans="1:92" x14ac:dyDescent="0.3">
      <c r="A126" s="11" t="s">
        <v>127</v>
      </c>
      <c r="B126" s="13">
        <v>241</v>
      </c>
      <c r="C126" s="13">
        <v>13</v>
      </c>
      <c r="D126" s="13">
        <v>5</v>
      </c>
      <c r="E126" s="13">
        <v>1</v>
      </c>
      <c r="F126" s="13">
        <v>1</v>
      </c>
      <c r="G126" s="12" t="s">
        <v>43</v>
      </c>
      <c r="H126" s="4">
        <v>5.16</v>
      </c>
      <c r="I126" s="4">
        <v>0.84</v>
      </c>
      <c r="J126" s="4">
        <v>5.83</v>
      </c>
      <c r="K126" s="4">
        <v>0.87</v>
      </c>
      <c r="L126" s="5">
        <f>(H126-I126)/(H126+I126)</f>
        <v>0.72000000000000008</v>
      </c>
      <c r="M126" s="5">
        <f>(J126-K126)/(J126+K126)</f>
        <v>0.74029850746268655</v>
      </c>
      <c r="N126" s="4">
        <v>0.4</v>
      </c>
      <c r="O126" s="4">
        <v>0.86</v>
      </c>
      <c r="P126" s="4">
        <v>9.5000000000000001E-2</v>
      </c>
      <c r="Q126" s="4">
        <v>0.08</v>
      </c>
      <c r="R126" s="4">
        <v>0.45</v>
      </c>
      <c r="S126" s="4">
        <v>0.84099999999999997</v>
      </c>
      <c r="T126" s="4">
        <v>0.114</v>
      </c>
      <c r="U126" s="4">
        <v>0.08</v>
      </c>
      <c r="V126" s="4">
        <v>0.48</v>
      </c>
      <c r="W126" s="4">
        <v>0.96899999999999997</v>
      </c>
      <c r="X126" s="4">
        <v>4.4999999999999998E-2</v>
      </c>
      <c r="Y126" s="4">
        <v>0.03</v>
      </c>
      <c r="Z126" s="4">
        <v>0.46</v>
      </c>
      <c r="AA126" s="5">
        <f>(V126-N126)/N126</f>
        <v>0.1999999999999999</v>
      </c>
      <c r="AB126" s="5">
        <f>(W126-O126)/O126</f>
        <v>0.12674418604651161</v>
      </c>
      <c r="AC126" s="5">
        <f>(X126-P126)/P126</f>
        <v>-0.52631578947368418</v>
      </c>
      <c r="AD126" s="5">
        <f>(Y126-Q126)/Q126</f>
        <v>-0.625</v>
      </c>
      <c r="AE126" s="4">
        <v>0.53</v>
      </c>
      <c r="AF126" s="4">
        <v>0.94799999999999995</v>
      </c>
      <c r="AG126" s="4">
        <v>6.5000000000000002E-2</v>
      </c>
      <c r="AH126" s="4">
        <v>0.04</v>
      </c>
      <c r="AI126" s="4">
        <v>0.48</v>
      </c>
      <c r="AJ126" s="5">
        <f>(AE126-R126)/R126</f>
        <v>0.17777777777777781</v>
      </c>
      <c r="AK126" s="5">
        <f>(AF126-S126)/S126</f>
        <v>0.12722948870392389</v>
      </c>
      <c r="AL126" s="5">
        <f>(AG126-T126)/T126</f>
        <v>-0.42982456140350878</v>
      </c>
      <c r="AM126" s="5">
        <f>(AH126-U126)/U126</f>
        <v>-0.5</v>
      </c>
      <c r="AN126" s="4">
        <v>0.497</v>
      </c>
      <c r="AO126" s="4">
        <v>0.91200000000000003</v>
      </c>
      <c r="AP126" s="4">
        <v>0.13500000000000001</v>
      </c>
      <c r="AQ126" s="4">
        <v>8.3000000000000004E-2</v>
      </c>
      <c r="AR126" s="4">
        <v>0.438</v>
      </c>
      <c r="AS126" s="4">
        <v>0.86399999999999999</v>
      </c>
      <c r="AT126" s="4">
        <v>8.2000000000000003E-2</v>
      </c>
      <c r="AU126" s="4">
        <v>8.2000000000000003E-2</v>
      </c>
      <c r="AV126" s="4">
        <v>0.52800000000000002</v>
      </c>
      <c r="AW126" s="4">
        <v>0.95099999999999996</v>
      </c>
      <c r="AX126" s="4">
        <v>0.10100000000000001</v>
      </c>
      <c r="AY126" s="4">
        <v>6.6000000000000003E-2</v>
      </c>
      <c r="AZ126" s="4">
        <v>0.7</v>
      </c>
      <c r="BA126" s="6">
        <f>(AV126-AN126)/AN126</f>
        <v>6.2374245472837077E-2</v>
      </c>
      <c r="BB126" s="6">
        <f>(AW126-AO126)/AO126</f>
        <v>4.276315789473676E-2</v>
      </c>
      <c r="BC126" s="6">
        <f>(AX126-AP126)/AP126</f>
        <v>-0.25185185185185183</v>
      </c>
      <c r="BD126" s="6">
        <f>(AY126-AQ126)/AQ126</f>
        <v>-0.20481927710843373</v>
      </c>
      <c r="BE126" s="4">
        <v>0.47799999999999998</v>
      </c>
      <c r="BF126" s="4">
        <v>0.93700000000000006</v>
      </c>
      <c r="BG126" s="4">
        <v>5.6000000000000001E-2</v>
      </c>
      <c r="BH126" s="4">
        <v>6.8000000000000005E-2</v>
      </c>
      <c r="BI126" s="4">
        <v>0.626</v>
      </c>
      <c r="BJ126" s="5">
        <f>(BE126-AN126)/AN126</f>
        <v>-3.8229376257545307E-2</v>
      </c>
      <c r="BK126" s="5">
        <f>(BF126-AO126)/AO126</f>
        <v>2.7412280701754409E-2</v>
      </c>
      <c r="BL126" s="5">
        <f>(BG126-AP126)/AP126</f>
        <v>-0.58518518518518525</v>
      </c>
      <c r="BM126" s="5">
        <f>(BH126-AQ126)/AQ126</f>
        <v>-0.18072289156626503</v>
      </c>
      <c r="BN126" s="4">
        <v>0.48199999999999998</v>
      </c>
      <c r="BO126" s="4">
        <v>0.86</v>
      </c>
      <c r="BP126" s="4">
        <v>8.3000000000000004E-2</v>
      </c>
      <c r="BQ126" s="4">
        <v>0.187</v>
      </c>
      <c r="BR126" s="5">
        <f>(BN126-AR126)/AR126</f>
        <v>0.10045662100456618</v>
      </c>
      <c r="BS126" s="5">
        <f>(BO126-AS126)/AS126</f>
        <v>-4.6296296296296337E-3</v>
      </c>
      <c r="BT126" s="5">
        <f>(BP126-AT126)/AT126</f>
        <v>1.2195121951219523E-2</v>
      </c>
      <c r="BU126" s="5">
        <f>(BQ126-AU126)/AU126</f>
        <v>1.2804878048780486</v>
      </c>
      <c r="BV126" s="4">
        <f>(BN126-BE126)/BE126</f>
        <v>8.3682008368200916E-3</v>
      </c>
      <c r="BW126" s="4">
        <f>(BO126-BF126)/BF126</f>
        <v>-8.2177161152614794E-2</v>
      </c>
      <c r="BX126" s="4">
        <f>(BP126-BG126)/BG126</f>
        <v>0.48214285714285721</v>
      </c>
      <c r="BY126" s="4">
        <f>(BQ126-BH126)/BH126</f>
        <v>1.7499999999999998</v>
      </c>
      <c r="BZ126" s="4">
        <v>0.52200000000000002</v>
      </c>
      <c r="CA126" s="4">
        <v>0.98599999999999999</v>
      </c>
      <c r="CB126" s="4">
        <v>2.5999999999999999E-2</v>
      </c>
      <c r="CC126" s="4">
        <v>3.9E-2</v>
      </c>
      <c r="CD126" s="4">
        <f>(BZ126-AR126)/AR126</f>
        <v>0.19178082191780826</v>
      </c>
      <c r="CE126" s="4">
        <f>(CA126-AS126)/AS126</f>
        <v>0.14120370370370369</v>
      </c>
      <c r="CF126" s="4">
        <f>(CB126-AT126)/AT126</f>
        <v>-0.68292682926829273</v>
      </c>
      <c r="CG126" s="4">
        <f>(CC126-AU126)/AU126</f>
        <v>-0.52439024390243905</v>
      </c>
      <c r="CH126" s="4">
        <f>(BZ126-BN126)/BN126</f>
        <v>8.2987551867219997E-2</v>
      </c>
      <c r="CI126" s="4">
        <f>(CA126-BO126)/BO126</f>
        <v>0.14651162790697675</v>
      </c>
      <c r="CJ126" s="4">
        <f>(CB126-BP126)/BP126</f>
        <v>-0.68674698795180733</v>
      </c>
      <c r="CK126" s="4">
        <f>(CC126-BQ126)/BQ126</f>
        <v>-0.79144385026737962</v>
      </c>
      <c r="CL126" s="4">
        <v>0.69499999999999995</v>
      </c>
      <c r="CM126" s="4">
        <v>0.36599999999999999</v>
      </c>
      <c r="CN126" s="4">
        <f>CL126/CM126</f>
        <v>1.8989071038251366</v>
      </c>
    </row>
    <row r="127" spans="1:92" x14ac:dyDescent="0.3">
      <c r="A127" s="11" t="s">
        <v>128</v>
      </c>
      <c r="B127" s="13">
        <v>1102</v>
      </c>
      <c r="C127" s="13">
        <v>13</v>
      </c>
      <c r="D127" s="13">
        <v>7</v>
      </c>
      <c r="E127" s="13">
        <v>1</v>
      </c>
      <c r="F127" s="13">
        <v>1</v>
      </c>
      <c r="G127" s="12" t="s">
        <v>43</v>
      </c>
      <c r="H127" s="4">
        <v>5.66</v>
      </c>
      <c r="I127" s="4">
        <v>1.08</v>
      </c>
      <c r="J127" s="4">
        <v>6.25</v>
      </c>
      <c r="K127" s="4">
        <v>1.1200000000000001</v>
      </c>
      <c r="L127" s="5">
        <f>(H127-I127)/(H127+I127)</f>
        <v>0.67952522255192882</v>
      </c>
      <c r="M127" s="5">
        <f>(J127-K127)/(J127+K127)</f>
        <v>0.69606512890094974</v>
      </c>
      <c r="N127" s="4">
        <v>0.44</v>
      </c>
      <c r="O127" s="4">
        <v>0.70499999999999996</v>
      </c>
      <c r="P127" s="4">
        <v>0.161</v>
      </c>
      <c r="Q127" s="4">
        <v>0.1</v>
      </c>
      <c r="R127" s="4">
        <v>0.48</v>
      </c>
      <c r="S127" s="4">
        <v>0.69199999999999995</v>
      </c>
      <c r="T127" s="4">
        <v>0.18</v>
      </c>
      <c r="U127" s="4">
        <v>0.11</v>
      </c>
      <c r="V127" s="4">
        <v>0.54</v>
      </c>
      <c r="W127" s="4">
        <v>0.88</v>
      </c>
      <c r="X127" s="4">
        <v>0.10299999999999999</v>
      </c>
      <c r="Y127" s="4">
        <v>0.04</v>
      </c>
      <c r="Z127" s="4">
        <v>0.49</v>
      </c>
      <c r="AA127" s="5">
        <f>(V127-N127)/N127</f>
        <v>0.22727272727272735</v>
      </c>
      <c r="AB127" s="5">
        <f>(W127-O127)/O127</f>
        <v>0.24822695035461001</v>
      </c>
      <c r="AC127" s="5">
        <f>(X127-P127)/P127</f>
        <v>-0.36024844720496901</v>
      </c>
      <c r="AD127" s="5">
        <f>(Y127-Q127)/Q127</f>
        <v>-0.6</v>
      </c>
      <c r="AE127" s="4">
        <v>0.59</v>
      </c>
      <c r="AF127" s="4">
        <v>0.86699999999999999</v>
      </c>
      <c r="AG127" s="4">
        <v>0.11799999999999999</v>
      </c>
      <c r="AH127" s="4">
        <v>0.04</v>
      </c>
      <c r="AI127" s="4">
        <v>0.51</v>
      </c>
      <c r="AJ127" s="5">
        <f>(AE127-R127)/R127</f>
        <v>0.22916666666666666</v>
      </c>
      <c r="AK127" s="5">
        <f>(AF127-S127)/S127</f>
        <v>0.25289017341040471</v>
      </c>
      <c r="AL127" s="5">
        <f>(AG127-T127)/T127</f>
        <v>-0.34444444444444444</v>
      </c>
      <c r="AM127" s="5">
        <f>(AH127-U127)/U127</f>
        <v>-0.63636363636363646</v>
      </c>
      <c r="AN127" s="4">
        <v>0.501</v>
      </c>
      <c r="AO127" s="4">
        <v>0.79900000000000004</v>
      </c>
      <c r="AP127" s="4">
        <v>0.20899999999999999</v>
      </c>
      <c r="AQ127" s="4">
        <v>0.11</v>
      </c>
      <c r="AR127" s="4">
        <v>0.42799999999999999</v>
      </c>
      <c r="AS127" s="4">
        <v>0.67100000000000004</v>
      </c>
      <c r="AT127" s="4">
        <v>0.14399999999999999</v>
      </c>
      <c r="AU127" s="4">
        <v>0.1</v>
      </c>
      <c r="AV127" s="4">
        <v>0.56000000000000005</v>
      </c>
      <c r="AW127" s="4">
        <v>0.86</v>
      </c>
      <c r="AX127" s="4">
        <v>0.17399999999999999</v>
      </c>
      <c r="AY127" s="4">
        <v>7.8E-2</v>
      </c>
      <c r="AZ127" s="4">
        <v>0.69799999999999995</v>
      </c>
      <c r="BA127" s="6">
        <f>(AV127-AN127)/AN127</f>
        <v>0.11776447105788433</v>
      </c>
      <c r="BB127" s="6">
        <f>(AW127-AO127)/AO127</f>
        <v>7.63454317897371E-2</v>
      </c>
      <c r="BC127" s="6">
        <f>(AX127-AP127)/AP127</f>
        <v>-0.1674641148325359</v>
      </c>
      <c r="BD127" s="6">
        <f>(AY127-AQ127)/AQ127</f>
        <v>-0.29090909090909089</v>
      </c>
      <c r="BE127" s="4">
        <v>0.51</v>
      </c>
      <c r="BF127" s="4">
        <v>0.82199999999999995</v>
      </c>
      <c r="BG127" s="4">
        <v>0.106</v>
      </c>
      <c r="BH127" s="4">
        <v>7.6999999999999999E-2</v>
      </c>
      <c r="BI127" s="4">
        <v>0.63</v>
      </c>
      <c r="BJ127" s="5">
        <f>(BE127-AN127)/AN127</f>
        <v>1.7964071856287442E-2</v>
      </c>
      <c r="BK127" s="5">
        <f>(BF127-AO127)/AO127</f>
        <v>2.8785982478097508E-2</v>
      </c>
      <c r="BL127" s="5">
        <f>(BG127-AP127)/AP127</f>
        <v>-0.49282296650717705</v>
      </c>
      <c r="BM127" s="5">
        <f>(BH127-AQ127)/AQ127</f>
        <v>-0.3</v>
      </c>
      <c r="BN127" s="4">
        <v>0.52200000000000002</v>
      </c>
      <c r="BO127" s="4">
        <v>0.75600000000000001</v>
      </c>
      <c r="BP127" s="4">
        <v>0.124</v>
      </c>
      <c r="BQ127" s="4">
        <v>0.22800000000000001</v>
      </c>
      <c r="BR127" s="5">
        <f>(BN127-AR127)/AR127</f>
        <v>0.21962616822429915</v>
      </c>
      <c r="BS127" s="5">
        <f>(BO127-AS127)/AS127</f>
        <v>0.12667660208643808</v>
      </c>
      <c r="BT127" s="5">
        <f>(BP127-AT127)/AT127</f>
        <v>-0.13888888888888884</v>
      </c>
      <c r="BU127" s="5">
        <f>(BQ127-AU127)/AU127</f>
        <v>1.28</v>
      </c>
      <c r="BV127" s="4">
        <f>(BN127-BE127)/BE127</f>
        <v>2.3529411764705903E-2</v>
      </c>
      <c r="BW127" s="4">
        <f>(BO127-BF127)/BF127</f>
        <v>-8.0291970802919652E-2</v>
      </c>
      <c r="BX127" s="4">
        <f>(BP127-BG127)/BG127</f>
        <v>0.169811320754717</v>
      </c>
      <c r="BY127" s="4">
        <f>(BQ127-BH127)/BH127</f>
        <v>1.9610389610389614</v>
      </c>
      <c r="BZ127" s="4">
        <v>0.55400000000000005</v>
      </c>
      <c r="CA127" s="4">
        <v>0.85299999999999998</v>
      </c>
      <c r="CB127" s="4">
        <v>9.6000000000000002E-2</v>
      </c>
      <c r="CC127" s="4">
        <v>5.5E-2</v>
      </c>
      <c r="CD127" s="4">
        <f>(BZ127-AR127)/AR127</f>
        <v>0.29439252336448613</v>
      </c>
      <c r="CE127" s="4">
        <f>(CA127-AS127)/AS127</f>
        <v>0.27123695976154982</v>
      </c>
      <c r="CF127" s="4">
        <f>(CB127-AT127)/AT127</f>
        <v>-0.33333333333333326</v>
      </c>
      <c r="CG127" s="4">
        <f>(CC127-AU127)/AU127</f>
        <v>-0.45</v>
      </c>
      <c r="CH127" s="4">
        <f>(BZ127-BN127)/BN127</f>
        <v>6.1302681992337217E-2</v>
      </c>
      <c r="CI127" s="4">
        <f>(CA127-BO127)/BO127</f>
        <v>0.12830687830687829</v>
      </c>
      <c r="CJ127" s="4">
        <f>(CB127-BP127)/BP127</f>
        <v>-0.22580645161290319</v>
      </c>
      <c r="CK127" s="4">
        <f>(CC127-BQ127)/BQ127</f>
        <v>-0.75877192982456143</v>
      </c>
      <c r="CL127" s="4">
        <v>0.61399999999999999</v>
      </c>
      <c r="CM127" s="4">
        <v>0.38100000000000001</v>
      </c>
      <c r="CN127" s="4">
        <f>CL127/CM127</f>
        <v>1.6115485564304461</v>
      </c>
    </row>
    <row r="128" spans="1:92" x14ac:dyDescent="0.3">
      <c r="A128" s="11" t="s">
        <v>129</v>
      </c>
      <c r="B128" s="13">
        <v>1182</v>
      </c>
      <c r="C128" s="13">
        <v>13</v>
      </c>
      <c r="D128" s="13">
        <v>7</v>
      </c>
      <c r="E128" s="13">
        <v>1</v>
      </c>
      <c r="F128" s="13">
        <v>1</v>
      </c>
      <c r="G128" s="12" t="s">
        <v>43</v>
      </c>
      <c r="H128" s="4">
        <v>5.63</v>
      </c>
      <c r="I128" s="4">
        <v>1.7</v>
      </c>
      <c r="J128" s="4">
        <v>6.01</v>
      </c>
      <c r="K128" s="4">
        <v>1.76</v>
      </c>
      <c r="L128" s="5">
        <f>(H128-I128)/(H128+I128)</f>
        <v>0.53615279672578442</v>
      </c>
      <c r="M128" s="5">
        <f>(J128-K128)/(J128+K128)</f>
        <v>0.54697554697554696</v>
      </c>
      <c r="N128" s="4">
        <v>0.43</v>
      </c>
      <c r="O128" s="4">
        <v>0.68300000000000005</v>
      </c>
      <c r="P128" s="4">
        <v>0.18099999999999999</v>
      </c>
      <c r="Q128" s="4">
        <v>0.16</v>
      </c>
      <c r="R128" s="4">
        <v>0.46</v>
      </c>
      <c r="S128" s="4">
        <v>0.67800000000000005</v>
      </c>
      <c r="T128" s="4">
        <v>0.19500000000000001</v>
      </c>
      <c r="U128" s="4">
        <v>0.16</v>
      </c>
      <c r="V128" s="4">
        <v>0.6</v>
      </c>
      <c r="W128" s="4">
        <v>0.91400000000000003</v>
      </c>
      <c r="X128" s="4">
        <v>9.4E-2</v>
      </c>
      <c r="Y128" s="4">
        <v>0.04</v>
      </c>
      <c r="Z128" s="4">
        <v>0.11</v>
      </c>
      <c r="AA128" s="5">
        <f>(V128-N128)/N128</f>
        <v>0.39534883720930231</v>
      </c>
      <c r="AB128" s="5">
        <f>(W128-O128)/O128</f>
        <v>0.33821376281112731</v>
      </c>
      <c r="AC128" s="5">
        <f>(X128-P128)/P128</f>
        <v>-0.48066298342541436</v>
      </c>
      <c r="AD128" s="5">
        <f>(Y128-Q128)/Q128</f>
        <v>-0.75</v>
      </c>
      <c r="AE128" s="4">
        <v>0.64</v>
      </c>
      <c r="AF128" s="4">
        <v>0.90100000000000002</v>
      </c>
      <c r="AG128" s="4">
        <v>0.108</v>
      </c>
      <c r="AH128" s="4">
        <v>0.04</v>
      </c>
      <c r="AI128" s="4">
        <v>0.13</v>
      </c>
      <c r="AJ128" s="5">
        <f>(AE128-R128)/R128</f>
        <v>0.39130434782608692</v>
      </c>
      <c r="AK128" s="5">
        <f>(AF128-S128)/S128</f>
        <v>0.32890855457227131</v>
      </c>
      <c r="AL128" s="5">
        <f>(AG128-T128)/T128</f>
        <v>-0.44615384615384618</v>
      </c>
      <c r="AM128" s="5">
        <f>(AH128-U128)/U128</f>
        <v>-0.75</v>
      </c>
      <c r="AN128" s="4">
        <v>0.59799999999999998</v>
      </c>
      <c r="AO128" s="4">
        <v>0.53500000000000003</v>
      </c>
      <c r="AP128" s="4">
        <v>0.36199999999999999</v>
      </c>
      <c r="AQ128" s="4">
        <v>0.17599999999999999</v>
      </c>
      <c r="AR128" s="4">
        <v>0.56599999999999995</v>
      </c>
      <c r="AS128" s="4">
        <v>0.63500000000000001</v>
      </c>
      <c r="AT128" s="4">
        <v>0.16500000000000001</v>
      </c>
      <c r="AU128" s="4">
        <v>0.158</v>
      </c>
      <c r="AV128" s="4">
        <v>0.65400000000000003</v>
      </c>
      <c r="AW128" s="4">
        <v>0.91200000000000003</v>
      </c>
      <c r="AX128" s="4">
        <v>0.158</v>
      </c>
      <c r="AY128" s="4">
        <v>9.1999999999999998E-2</v>
      </c>
      <c r="AZ128" s="4">
        <v>0.20599999999999999</v>
      </c>
      <c r="BA128" s="6">
        <f>(AV128-AN128)/AN128</f>
        <v>9.3645484949832866E-2</v>
      </c>
      <c r="BB128" s="6">
        <f>(AW128-AO128)/AO128</f>
        <v>0.70467289719626169</v>
      </c>
      <c r="BC128" s="6">
        <f>(AX128-AP128)/AP128</f>
        <v>-0.56353591160220995</v>
      </c>
      <c r="BD128" s="6">
        <f>(AY128-AQ128)/AQ128</f>
        <v>-0.47727272727272724</v>
      </c>
      <c r="BE128" s="4">
        <v>0.60299999999999998</v>
      </c>
      <c r="BF128" s="4">
        <v>0.85299999999999998</v>
      </c>
      <c r="BG128" s="4">
        <v>0.105</v>
      </c>
      <c r="BH128" s="4">
        <v>9.1999999999999998E-2</v>
      </c>
      <c r="BI128" s="4">
        <v>0.14899999999999999</v>
      </c>
      <c r="BJ128" s="5">
        <f>(BE128-AN128)/AN128</f>
        <v>8.3612040133779347E-3</v>
      </c>
      <c r="BK128" s="5">
        <f>(BF128-AO128)/AO128</f>
        <v>0.59439252336448589</v>
      </c>
      <c r="BL128" s="5">
        <f>(BG128-AP128)/AP128</f>
        <v>-0.70994475138121549</v>
      </c>
      <c r="BM128" s="5">
        <f>(BH128-AQ128)/AQ128</f>
        <v>-0.47727272727272724</v>
      </c>
      <c r="BN128" s="4">
        <v>0.60299999999999998</v>
      </c>
      <c r="BO128" s="4">
        <v>0.85299999999999998</v>
      </c>
      <c r="BP128" s="4">
        <v>0.105</v>
      </c>
      <c r="BQ128" s="4">
        <v>0.108</v>
      </c>
      <c r="BR128" s="5">
        <f>(BN128-AR128)/AR128</f>
        <v>6.5371024734982394E-2</v>
      </c>
      <c r="BS128" s="5">
        <f>(BO128-AS128)/AS128</f>
        <v>0.3433070866141732</v>
      </c>
      <c r="BT128" s="5">
        <f>(BP128-AT128)/AT128</f>
        <v>-0.3636363636363637</v>
      </c>
      <c r="BU128" s="5">
        <f>(BQ128-AU128)/AU128</f>
        <v>-0.31645569620253167</v>
      </c>
      <c r="BV128" s="4">
        <f>(BN128-BE128)/BE128</f>
        <v>0</v>
      </c>
      <c r="BW128" s="4">
        <f>(BO128-BF128)/BF128</f>
        <v>0</v>
      </c>
      <c r="BX128" s="4">
        <f>(BP128-BG128)/BG128</f>
        <v>0</v>
      </c>
      <c r="BY128" s="4">
        <f>(BQ128-BH128)/BH128</f>
        <v>0.17391304347826086</v>
      </c>
      <c r="BZ128" s="7">
        <v>0.68200000000000005</v>
      </c>
      <c r="CA128" s="7">
        <v>0.94499999999999995</v>
      </c>
      <c r="CB128" s="7">
        <v>0.124</v>
      </c>
      <c r="CC128" s="7">
        <v>5.3999999999999999E-2</v>
      </c>
      <c r="CD128" s="7">
        <f>(BZ128-AR128)/AR128</f>
        <v>0.2049469964664313</v>
      </c>
      <c r="CE128" s="7">
        <f>(CA128-AS128)/AS128</f>
        <v>0.48818897637795267</v>
      </c>
      <c r="CF128" s="7">
        <f>(CB128-AT128)/AT128</f>
        <v>-0.24848484848484853</v>
      </c>
      <c r="CG128" s="7">
        <f>(CC128-AU128)/AU128</f>
        <v>-0.65822784810126589</v>
      </c>
      <c r="CH128" s="4">
        <f>(BZ128-BN128)/BN128</f>
        <v>0.13101160862354905</v>
      </c>
      <c r="CI128" s="4">
        <f>(CA128-BO128)/BO128</f>
        <v>0.10785463071512306</v>
      </c>
      <c r="CJ128" s="4">
        <f>(CB128-BP128)/BP128</f>
        <v>0.18095238095238098</v>
      </c>
      <c r="CK128" s="4">
        <f>(CC128-BQ128)/BQ128</f>
        <v>-0.5</v>
      </c>
      <c r="CL128" s="7">
        <v>0.27300000000000002</v>
      </c>
      <c r="CM128" s="7">
        <v>0.749</v>
      </c>
      <c r="CN128" s="7">
        <f>CL128/CM128</f>
        <v>0.36448598130841126</v>
      </c>
    </row>
    <row r="129" spans="1:92" x14ac:dyDescent="0.3">
      <c r="A129" s="11" t="s">
        <v>130</v>
      </c>
      <c r="B129" s="13">
        <v>254</v>
      </c>
      <c r="C129" s="13">
        <v>16</v>
      </c>
      <c r="D129" s="13">
        <v>7</v>
      </c>
      <c r="E129" s="13">
        <v>1</v>
      </c>
      <c r="F129" s="13">
        <v>1</v>
      </c>
      <c r="G129" s="12" t="s">
        <v>43</v>
      </c>
      <c r="H129" s="4">
        <v>9.23</v>
      </c>
      <c r="I129" s="4">
        <v>2.57</v>
      </c>
      <c r="J129" s="4">
        <v>11.03</v>
      </c>
      <c r="K129" s="4">
        <v>1.99</v>
      </c>
      <c r="L129" s="5">
        <f>(H129-I129)/(H129+I129)</f>
        <v>0.56440677966101693</v>
      </c>
      <c r="M129" s="5">
        <f>(J129-K129)/(J129+K129)</f>
        <v>0.69431643625192008</v>
      </c>
      <c r="N129" s="4">
        <v>0.57999999999999996</v>
      </c>
      <c r="O129" s="4">
        <v>0.55500000000000005</v>
      </c>
      <c r="P129" s="4">
        <v>0.25</v>
      </c>
      <c r="Q129" s="4">
        <v>0.17</v>
      </c>
      <c r="R129" s="4">
        <v>0.69</v>
      </c>
      <c r="S129" s="4">
        <v>0.61799999999999999</v>
      </c>
      <c r="T129" s="4">
        <v>0.26500000000000001</v>
      </c>
      <c r="U129" s="4">
        <v>0.13</v>
      </c>
      <c r="V129" s="4">
        <v>0.76</v>
      </c>
      <c r="W129" s="4">
        <v>0.94899999999999995</v>
      </c>
      <c r="X129" s="4">
        <v>8.4000000000000005E-2</v>
      </c>
      <c r="Y129" s="4">
        <v>0.02</v>
      </c>
      <c r="Z129" s="4">
        <v>0.52</v>
      </c>
      <c r="AA129" s="5">
        <f>(V129-N129)/N129</f>
        <v>0.31034482758620702</v>
      </c>
      <c r="AB129" s="5">
        <f>(W129-O129)/O129</f>
        <v>0.70990990990990965</v>
      </c>
      <c r="AC129" s="5">
        <f>(X129-P129)/P129</f>
        <v>-0.66399999999999992</v>
      </c>
      <c r="AD129" s="5">
        <f>(Y129-Q129)/Q129</f>
        <v>-0.88235294117647067</v>
      </c>
      <c r="AE129" s="4">
        <v>0.83</v>
      </c>
      <c r="AF129" s="4">
        <v>0.94499999999999995</v>
      </c>
      <c r="AG129" s="4">
        <v>0.1</v>
      </c>
      <c r="AH129" s="4">
        <v>0.02</v>
      </c>
      <c r="AI129" s="4">
        <v>0.65</v>
      </c>
      <c r="AJ129" s="5">
        <f>(AE129-R129)/R129</f>
        <v>0.20289855072463772</v>
      </c>
      <c r="AK129" s="5">
        <f>(AF129-S129)/S129</f>
        <v>0.529126213592233</v>
      </c>
      <c r="AL129" s="5">
        <f>(AG129-T129)/T129</f>
        <v>-0.62264150943396224</v>
      </c>
      <c r="AM129" s="5">
        <f>(AH129-U129)/U129</f>
        <v>-0.84615384615384615</v>
      </c>
      <c r="AN129" s="4">
        <v>0.77500000000000002</v>
      </c>
      <c r="AO129" s="4">
        <v>0.93100000000000005</v>
      </c>
      <c r="AP129" s="4">
        <v>0.23100000000000001</v>
      </c>
      <c r="AQ129" s="4">
        <v>0.14499999999999999</v>
      </c>
      <c r="AR129" s="4">
        <v>0.54600000000000004</v>
      </c>
      <c r="AS129" s="4">
        <v>0.45300000000000001</v>
      </c>
      <c r="AT129" s="4">
        <v>0.193</v>
      </c>
      <c r="AU129" s="4">
        <v>0.17799999999999999</v>
      </c>
      <c r="AV129" s="4">
        <v>0.84</v>
      </c>
      <c r="AW129" s="4">
        <v>0.98699999999999999</v>
      </c>
      <c r="AX129" s="4">
        <v>0.1</v>
      </c>
      <c r="AY129" s="4">
        <v>4.2000000000000003E-2</v>
      </c>
      <c r="AZ129" s="4">
        <v>0.69099999999999995</v>
      </c>
      <c r="BA129" s="6">
        <f>(AV129-AN129)/AN129</f>
        <v>8.3870967741935407E-2</v>
      </c>
      <c r="BB129" s="6">
        <f>(AW129-AO129)/AO129</f>
        <v>6.0150375939849558E-2</v>
      </c>
      <c r="BC129" s="6">
        <f>(AX129-AP129)/AP129</f>
        <v>-0.5670995670995671</v>
      </c>
      <c r="BD129" s="6">
        <f>(AY129-AQ129)/AQ129</f>
        <v>-0.71034482758620676</v>
      </c>
      <c r="BE129" s="4">
        <v>0.76900000000000002</v>
      </c>
      <c r="BF129" s="4">
        <v>0.96599999999999997</v>
      </c>
      <c r="BG129" s="4">
        <v>4.8000000000000001E-2</v>
      </c>
      <c r="BH129" s="4">
        <v>4.9000000000000002E-2</v>
      </c>
      <c r="BI129" s="4">
        <v>0.55300000000000005</v>
      </c>
      <c r="BJ129" s="5">
        <f>(BE129-AN129)/AN129</f>
        <v>-7.7419354838709747E-3</v>
      </c>
      <c r="BK129" s="5">
        <f>(BF129-AO129)/AO129</f>
        <v>3.759398496240593E-2</v>
      </c>
      <c r="BL129" s="5">
        <f>(BG129-AP129)/AP129</f>
        <v>-0.79220779220779214</v>
      </c>
      <c r="BM129" s="5">
        <f>(BH129-AQ129)/AQ129</f>
        <v>-0.66206896551724137</v>
      </c>
      <c r="BN129" s="4">
        <v>0.76600000000000001</v>
      </c>
      <c r="BO129" s="4">
        <v>0.94299999999999995</v>
      </c>
      <c r="BP129" s="4">
        <v>6.2E-2</v>
      </c>
      <c r="BQ129" s="4">
        <v>0.29099999999999998</v>
      </c>
      <c r="BR129" s="5">
        <f>(BN129-AR129)/AR129</f>
        <v>0.40293040293040283</v>
      </c>
      <c r="BS129" s="5">
        <f>(BO129-AS129)/AS129</f>
        <v>1.0816777041942602</v>
      </c>
      <c r="BT129" s="5">
        <f>(BP129-AT129)/AT129</f>
        <v>-0.67875647668393779</v>
      </c>
      <c r="BU129" s="5">
        <f>(BQ129-AU129)/AU129</f>
        <v>0.6348314606741573</v>
      </c>
      <c r="BV129" s="4">
        <f>(BN129-BE129)/BE129</f>
        <v>-3.9011703511053352E-3</v>
      </c>
      <c r="BW129" s="4">
        <f>(BO129-BF129)/BF129</f>
        <v>-2.3809523809523832E-2</v>
      </c>
      <c r="BX129" s="4">
        <f>(BP129-BG129)/BG129</f>
        <v>0.29166666666666663</v>
      </c>
      <c r="BY129" s="4">
        <f>(BQ129-BH129)/BH129</f>
        <v>4.9387755102040813</v>
      </c>
      <c r="BZ129" s="4">
        <v>0.78600000000000003</v>
      </c>
      <c r="CA129" s="4">
        <v>0.97299999999999998</v>
      </c>
      <c r="CB129" s="4">
        <v>4.2999999999999997E-2</v>
      </c>
      <c r="CC129" s="4">
        <v>0.03</v>
      </c>
      <c r="CD129" s="4">
        <f>(BZ129-AR129)/AR129</f>
        <v>0.4395604395604395</v>
      </c>
      <c r="CE129" s="4">
        <f>(CA129-AS129)/AS129</f>
        <v>1.1479028697571745</v>
      </c>
      <c r="CF129" s="4">
        <f>(CB129-AT129)/AT129</f>
        <v>-0.7772020725388602</v>
      </c>
      <c r="CG129" s="4">
        <f>(CC129-AU129)/AU129</f>
        <v>-0.8314606741573034</v>
      </c>
      <c r="CH129" s="4">
        <f>(BZ129-BN129)/BN129</f>
        <v>2.6109660574412556E-2</v>
      </c>
      <c r="CI129" s="4">
        <f>(CA129-BO129)/BO129</f>
        <v>3.181336161187702E-2</v>
      </c>
      <c r="CJ129" s="4">
        <f>(CB129-BP129)/BP129</f>
        <v>-0.30645161290322587</v>
      </c>
      <c r="CK129" s="4">
        <f>(CC129-BQ129)/BQ129</f>
        <v>-0.89690721649484551</v>
      </c>
      <c r="CL129" s="4">
        <v>0.68899999999999995</v>
      </c>
      <c r="CM129" s="4">
        <v>0.40300000000000002</v>
      </c>
      <c r="CN129" s="4">
        <f>CL129/CM129</f>
        <v>1.7096774193548385</v>
      </c>
    </row>
    <row r="130" spans="1:92" x14ac:dyDescent="0.3">
      <c r="A130" s="11" t="s">
        <v>131</v>
      </c>
      <c r="B130" s="13">
        <v>395</v>
      </c>
      <c r="C130" s="13">
        <v>16</v>
      </c>
      <c r="D130" s="13">
        <v>7</v>
      </c>
      <c r="E130" s="13">
        <v>1</v>
      </c>
      <c r="F130" s="13">
        <v>1</v>
      </c>
      <c r="G130" s="12" t="s">
        <v>43</v>
      </c>
      <c r="H130" s="4">
        <v>9.56</v>
      </c>
      <c r="I130" s="4">
        <v>1.65</v>
      </c>
      <c r="J130" s="4">
        <v>11.09</v>
      </c>
      <c r="K130" s="4">
        <v>1.37</v>
      </c>
      <c r="L130" s="5">
        <f>(H130-I130)/(H130+I130)</f>
        <v>0.70561998215878674</v>
      </c>
      <c r="M130" s="5">
        <f>(J130-K130)/(J130+K130)</f>
        <v>0.78009630818619569</v>
      </c>
      <c r="N130" s="4">
        <v>0.6</v>
      </c>
      <c r="O130" s="4">
        <v>0.68700000000000006</v>
      </c>
      <c r="P130" s="4">
        <v>0.20100000000000001</v>
      </c>
      <c r="Q130" s="4">
        <v>0.11</v>
      </c>
      <c r="R130" s="4">
        <v>0.69</v>
      </c>
      <c r="S130" s="4">
        <v>0.71699999999999997</v>
      </c>
      <c r="T130" s="4">
        <v>0.218</v>
      </c>
      <c r="U130" s="4">
        <v>0.1</v>
      </c>
      <c r="V130" s="4">
        <v>0.72</v>
      </c>
      <c r="W130" s="4">
        <v>0.93600000000000005</v>
      </c>
      <c r="X130" s="4">
        <v>9.0999999999999998E-2</v>
      </c>
      <c r="Y130" s="4">
        <v>0.03</v>
      </c>
      <c r="Z130" s="4">
        <v>0.65</v>
      </c>
      <c r="AA130" s="5">
        <f>(V130-N130)/N130</f>
        <v>0.2</v>
      </c>
      <c r="AB130" s="5">
        <f>(W130-O130)/O130</f>
        <v>0.36244541484716153</v>
      </c>
      <c r="AC130" s="5">
        <f>(X130-P130)/P130</f>
        <v>-0.54726368159203986</v>
      </c>
      <c r="AD130" s="5">
        <f>(Y130-Q130)/Q130</f>
        <v>-0.72727272727272729</v>
      </c>
      <c r="AE130" s="4">
        <v>0.79</v>
      </c>
      <c r="AF130" s="4">
        <v>0.93400000000000005</v>
      </c>
      <c r="AG130" s="4">
        <v>0.105</v>
      </c>
      <c r="AH130" s="4">
        <v>0.02</v>
      </c>
      <c r="AI130" s="4">
        <v>0.73</v>
      </c>
      <c r="AJ130" s="5">
        <f>(AE130-R130)/R130</f>
        <v>0.1449275362318842</v>
      </c>
      <c r="AK130" s="5">
        <f>(AF130-S130)/S130</f>
        <v>0.30264993026499315</v>
      </c>
      <c r="AL130" s="5">
        <f>(AG130-T130)/T130</f>
        <v>-0.51834862385321101</v>
      </c>
      <c r="AM130" s="5">
        <f>(AH130-U130)/U130</f>
        <v>-0.79999999999999993</v>
      </c>
      <c r="AN130" s="4">
        <v>0.747</v>
      </c>
      <c r="AO130" s="4">
        <v>0.93100000000000005</v>
      </c>
      <c r="AP130" s="4">
        <v>0.20899999999999999</v>
      </c>
      <c r="AQ130" s="4">
        <v>0.10100000000000001</v>
      </c>
      <c r="AR130" s="4">
        <v>0.627</v>
      </c>
      <c r="AS130" s="4">
        <v>0.67900000000000005</v>
      </c>
      <c r="AT130" s="4">
        <v>0.13500000000000001</v>
      </c>
      <c r="AU130" s="4">
        <v>0.108</v>
      </c>
      <c r="AV130" s="4">
        <v>0.80600000000000005</v>
      </c>
      <c r="AW130" s="4">
        <v>0.98399999999999999</v>
      </c>
      <c r="AX130" s="4">
        <v>0.10199999999999999</v>
      </c>
      <c r="AY130" s="4">
        <v>3.7999999999999999E-2</v>
      </c>
      <c r="AZ130" s="4">
        <v>0.77700000000000002</v>
      </c>
      <c r="BA130" s="6">
        <f>(AV130-AN130)/AN130</f>
        <v>7.8982597054886278E-2</v>
      </c>
      <c r="BB130" s="6">
        <f>(AW130-AO130)/AO130</f>
        <v>5.6928034371643323E-2</v>
      </c>
      <c r="BC130" s="6">
        <f>(AX130-AP130)/AP130</f>
        <v>-0.51196172248803828</v>
      </c>
      <c r="BD130" s="6">
        <f>(AY130-AQ130)/AQ130</f>
        <v>-0.62376237623762376</v>
      </c>
      <c r="BE130" s="4">
        <v>0.72899999999999998</v>
      </c>
      <c r="BF130" s="4">
        <v>0.94199999999999995</v>
      </c>
      <c r="BG130" s="4">
        <v>5.7000000000000002E-2</v>
      </c>
      <c r="BH130" s="4">
        <v>5.0999999999999997E-2</v>
      </c>
      <c r="BI130" s="4">
        <v>0.68799999999999994</v>
      </c>
      <c r="BJ130" s="5">
        <f>(BE130-AN130)/AN130</f>
        <v>-2.4096385542168697E-2</v>
      </c>
      <c r="BK130" s="5">
        <f>(BF130-AO130)/AO130</f>
        <v>1.1815252416756067E-2</v>
      </c>
      <c r="BL130" s="5">
        <f>(BG130-AP130)/AP130</f>
        <v>-0.72727272727272729</v>
      </c>
      <c r="BM130" s="5">
        <f>(BH130-AQ130)/AQ130</f>
        <v>-0.4950495049504951</v>
      </c>
      <c r="BN130" s="4">
        <v>0.72299999999999998</v>
      </c>
      <c r="BO130" s="4">
        <v>0.89600000000000002</v>
      </c>
      <c r="BP130" s="4">
        <v>7.6999999999999999E-2</v>
      </c>
      <c r="BQ130" s="4">
        <v>0.34399999999999997</v>
      </c>
      <c r="BR130" s="5">
        <f>(BN130-AR130)/AR130</f>
        <v>0.15311004784688992</v>
      </c>
      <c r="BS130" s="5">
        <f>(BO130-AS130)/AS130</f>
        <v>0.3195876288659793</v>
      </c>
      <c r="BT130" s="5">
        <f>(BP130-AT130)/AT130</f>
        <v>-0.42962962962962969</v>
      </c>
      <c r="BU130" s="5">
        <f>(BQ130-AU130)/AU130</f>
        <v>2.1851851851851851</v>
      </c>
      <c r="BV130" s="4">
        <f>(BN130-BE130)/BE130</f>
        <v>-8.230452674897127E-3</v>
      </c>
      <c r="BW130" s="4">
        <f>(BO130-BF130)/BF130</f>
        <v>-4.8832271762207995E-2</v>
      </c>
      <c r="BX130" s="4">
        <f>(BP130-BG130)/BG130</f>
        <v>0.35087719298245607</v>
      </c>
      <c r="BY130" s="4">
        <f>(BQ130-BH130)/BH130</f>
        <v>5.7450980392156863</v>
      </c>
      <c r="BZ130" s="7">
        <v>0.74199999999999999</v>
      </c>
      <c r="CA130" s="7">
        <v>0.96199999999999997</v>
      </c>
      <c r="CB130" s="7">
        <v>4.7E-2</v>
      </c>
      <c r="CC130" s="7">
        <v>0.04</v>
      </c>
      <c r="CD130" s="7">
        <f>(BZ130-AR130)/AR130</f>
        <v>0.18341307814992025</v>
      </c>
      <c r="CE130" s="7">
        <f>(CA130-AS130)/AS130</f>
        <v>0.41678939617083932</v>
      </c>
      <c r="CF130" s="7">
        <f>(CB130-AT130)/AT130</f>
        <v>-0.6518518518518519</v>
      </c>
      <c r="CG130" s="7">
        <f>(CC130-AU130)/AU130</f>
        <v>-0.62962962962962965</v>
      </c>
      <c r="CH130" s="4">
        <f>(BZ130-BN130)/BN130</f>
        <v>2.6279391424619665E-2</v>
      </c>
      <c r="CI130" s="4">
        <f>(CA130-BO130)/BO130</f>
        <v>7.3660714285714232E-2</v>
      </c>
      <c r="CJ130" s="4">
        <f>(CB130-BP130)/BP130</f>
        <v>-0.38961038961038957</v>
      </c>
      <c r="CK130" s="4">
        <f>(CC130-BQ130)/BQ130</f>
        <v>-0.88372093023255816</v>
      </c>
      <c r="CL130" s="7">
        <v>0.68799999999999994</v>
      </c>
      <c r="CM130" s="7">
        <v>0.32300000000000001</v>
      </c>
      <c r="CN130" s="7">
        <f>CL130/CM130</f>
        <v>2.1300309597523217</v>
      </c>
    </row>
    <row r="131" spans="1:92" x14ac:dyDescent="0.3">
      <c r="A131" s="11" t="s">
        <v>132</v>
      </c>
      <c r="B131" s="13">
        <v>302</v>
      </c>
      <c r="C131" s="13">
        <v>16</v>
      </c>
      <c r="D131" s="13">
        <v>7</v>
      </c>
      <c r="E131" s="13">
        <v>1</v>
      </c>
      <c r="F131" s="13">
        <v>1</v>
      </c>
      <c r="G131" s="12" t="s">
        <v>43</v>
      </c>
      <c r="H131" s="4">
        <v>8.7200000000000006</v>
      </c>
      <c r="I131" s="4">
        <v>1.1200000000000001</v>
      </c>
      <c r="J131" s="4">
        <v>10.57</v>
      </c>
      <c r="K131" s="4">
        <v>0.98</v>
      </c>
      <c r="L131" s="5">
        <f>(H131-I131)/(H131+I131)</f>
        <v>0.77235772357723587</v>
      </c>
      <c r="M131" s="5">
        <f>(J131-K131)/(J131+K131)</f>
        <v>0.83030303030303021</v>
      </c>
      <c r="N131" s="4">
        <v>0.54</v>
      </c>
      <c r="O131" s="4">
        <v>0.78200000000000003</v>
      </c>
      <c r="P131" s="4">
        <v>0.14899999999999999</v>
      </c>
      <c r="Q131" s="4">
        <v>0.08</v>
      </c>
      <c r="R131" s="4">
        <v>0.66</v>
      </c>
      <c r="S131" s="4">
        <v>0.79100000000000004</v>
      </c>
      <c r="T131" s="4">
        <v>0.17299999999999999</v>
      </c>
      <c r="U131" s="4">
        <v>7.0000000000000007E-2</v>
      </c>
      <c r="V131" s="4">
        <v>0.63</v>
      </c>
      <c r="W131" s="4">
        <v>0.91700000000000004</v>
      </c>
      <c r="X131" s="4">
        <v>9.1999999999999998E-2</v>
      </c>
      <c r="Y131" s="4">
        <v>0.04</v>
      </c>
      <c r="Z131" s="4">
        <v>0.72</v>
      </c>
      <c r="AA131" s="5">
        <f>(V131-N131)/N131</f>
        <v>0.1666666666666666</v>
      </c>
      <c r="AB131" s="5">
        <f>(W131-O131)/O131</f>
        <v>0.17263427109974425</v>
      </c>
      <c r="AC131" s="5">
        <f>(X131-P131)/P131</f>
        <v>-0.3825503355704698</v>
      </c>
      <c r="AD131" s="5">
        <f>(Y131-Q131)/Q131</f>
        <v>-0.5</v>
      </c>
      <c r="AE131" s="4">
        <v>0.73</v>
      </c>
      <c r="AF131" s="4">
        <v>0.91</v>
      </c>
      <c r="AG131" s="4">
        <v>0.113</v>
      </c>
      <c r="AH131" s="4">
        <v>0.03</v>
      </c>
      <c r="AI131" s="4">
        <v>0.8</v>
      </c>
      <c r="AJ131" s="5">
        <f>(AE131-R131)/R131</f>
        <v>0.10606060606060598</v>
      </c>
      <c r="AK131" s="5">
        <f>(AF131-S131)/S131</f>
        <v>0.15044247787610618</v>
      </c>
      <c r="AL131" s="5">
        <f>(AG131-T131)/T131</f>
        <v>-0.34682080924855485</v>
      </c>
      <c r="AM131" s="5">
        <f>(AH131-U131)/U131</f>
        <v>-0.57142857142857151</v>
      </c>
      <c r="AN131" s="4">
        <v>0.71699999999999997</v>
      </c>
      <c r="AO131" s="4">
        <v>0.91400000000000003</v>
      </c>
      <c r="AP131" s="4">
        <v>0.17799999999999999</v>
      </c>
      <c r="AQ131" s="4">
        <v>7.3999999999999996E-2</v>
      </c>
      <c r="AR131" s="4">
        <v>0.57599999999999996</v>
      </c>
      <c r="AS131" s="4">
        <v>0.77700000000000002</v>
      </c>
      <c r="AT131" s="4">
        <v>0.115</v>
      </c>
      <c r="AU131" s="4">
        <v>8.4000000000000005E-2</v>
      </c>
      <c r="AV131" s="4">
        <v>0.78100000000000003</v>
      </c>
      <c r="AW131" s="4">
        <v>0.97</v>
      </c>
      <c r="AX131" s="4">
        <v>0.106</v>
      </c>
      <c r="AY131" s="4">
        <v>3.7999999999999999E-2</v>
      </c>
      <c r="AZ131" s="4">
        <v>0.82899999999999996</v>
      </c>
      <c r="BA131" s="6">
        <f>(AV131-AN131)/AN131</f>
        <v>8.9260808926080973E-2</v>
      </c>
      <c r="BB131" s="6">
        <f>(AW131-AO131)/AO131</f>
        <v>6.1269146608315027E-2</v>
      </c>
      <c r="BC131" s="6">
        <f>(AX131-AP131)/AP131</f>
        <v>-0.4044943820224719</v>
      </c>
      <c r="BD131" s="6">
        <f>(AY131-AQ131)/AQ131</f>
        <v>-0.48648648648648646</v>
      </c>
      <c r="BE131" s="4">
        <v>0.67</v>
      </c>
      <c r="BF131" s="4">
        <v>0.91500000000000004</v>
      </c>
      <c r="BG131" s="4">
        <v>7.0999999999999994E-2</v>
      </c>
      <c r="BH131" s="4">
        <v>4.5999999999999999E-2</v>
      </c>
      <c r="BI131" s="4">
        <v>0.76200000000000001</v>
      </c>
      <c r="BJ131" s="5">
        <f>(BE131-AN131)/AN131</f>
        <v>-6.5550906555090563E-2</v>
      </c>
      <c r="BK131" s="5">
        <f>(BF131-AO131)/AO131</f>
        <v>1.0940919037199133E-3</v>
      </c>
      <c r="BL131" s="5">
        <f>(BG131-AP131)/AP131</f>
        <v>-0.601123595505618</v>
      </c>
      <c r="BM131" s="5">
        <f>(BH131-AQ131)/AQ131</f>
        <v>-0.37837837837837834</v>
      </c>
      <c r="BN131" s="4">
        <v>0.66800000000000004</v>
      </c>
      <c r="BO131" s="4">
        <v>0.84199999999999997</v>
      </c>
      <c r="BP131" s="4">
        <v>9.7000000000000003E-2</v>
      </c>
      <c r="BQ131" s="4">
        <v>0.32500000000000001</v>
      </c>
      <c r="BR131" s="5">
        <f>(BN131-AR131)/AR131</f>
        <v>0.15972222222222238</v>
      </c>
      <c r="BS131" s="5">
        <f>(BO131-AS131)/AS131</f>
        <v>8.365508365508359E-2</v>
      </c>
      <c r="BT131" s="5">
        <f>(BP131-AT131)/AT131</f>
        <v>-0.15652173913043479</v>
      </c>
      <c r="BU131" s="5">
        <f>(BQ131-AU131)/AU131</f>
        <v>2.8690476190476186</v>
      </c>
      <c r="BV131" s="4">
        <f>(BN131-BE131)/BE131</f>
        <v>-2.9850746268656743E-3</v>
      </c>
      <c r="BW131" s="4">
        <f>(BO131-BF131)/BF131</f>
        <v>-7.9781420765027394E-2</v>
      </c>
      <c r="BX131" s="4">
        <f>(BP131-BG131)/BG131</f>
        <v>0.36619718309859173</v>
      </c>
      <c r="BY131" s="4">
        <f>(BQ131-BH131)/BH131</f>
        <v>6.0652173913043486</v>
      </c>
      <c r="BZ131" s="4">
        <v>0.69699999999999995</v>
      </c>
      <c r="CA131" s="4">
        <v>0.94899999999999995</v>
      </c>
      <c r="CB131" s="4">
        <v>5.5E-2</v>
      </c>
      <c r="CC131" s="4">
        <v>3.4000000000000002E-2</v>
      </c>
      <c r="CD131" s="4">
        <f>(BZ131-AR131)/AR131</f>
        <v>0.21006944444444445</v>
      </c>
      <c r="CE131" s="4">
        <f>(CA131-AS131)/AS131</f>
        <v>0.22136422136422126</v>
      </c>
      <c r="CF131" s="4">
        <f>(CB131-AT131)/AT131</f>
        <v>-0.52173913043478259</v>
      </c>
      <c r="CG131" s="4">
        <f>(CC131-AU131)/AU131</f>
        <v>-0.59523809523809523</v>
      </c>
      <c r="CH131" s="4">
        <f>(BZ131-BN131)/BN131</f>
        <v>4.3413173652694481E-2</v>
      </c>
      <c r="CI131" s="4">
        <f>(CA131-BO131)/BO131</f>
        <v>0.12707838479809974</v>
      </c>
      <c r="CJ131" s="4">
        <f>(CB131-BP131)/BP131</f>
        <v>-0.4329896907216495</v>
      </c>
      <c r="CK131" s="4">
        <f>(CC131-BQ131)/BQ131</f>
        <v>-0.89538461538461545</v>
      </c>
      <c r="CL131" s="4">
        <v>0.75600000000000001</v>
      </c>
      <c r="CM131" s="4">
        <v>0.26500000000000001</v>
      </c>
      <c r="CN131" s="4">
        <f>CL131/CM131</f>
        <v>2.8528301886792451</v>
      </c>
    </row>
    <row r="132" spans="1:92" x14ac:dyDescent="0.3">
      <c r="A132" s="11" t="s">
        <v>133</v>
      </c>
      <c r="B132" s="13">
        <v>616</v>
      </c>
      <c r="C132" s="13">
        <v>16</v>
      </c>
      <c r="D132" s="13">
        <v>7</v>
      </c>
      <c r="E132" s="13">
        <v>1</v>
      </c>
      <c r="F132" s="13">
        <v>1</v>
      </c>
      <c r="G132" s="12" t="s">
        <v>43</v>
      </c>
      <c r="H132" s="4">
        <v>7.5</v>
      </c>
      <c r="I132" s="4">
        <v>2.0699999999999998</v>
      </c>
      <c r="J132" s="13">
        <v>9.83</v>
      </c>
      <c r="K132" s="13">
        <v>1.72</v>
      </c>
      <c r="L132" s="5">
        <f>(H132-I132)/(H132+I132)</f>
        <v>0.56739811912225702</v>
      </c>
      <c r="M132" s="5">
        <f>(J132-K132)/(J132+K132)</f>
        <v>0.7021645021645021</v>
      </c>
      <c r="N132" s="4">
        <v>0.47</v>
      </c>
      <c r="O132" s="4">
        <v>0.62</v>
      </c>
      <c r="P132" s="4">
        <v>0.189</v>
      </c>
      <c r="Q132" s="4">
        <v>0.14000000000000001</v>
      </c>
      <c r="R132" s="4">
        <v>0.61</v>
      </c>
      <c r="S132" s="4">
        <v>0.67800000000000005</v>
      </c>
      <c r="T132" s="4">
        <v>0.21299999999999999</v>
      </c>
      <c r="U132" s="4">
        <v>0.12</v>
      </c>
      <c r="V132" s="4">
        <v>0.62</v>
      </c>
      <c r="W132" s="4">
        <v>0.93200000000000005</v>
      </c>
      <c r="X132" s="4">
        <v>7.9000000000000001E-2</v>
      </c>
      <c r="Y132" s="4">
        <v>0.03</v>
      </c>
      <c r="Z132" s="4">
        <v>0.51</v>
      </c>
      <c r="AA132" s="5">
        <f>(V132-N132)/N132</f>
        <v>0.31914893617021284</v>
      </c>
      <c r="AB132" s="5">
        <f>(W132-O132)/O132</f>
        <v>0.50322580645161297</v>
      </c>
      <c r="AC132" s="5">
        <f>(X132-P132)/P132</f>
        <v>-0.58201058201058198</v>
      </c>
      <c r="AD132" s="5">
        <f>(Y132-Q132)/Q132</f>
        <v>-0.7857142857142857</v>
      </c>
      <c r="AE132" s="4">
        <v>0.74</v>
      </c>
      <c r="AF132" s="4">
        <v>0.93100000000000005</v>
      </c>
      <c r="AG132" s="4">
        <v>9.9000000000000005E-2</v>
      </c>
      <c r="AH132" s="4">
        <v>0.03</v>
      </c>
      <c r="AI132" s="4">
        <v>0.64</v>
      </c>
      <c r="AJ132" s="5">
        <f>(AE132-R132)/R132</f>
        <v>0.21311475409836067</v>
      </c>
      <c r="AK132" s="5">
        <f>(AF132-S132)/S132</f>
        <v>0.37315634218289084</v>
      </c>
      <c r="AL132" s="5">
        <f>(AG132-T132)/T132</f>
        <v>-0.53521126760563376</v>
      </c>
      <c r="AM132" s="5">
        <f>(AH132-U132)/U132</f>
        <v>-0.75</v>
      </c>
      <c r="AN132" s="4">
        <v>0.69499999999999995</v>
      </c>
      <c r="AO132" s="4">
        <v>0.89500000000000002</v>
      </c>
      <c r="AP132" s="4">
        <v>0.187</v>
      </c>
      <c r="AQ132" s="4">
        <v>0.123</v>
      </c>
      <c r="AR132" s="4">
        <v>0.42899999999999999</v>
      </c>
      <c r="AS132" s="4">
        <v>0.57199999999999995</v>
      </c>
      <c r="AT132" s="4">
        <v>0.14099999999999999</v>
      </c>
      <c r="AU132" s="4">
        <v>0.13900000000000001</v>
      </c>
      <c r="AV132" s="4">
        <v>0.75900000000000001</v>
      </c>
      <c r="AW132" s="4">
        <v>0.97</v>
      </c>
      <c r="AX132" s="4">
        <v>0.1</v>
      </c>
      <c r="AY132" s="4">
        <v>5.1999999999999998E-2</v>
      </c>
      <c r="AZ132" s="4">
        <v>0.71299999999999997</v>
      </c>
      <c r="BA132" s="6">
        <f>(AV132-AN132)/AN132</f>
        <v>9.2086330935251884E-2</v>
      </c>
      <c r="BB132" s="6">
        <f>(AW132-AO132)/AO132</f>
        <v>8.3798882681564199E-2</v>
      </c>
      <c r="BC132" s="6">
        <f>(AX132-AP132)/AP132</f>
        <v>-0.46524064171122992</v>
      </c>
      <c r="BD132" s="6">
        <f>(AY132-AQ132)/AQ132</f>
        <v>-0.57723577235772361</v>
      </c>
      <c r="BE132" s="4">
        <v>0.64300000000000002</v>
      </c>
      <c r="BF132" s="4">
        <v>0.91700000000000004</v>
      </c>
      <c r="BG132" s="4">
        <v>6.2E-2</v>
      </c>
      <c r="BH132" s="4">
        <v>5.8999999999999997E-2</v>
      </c>
      <c r="BI132" s="4">
        <v>0.56399999999999995</v>
      </c>
      <c r="BJ132" s="5">
        <f>(BE132-AN132)/AN132</f>
        <v>-7.4820143884891999E-2</v>
      </c>
      <c r="BK132" s="5">
        <f>(BF132-AO132)/AO132</f>
        <v>2.4581005586592201E-2</v>
      </c>
      <c r="BL132" s="5">
        <f>(BG132-AP132)/AP132</f>
        <v>-0.66844919786096257</v>
      </c>
      <c r="BM132" s="5">
        <f>(BH132-AQ132)/AQ132</f>
        <v>-0.52032520325203258</v>
      </c>
      <c r="BN132" s="4">
        <v>0.64400000000000002</v>
      </c>
      <c r="BO132" s="4">
        <v>0.88</v>
      </c>
      <c r="BP132" s="4">
        <v>7.3999999999999996E-2</v>
      </c>
      <c r="BQ132" s="4">
        <v>0.24199999999999999</v>
      </c>
      <c r="BR132" s="5">
        <f>(BN132-AR132)/AR132</f>
        <v>0.50116550116550118</v>
      </c>
      <c r="BS132" s="5">
        <f>(BO132-AS132)/AS132</f>
        <v>0.53846153846153855</v>
      </c>
      <c r="BT132" s="5">
        <f>(BP132-AT132)/AT132</f>
        <v>-0.47517730496453897</v>
      </c>
      <c r="BU132" s="5">
        <f>(BQ132-AU132)/AU132</f>
        <v>0.74100719424460415</v>
      </c>
      <c r="BV132" s="4">
        <f>(BN132-BE132)/BE132</f>
        <v>1.5552099533437027E-3</v>
      </c>
      <c r="BW132" s="4">
        <f>(BO132-BF132)/BF132</f>
        <v>-4.0348964013086186E-2</v>
      </c>
      <c r="BX132" s="4">
        <f>(BP132-BG132)/BG132</f>
        <v>0.19354838709677413</v>
      </c>
      <c r="BY132" s="4">
        <f>(BQ132-BH132)/BH132</f>
        <v>3.1016949152542375</v>
      </c>
      <c r="BZ132" s="4">
        <v>0.67800000000000005</v>
      </c>
      <c r="CA132" s="4">
        <v>0.92900000000000005</v>
      </c>
      <c r="CB132" s="4">
        <v>5.7000000000000002E-2</v>
      </c>
      <c r="CC132" s="4">
        <v>3.7999999999999999E-2</v>
      </c>
      <c r="CD132" s="4">
        <f>(BZ132-AR132)/AR132</f>
        <v>0.58041958041958053</v>
      </c>
      <c r="CE132" s="4">
        <f>(CA132-AS132)/AS132</f>
        <v>0.62412587412587439</v>
      </c>
      <c r="CF132" s="4">
        <f>(CB132-AT132)/AT132</f>
        <v>-0.5957446808510638</v>
      </c>
      <c r="CG132" s="4">
        <f>(CC132-AU132)/AU132</f>
        <v>-0.72661870503597126</v>
      </c>
      <c r="CH132" s="4">
        <f>(BZ132-BN132)/BN132</f>
        <v>5.2795031055900665E-2</v>
      </c>
      <c r="CI132" s="4">
        <f>(CA132-BO132)/BO132</f>
        <v>5.5681818181818228E-2</v>
      </c>
      <c r="CJ132" s="4">
        <f>(CB132-BP132)/BP132</f>
        <v>-0.22972972972972966</v>
      </c>
      <c r="CK132" s="4">
        <f>(CC132-BQ132)/BQ132</f>
        <v>-0.84297520661157022</v>
      </c>
      <c r="CL132" s="4">
        <v>0.57899999999999996</v>
      </c>
      <c r="CM132" s="4">
        <v>0.41899999999999998</v>
      </c>
      <c r="CN132" s="4">
        <f>CL132/CM132</f>
        <v>1.3818615751789975</v>
      </c>
    </row>
    <row r="133" spans="1:92" x14ac:dyDescent="0.3">
      <c r="A133" s="11" t="s">
        <v>134</v>
      </c>
      <c r="B133" s="13">
        <v>203</v>
      </c>
      <c r="C133" s="13">
        <v>16</v>
      </c>
      <c r="D133" s="13">
        <v>7</v>
      </c>
      <c r="E133" s="13">
        <v>1</v>
      </c>
      <c r="F133" s="13">
        <v>1</v>
      </c>
      <c r="G133" s="12" t="s">
        <v>43</v>
      </c>
      <c r="H133" s="4">
        <v>6.73</v>
      </c>
      <c r="I133" s="4">
        <v>1.58</v>
      </c>
      <c r="J133" s="7">
        <v>9.51</v>
      </c>
      <c r="K133" s="7">
        <v>1.1339999999999999</v>
      </c>
      <c r="L133" s="5">
        <f>(H133-I133)/(H133+I133)</f>
        <v>0.61973525872442836</v>
      </c>
      <c r="M133" s="8">
        <f>(J133-K133)/(J133+K133)</f>
        <v>0.78692220969560311</v>
      </c>
      <c r="N133" s="4">
        <v>0.42</v>
      </c>
      <c r="O133" s="4">
        <v>0.63300000000000001</v>
      </c>
      <c r="P133" s="4">
        <v>0.16500000000000001</v>
      </c>
      <c r="Q133" s="4">
        <v>0.12</v>
      </c>
      <c r="R133" s="7">
        <v>0.59</v>
      </c>
      <c r="S133" s="7">
        <v>0.622</v>
      </c>
      <c r="T133" s="7">
        <v>0.23</v>
      </c>
      <c r="U133" s="7">
        <v>0.1</v>
      </c>
      <c r="V133" s="4">
        <v>0.54</v>
      </c>
      <c r="W133" s="4">
        <v>0.83199999999999996</v>
      </c>
      <c r="X133" s="4">
        <v>0.111</v>
      </c>
      <c r="Y133" s="4">
        <v>0.05</v>
      </c>
      <c r="Z133" s="4">
        <v>0.52</v>
      </c>
      <c r="AA133" s="5">
        <f>(V133-N133)/N133</f>
        <v>0.28571428571428586</v>
      </c>
      <c r="AB133" s="5">
        <f>(W133-O133)/O133</f>
        <v>0.3143759873617693</v>
      </c>
      <c r="AC133" s="5">
        <f>(X133-P133)/P133</f>
        <v>-0.32727272727272727</v>
      </c>
      <c r="AD133" s="5">
        <f>(Y133-Q133)/Q133</f>
        <v>-0.58333333333333326</v>
      </c>
      <c r="AE133" s="7">
        <v>0.69</v>
      </c>
      <c r="AF133" s="7">
        <v>0.76300000000000001</v>
      </c>
      <c r="AG133" s="7">
        <v>0.18099999999999999</v>
      </c>
      <c r="AH133" s="7">
        <v>0.05</v>
      </c>
      <c r="AI133" s="7">
        <v>0.66</v>
      </c>
      <c r="AJ133" s="8">
        <f>(AE133-R133)/R133</f>
        <v>0.16949152542372878</v>
      </c>
      <c r="AK133" s="8">
        <f>(AF133-S133)/S133</f>
        <v>0.22668810289389069</v>
      </c>
      <c r="AL133" s="8">
        <f>(AG133-T133)/T133</f>
        <v>-0.21304347826086961</v>
      </c>
      <c r="AM133" s="8">
        <f>(AH133-U133)/U133</f>
        <v>-0.5</v>
      </c>
      <c r="AN133" s="7">
        <v>0.66500000000000004</v>
      </c>
      <c r="AO133" s="7">
        <v>0.90800000000000003</v>
      </c>
      <c r="AP133" s="7">
        <v>0.153</v>
      </c>
      <c r="AQ133" s="7">
        <v>0.10299999999999999</v>
      </c>
      <c r="AR133" s="9">
        <v>0.41299999999999998</v>
      </c>
      <c r="AS133" s="4">
        <v>0.58099999999999996</v>
      </c>
      <c r="AT133" s="4">
        <v>0.121</v>
      </c>
      <c r="AU133" s="4">
        <v>0.112</v>
      </c>
      <c r="AV133" s="7">
        <v>0.72199999999999998</v>
      </c>
      <c r="AW133" s="7">
        <v>0.96699999999999997</v>
      </c>
      <c r="AX133" s="7">
        <v>9.0999999999999998E-2</v>
      </c>
      <c r="AY133" s="7">
        <v>6.3E-2</v>
      </c>
      <c r="AZ133" s="7">
        <v>0.76400000000000001</v>
      </c>
      <c r="BA133" s="8">
        <f>(AV133-AN133)/AN133</f>
        <v>8.5714285714285618E-2</v>
      </c>
      <c r="BB133" s="8">
        <f>(AW133-AO133)/AO133</f>
        <v>6.4977973568281874E-2</v>
      </c>
      <c r="BC133" s="8">
        <f>(AX133-AP133)/AP133</f>
        <v>-0.40522875816993464</v>
      </c>
      <c r="BD133" s="8">
        <f>(AY133-AQ133)/AQ133</f>
        <v>-0.38834951456310673</v>
      </c>
      <c r="BE133" s="4">
        <v>0.54</v>
      </c>
      <c r="BF133" s="4">
        <v>0.79400000000000004</v>
      </c>
      <c r="BG133" s="4">
        <v>8.5000000000000006E-2</v>
      </c>
      <c r="BH133" s="4">
        <v>7.2999999999999995E-2</v>
      </c>
      <c r="BI133" s="4">
        <v>0.625</v>
      </c>
      <c r="BJ133" s="5">
        <f>(BE133-AN133)/AN133</f>
        <v>-0.18796992481203006</v>
      </c>
      <c r="BK133" s="5">
        <f>(BF133-AO133)/AO133</f>
        <v>-0.12555066079295152</v>
      </c>
      <c r="BL133" s="5">
        <f>(BG133-AP133)/AP133</f>
        <v>-0.44444444444444442</v>
      </c>
      <c r="BM133" s="5">
        <f>(BH133-AQ133)/AQ133</f>
        <v>-0.29126213592233008</v>
      </c>
      <c r="BN133" s="4">
        <v>0.54900000000000004</v>
      </c>
      <c r="BO133" s="4">
        <v>0.74299999999999999</v>
      </c>
      <c r="BP133" s="4">
        <v>9.5000000000000001E-2</v>
      </c>
      <c r="BQ133" s="4">
        <v>0.23599999999999999</v>
      </c>
      <c r="BR133" s="5">
        <f>(BN133-AR133)/AR133</f>
        <v>0.32929782082324471</v>
      </c>
      <c r="BS133" s="5">
        <f>(BO133-AS133)/AS133</f>
        <v>0.27882960413080904</v>
      </c>
      <c r="BT133" s="5">
        <f>(BP133-AT133)/AT133</f>
        <v>-0.21487603305785122</v>
      </c>
      <c r="BU133" s="5">
        <f>(BQ133-AU133)/AU133</f>
        <v>1.107142857142857</v>
      </c>
      <c r="BV133" s="4">
        <f>(BN133-BE133)/BE133</f>
        <v>1.666666666666668E-2</v>
      </c>
      <c r="BW133" s="4">
        <f>(BO133-BF133)/BF133</f>
        <v>-6.4231738035264538E-2</v>
      </c>
      <c r="BX133" s="4">
        <f>(BP133-BG133)/BG133</f>
        <v>0.11764705882352934</v>
      </c>
      <c r="BY133" s="4">
        <f>(BQ133-BH133)/BH133</f>
        <v>2.2328767123287672</v>
      </c>
      <c r="BZ133" s="4">
        <v>0.59099999999999997</v>
      </c>
      <c r="CA133" s="4">
        <v>0.876</v>
      </c>
      <c r="CB133" s="4">
        <v>6.6000000000000003E-2</v>
      </c>
      <c r="CC133" s="4">
        <v>4.8000000000000001E-2</v>
      </c>
      <c r="CD133" s="4">
        <f>(BZ133-AR133)/AR133</f>
        <v>0.43099273607748184</v>
      </c>
      <c r="CE133" s="4">
        <f>(CA133-AS133)/AS133</f>
        <v>0.50774526678141141</v>
      </c>
      <c r="CF133" s="4">
        <f>(CB133-AT133)/AT133</f>
        <v>-0.45454545454545453</v>
      </c>
      <c r="CG133" s="4">
        <f>(CC133-AU133)/AU133</f>
        <v>-0.5714285714285714</v>
      </c>
      <c r="CH133" s="4">
        <f>(BZ133-BN133)/BN133</f>
        <v>7.6502732240437021E-2</v>
      </c>
      <c r="CI133" s="4">
        <f>(CA133-BO133)/BO133</f>
        <v>0.17900403768506057</v>
      </c>
      <c r="CJ133" s="4">
        <f>(CB133-BP133)/BP133</f>
        <v>-0.30526315789473679</v>
      </c>
      <c r="CK133" s="4">
        <f>(CC133-BQ133)/BQ133</f>
        <v>-0.79661016949152552</v>
      </c>
      <c r="CL133" s="4">
        <v>0.58499999999999996</v>
      </c>
      <c r="CM133" s="4">
        <v>0.41699999999999998</v>
      </c>
      <c r="CN133" s="4">
        <f>CL133/CM133</f>
        <v>1.4028776978417266</v>
      </c>
    </row>
    <row r="134" spans="1:92" x14ac:dyDescent="0.3">
      <c r="A134" s="11" t="s">
        <v>135</v>
      </c>
      <c r="B134" s="13">
        <v>250</v>
      </c>
      <c r="C134" s="13">
        <v>16</v>
      </c>
      <c r="D134" s="13">
        <v>7</v>
      </c>
      <c r="E134" s="13">
        <v>1</v>
      </c>
      <c r="F134" s="13">
        <v>1</v>
      </c>
      <c r="G134" s="12" t="s">
        <v>43</v>
      </c>
      <c r="H134" s="9">
        <v>9.25</v>
      </c>
      <c r="I134" s="9">
        <v>1.69</v>
      </c>
      <c r="J134" s="9">
        <v>10.69</v>
      </c>
      <c r="K134" s="9">
        <v>1.51</v>
      </c>
      <c r="L134" s="6">
        <f>(H134-I134)/(H134+I134)</f>
        <v>0.69104204753199272</v>
      </c>
      <c r="M134" s="6">
        <f>(J134-K134)/(J134+K134)</f>
        <v>0.75245901639344259</v>
      </c>
      <c r="N134" s="9">
        <v>0.57999999999999996</v>
      </c>
      <c r="O134" s="9">
        <v>0.70399999999999996</v>
      </c>
      <c r="P134" s="9">
        <v>0.187</v>
      </c>
      <c r="Q134" s="9">
        <v>0.12</v>
      </c>
      <c r="R134" s="9">
        <v>0.67</v>
      </c>
      <c r="S134" s="9">
        <v>0.71099999999999997</v>
      </c>
      <c r="T134" s="9">
        <v>0.21199999999999999</v>
      </c>
      <c r="U134" s="9">
        <v>0.11</v>
      </c>
      <c r="V134" s="9">
        <v>0.7</v>
      </c>
      <c r="W134" s="9">
        <v>0.94399999999999995</v>
      </c>
      <c r="X134" s="9">
        <v>8.2000000000000003E-2</v>
      </c>
      <c r="Y134" s="9">
        <v>0.03</v>
      </c>
      <c r="Z134" s="9">
        <v>0.59</v>
      </c>
      <c r="AA134" s="6">
        <f>(V134-N134)/N134</f>
        <v>0.20689655172413793</v>
      </c>
      <c r="AB134" s="6">
        <f>(W134-O134)/O134</f>
        <v>0.34090909090909094</v>
      </c>
      <c r="AC134" s="6">
        <f>(X134-P134)/P134</f>
        <v>-0.56149732620320858</v>
      </c>
      <c r="AD134" s="6">
        <f>(Y134-Q134)/Q134</f>
        <v>-0.75</v>
      </c>
      <c r="AE134" s="9">
        <v>0.78</v>
      </c>
      <c r="AF134" s="9">
        <v>0.93</v>
      </c>
      <c r="AG134" s="9">
        <v>0.104</v>
      </c>
      <c r="AH134" s="9">
        <v>0.03</v>
      </c>
      <c r="AI134" s="9">
        <v>0.65</v>
      </c>
      <c r="AJ134" s="6">
        <f>(AE134-R134)/R134</f>
        <v>0.16417910447761191</v>
      </c>
      <c r="AK134" s="6">
        <f>(AF134-S134)/S134</f>
        <v>0.30801687763713093</v>
      </c>
      <c r="AL134" s="6">
        <f>(AG134-T134)/T134</f>
        <v>-0.50943396226415094</v>
      </c>
      <c r="AM134" s="6">
        <f>(AH134-U134)/U134</f>
        <v>-0.72727272727272729</v>
      </c>
      <c r="AN134" s="4">
        <v>0.72599999999999998</v>
      </c>
      <c r="AO134" s="4">
        <v>0.90200000000000002</v>
      </c>
      <c r="AP134" s="4">
        <v>0.21</v>
      </c>
      <c r="AQ134" s="4">
        <v>0.114</v>
      </c>
      <c r="AR134" s="4">
        <v>0.59699999999999998</v>
      </c>
      <c r="AS134" s="4">
        <v>0.67800000000000005</v>
      </c>
      <c r="AT134" s="4">
        <v>0.14099999999999999</v>
      </c>
      <c r="AU134" s="4">
        <v>0.111</v>
      </c>
      <c r="AV134" s="4">
        <v>0.77800000000000002</v>
      </c>
      <c r="AW134" s="4">
        <v>0.95</v>
      </c>
      <c r="AX134" s="4">
        <v>0.14899999999999999</v>
      </c>
      <c r="AY134" s="4">
        <v>5.8999999999999997E-2</v>
      </c>
      <c r="AZ134" s="4">
        <v>0.76900000000000002</v>
      </c>
      <c r="BA134" s="6">
        <f>(AV134-AN134)/AN134</f>
        <v>7.1625344352617151E-2</v>
      </c>
      <c r="BB134" s="6">
        <f>(AW134-AO134)/AO134</f>
        <v>5.3215077605321431E-2</v>
      </c>
      <c r="BC134" s="6">
        <f>(AX134-AP134)/AP134</f>
        <v>-0.2904761904761905</v>
      </c>
      <c r="BD134" s="6">
        <f>(AY134-AQ134)/AQ134</f>
        <v>-0.48245614035087725</v>
      </c>
      <c r="BE134" s="4">
        <v>0.69599999999999995</v>
      </c>
      <c r="BF134" s="4">
        <v>0.92100000000000004</v>
      </c>
      <c r="BG134" s="4">
        <v>7.0000000000000007E-2</v>
      </c>
      <c r="BH134" s="4">
        <v>6.7000000000000004E-2</v>
      </c>
      <c r="BI134" s="4">
        <v>0.69799999999999995</v>
      </c>
      <c r="BJ134" s="5">
        <f>(BE134-AN134)/AN134</f>
        <v>-4.1322314049586813E-2</v>
      </c>
      <c r="BK134" s="5">
        <f>(BF134-AO134)/AO134</f>
        <v>2.1064301552106448E-2</v>
      </c>
      <c r="BL134" s="5">
        <f>(BG134-AP134)/AP134</f>
        <v>-0.66666666666666663</v>
      </c>
      <c r="BM134" s="5">
        <f>(BH134-AQ134)/AQ134</f>
        <v>-0.41228070175438597</v>
      </c>
      <c r="BN134" s="4">
        <v>0.7</v>
      </c>
      <c r="BO134" s="4">
        <v>0.87</v>
      </c>
      <c r="BP134" s="4">
        <v>8.8999999999999996E-2</v>
      </c>
      <c r="BQ134" s="4">
        <v>0.33500000000000002</v>
      </c>
      <c r="BR134" s="5">
        <f>(BN134-AR134)/AR134</f>
        <v>0.1725293132328308</v>
      </c>
      <c r="BS134" s="5">
        <f>(BO134-AS134)/AS134</f>
        <v>0.28318584070796449</v>
      </c>
      <c r="BT134" s="5">
        <f>(BP134-AT134)/AT134</f>
        <v>-0.36879432624113473</v>
      </c>
      <c r="BU134" s="5">
        <f>(BQ134-AU134)/AU134</f>
        <v>2.0180180180180183</v>
      </c>
      <c r="BV134" s="4">
        <f>(BN134-BE134)/BE134</f>
        <v>5.7471264367816143E-3</v>
      </c>
      <c r="BW134" s="4">
        <f>(BO134-BF134)/BF134</f>
        <v>-5.5374592833876267E-2</v>
      </c>
      <c r="BX134" s="4">
        <f>(BP134-BG134)/BG134</f>
        <v>0.27142857142857124</v>
      </c>
      <c r="BY134" s="4">
        <f>(BQ134-BH134)/BH134</f>
        <v>4</v>
      </c>
      <c r="BZ134" s="4">
        <v>0.71899999999999997</v>
      </c>
      <c r="CA134" s="4">
        <v>0.96</v>
      </c>
      <c r="CB134" s="4">
        <v>4.9000000000000002E-2</v>
      </c>
      <c r="CC134" s="4">
        <v>3.7999999999999999E-2</v>
      </c>
      <c r="CD134" s="4">
        <f>(BZ134-AR134)/AR134</f>
        <v>0.20435510887772196</v>
      </c>
      <c r="CE134" s="4">
        <f>(CA134-AS134)/AS134</f>
        <v>0.41592920353982288</v>
      </c>
      <c r="CF134" s="4">
        <f>(CB134-AT134)/AT134</f>
        <v>-0.65248226950354604</v>
      </c>
      <c r="CG134" s="4">
        <f>(CC134-AU134)/AU134</f>
        <v>-0.65765765765765771</v>
      </c>
      <c r="CH134" s="4">
        <f>(BZ134-BN134)/BN134</f>
        <v>2.714285714285717E-2</v>
      </c>
      <c r="CI134" s="4">
        <f>(CA134-BO134)/BO134</f>
        <v>0.10344827586206894</v>
      </c>
      <c r="CJ134" s="4">
        <f>(CB134-BP134)/BP134</f>
        <v>-0.44943820224719094</v>
      </c>
      <c r="CK134" s="4">
        <f>(CC134-BQ134)/BQ134</f>
        <v>-0.88656716417910453</v>
      </c>
      <c r="CL134" s="4">
        <v>0.71499999999999997</v>
      </c>
      <c r="CM134" s="4">
        <v>0.28899999999999998</v>
      </c>
      <c r="CN134" s="4">
        <f>CL134/CM134</f>
        <v>2.4740484429065743</v>
      </c>
    </row>
    <row r="135" spans="1:92" x14ac:dyDescent="0.3">
      <c r="A135" s="11" t="s">
        <v>136</v>
      </c>
      <c r="B135" s="13">
        <v>257</v>
      </c>
      <c r="C135" s="13">
        <v>16</v>
      </c>
      <c r="D135" s="13">
        <v>7</v>
      </c>
      <c r="E135" s="13">
        <v>1</v>
      </c>
      <c r="F135" s="13">
        <v>1</v>
      </c>
      <c r="G135" s="12" t="s">
        <v>43</v>
      </c>
      <c r="H135" s="4">
        <v>9.07</v>
      </c>
      <c r="I135" s="4">
        <v>1.93</v>
      </c>
      <c r="J135" s="4">
        <v>10.89</v>
      </c>
      <c r="K135" s="4">
        <v>1.63</v>
      </c>
      <c r="L135" s="5">
        <f>(H135-I135)/(H135+I135)</f>
        <v>0.64909090909090916</v>
      </c>
      <c r="M135" s="5">
        <f>(J135-K135)/(J135+K135)</f>
        <v>0.73961661341853047</v>
      </c>
      <c r="N135" s="4">
        <v>0.56999999999999995</v>
      </c>
      <c r="O135" s="4">
        <v>0.63</v>
      </c>
      <c r="P135" s="4">
        <v>0.215</v>
      </c>
      <c r="Q135" s="4">
        <v>0.13</v>
      </c>
      <c r="R135" s="4">
        <v>0.68</v>
      </c>
      <c r="S135" s="4">
        <v>0.64600000000000002</v>
      </c>
      <c r="T135" s="4">
        <v>0.249</v>
      </c>
      <c r="U135" s="4">
        <v>0.11</v>
      </c>
      <c r="V135" s="4">
        <v>0.71</v>
      </c>
      <c r="W135" s="4">
        <v>0.93400000000000005</v>
      </c>
      <c r="X135" s="4">
        <v>0.09</v>
      </c>
      <c r="Y135" s="4">
        <v>0.03</v>
      </c>
      <c r="Z135" s="4">
        <v>0.56000000000000005</v>
      </c>
      <c r="AA135" s="5">
        <f>(V135-N135)/N135</f>
        <v>0.24561403508771934</v>
      </c>
      <c r="AB135" s="5">
        <f>(W135-O135)/O135</f>
        <v>0.4825396825396826</v>
      </c>
      <c r="AC135" s="5">
        <f>(X135-P135)/P135</f>
        <v>-0.58139534883720934</v>
      </c>
      <c r="AD135" s="5">
        <f>(Y135-Q135)/Q135</f>
        <v>-0.76923076923076927</v>
      </c>
      <c r="AE135" s="4">
        <v>0.8</v>
      </c>
      <c r="AF135" s="4">
        <v>0.91</v>
      </c>
      <c r="AG135" s="4">
        <v>0.125</v>
      </c>
      <c r="AH135" s="4">
        <v>0.02</v>
      </c>
      <c r="AI135" s="4">
        <v>0.65</v>
      </c>
      <c r="AJ135" s="5">
        <f>(AE135-R135)/R135</f>
        <v>0.1764705882352941</v>
      </c>
      <c r="AK135" s="5">
        <f>(AF135-S135)/S135</f>
        <v>0.4086687306501548</v>
      </c>
      <c r="AL135" s="5">
        <f>(AG135-T135)/T135</f>
        <v>-0.49799196787148592</v>
      </c>
      <c r="AM135" s="5">
        <f>(AH135-U135)/U135</f>
        <v>-0.81818181818181812</v>
      </c>
      <c r="AN135" s="4">
        <v>0.73</v>
      </c>
      <c r="AO135" s="4">
        <v>0.93200000000000005</v>
      </c>
      <c r="AP135" s="4">
        <v>0.186</v>
      </c>
      <c r="AQ135" s="4">
        <v>0.128</v>
      </c>
      <c r="AR135" s="4">
        <v>0.55700000000000005</v>
      </c>
      <c r="AS135" s="4">
        <v>0.61</v>
      </c>
      <c r="AT135" s="4">
        <v>0.155</v>
      </c>
      <c r="AU135" s="4">
        <v>0.13700000000000001</v>
      </c>
      <c r="AV135" s="4">
        <v>0.80600000000000005</v>
      </c>
      <c r="AW135" s="4">
        <v>0.95799999999999996</v>
      </c>
      <c r="AX135" s="4">
        <v>0.14699999999999999</v>
      </c>
      <c r="AY135" s="4">
        <v>6.4000000000000001E-2</v>
      </c>
      <c r="AZ135" s="4">
        <v>0.76500000000000001</v>
      </c>
      <c r="BA135" s="6">
        <f>(AV135-AN135)/AN135</f>
        <v>0.10410958904109599</v>
      </c>
      <c r="BB135" s="6">
        <f>(AW135-AO135)/AO135</f>
        <v>2.7896995708154411E-2</v>
      </c>
      <c r="BC135" s="6">
        <f>(AX135-AP135)/AP135</f>
        <v>-0.20967741935483875</v>
      </c>
      <c r="BD135" s="6">
        <f>(AY135-AQ135)/AQ135</f>
        <v>-0.5</v>
      </c>
      <c r="BE135" s="4">
        <v>0.7</v>
      </c>
      <c r="BF135" s="4">
        <v>0.90900000000000003</v>
      </c>
      <c r="BG135" s="4">
        <v>7.4999999999999997E-2</v>
      </c>
      <c r="BH135" s="4">
        <v>7.9000000000000001E-2</v>
      </c>
      <c r="BI135" s="4">
        <v>0.621</v>
      </c>
      <c r="BJ135" s="5">
        <f>(BE135-AN135)/AN135</f>
        <v>-4.1095890410958943E-2</v>
      </c>
      <c r="BK135" s="5">
        <f>(BF135-AO135)/AO135</f>
        <v>-2.4678111587982852E-2</v>
      </c>
      <c r="BL135" s="5">
        <f>(BG135-AP135)/AP135</f>
        <v>-0.59677419354838712</v>
      </c>
      <c r="BM135" s="5">
        <f>(BH135-AQ135)/AQ135</f>
        <v>-0.3828125</v>
      </c>
      <c r="BN135" s="4">
        <v>0.70199999999999996</v>
      </c>
      <c r="BO135" s="4">
        <v>0.872</v>
      </c>
      <c r="BP135" s="4">
        <v>8.8999999999999996E-2</v>
      </c>
      <c r="BQ135" s="4">
        <v>0.32</v>
      </c>
      <c r="BR135" s="5">
        <f>(BN135-AR135)/AR135</f>
        <v>0.26032315978455994</v>
      </c>
      <c r="BS135" s="5">
        <f>(BO135-AS135)/AS135</f>
        <v>0.42950819672131152</v>
      </c>
      <c r="BT135" s="5">
        <f>(BP135-AT135)/AT135</f>
        <v>-0.42580645161290326</v>
      </c>
      <c r="BU135" s="5">
        <f>(BQ135-AU135)/AU135</f>
        <v>1.335766423357664</v>
      </c>
      <c r="BV135" s="4">
        <f>(BN135-BE135)/BE135</f>
        <v>2.8571428571428597E-3</v>
      </c>
      <c r="BW135" s="4">
        <f>(BO135-BF135)/BF135</f>
        <v>-4.0704070407040736E-2</v>
      </c>
      <c r="BX135" s="4">
        <f>(BP135-BG135)/BG135</f>
        <v>0.18666666666666665</v>
      </c>
      <c r="BY135" s="4">
        <f>(BQ135-BH135)/BH135</f>
        <v>3.0506329113924049</v>
      </c>
      <c r="BZ135" s="4">
        <v>0.747</v>
      </c>
      <c r="CA135" s="4">
        <v>0.92900000000000005</v>
      </c>
      <c r="CB135" s="4">
        <v>6.6000000000000003E-2</v>
      </c>
      <c r="CC135" s="4">
        <v>4.3999999999999997E-2</v>
      </c>
      <c r="CD135" s="4">
        <f>(BZ135-AR135)/AR135</f>
        <v>0.34111310592459593</v>
      </c>
      <c r="CE135" s="4">
        <f>(CA135-AS135)/AS135</f>
        <v>0.52295081967213131</v>
      </c>
      <c r="CF135" s="4">
        <f>(CB135-AT135)/AT135</f>
        <v>-0.5741935483870968</v>
      </c>
      <c r="CG135" s="4">
        <f>(CC135-AU135)/AU135</f>
        <v>-0.67883211678832123</v>
      </c>
      <c r="CH135" s="4">
        <f>(BZ135-BN135)/BN135</f>
        <v>6.4102564102564166E-2</v>
      </c>
      <c r="CI135" s="4">
        <f>(CA135-BO135)/BO135</f>
        <v>6.5366972477064272E-2</v>
      </c>
      <c r="CJ135" s="4">
        <f>(CB135-BP135)/BP135</f>
        <v>-0.25842696629213474</v>
      </c>
      <c r="CK135" s="4">
        <f>(CC135-BQ135)/BQ135</f>
        <v>-0.86250000000000004</v>
      </c>
      <c r="CL135" s="4">
        <v>0.65</v>
      </c>
      <c r="CM135" s="4">
        <v>0.35099999999999998</v>
      </c>
      <c r="CN135" s="4">
        <f>CL135/CM135</f>
        <v>1.8518518518518521</v>
      </c>
    </row>
    <row r="136" spans="1:92" x14ac:dyDescent="0.3">
      <c r="A136" s="11" t="s">
        <v>137</v>
      </c>
      <c r="B136" s="13">
        <v>701</v>
      </c>
      <c r="C136" s="13">
        <v>16</v>
      </c>
      <c r="D136" s="13">
        <v>7</v>
      </c>
      <c r="E136" s="13">
        <v>4</v>
      </c>
      <c r="F136" s="13">
        <v>4</v>
      </c>
      <c r="G136" s="12" t="s">
        <v>9</v>
      </c>
      <c r="H136" s="4">
        <v>6.52</v>
      </c>
      <c r="I136" s="4">
        <v>1.57</v>
      </c>
      <c r="J136" s="4">
        <v>7.28</v>
      </c>
      <c r="K136" s="4">
        <v>1.64</v>
      </c>
      <c r="L136" s="5">
        <f>(H136-I136)/(H136+I136)</f>
        <v>0.61186650185414082</v>
      </c>
      <c r="M136" s="5">
        <f>(J136-K136)/(J136+K136)</f>
        <v>0.63228699551569512</v>
      </c>
      <c r="N136" s="4">
        <v>0.41</v>
      </c>
      <c r="O136" s="4">
        <v>0.47199999999999998</v>
      </c>
      <c r="P136" s="4">
        <v>0.221</v>
      </c>
      <c r="Q136" s="4">
        <v>0.15</v>
      </c>
      <c r="R136" s="4">
        <v>0.46</v>
      </c>
      <c r="S136" s="4">
        <v>0.46</v>
      </c>
      <c r="T136" s="4">
        <v>0.248</v>
      </c>
      <c r="U136" s="4">
        <v>0.15</v>
      </c>
      <c r="V136" s="4">
        <v>0.69</v>
      </c>
      <c r="W136" s="4">
        <v>0.96</v>
      </c>
      <c r="X136" s="4">
        <v>6.0999999999999999E-2</v>
      </c>
      <c r="Y136" s="4">
        <v>0.02</v>
      </c>
      <c r="Z136" s="4">
        <v>0.45300000000000001</v>
      </c>
      <c r="AA136" s="5">
        <f>(V136-N136)/N136</f>
        <v>0.68292682926829262</v>
      </c>
      <c r="AB136" s="5">
        <f>(W136-O136)/O136</f>
        <v>1.0338983050847459</v>
      </c>
      <c r="AC136" s="5">
        <f>(X136-P136)/P136</f>
        <v>-0.72398190045248867</v>
      </c>
      <c r="AD136" s="5">
        <f>(Y136-Q136)/Q136</f>
        <v>-0.8666666666666667</v>
      </c>
      <c r="AE136" s="4">
        <v>0.74</v>
      </c>
      <c r="AF136" s="4">
        <v>0.94399999999999995</v>
      </c>
      <c r="AG136" s="4">
        <v>0.08</v>
      </c>
      <c r="AH136" s="4">
        <v>0.02</v>
      </c>
      <c r="AI136" s="4">
        <v>0.48699999999999999</v>
      </c>
      <c r="AJ136" s="5">
        <f>(AE136-R136)/R136</f>
        <v>0.60869565217391297</v>
      </c>
      <c r="AK136" s="5">
        <f>(AF136-S136)/S136</f>
        <v>1.052173913043478</v>
      </c>
      <c r="AL136" s="5">
        <f>(AG136-T136)/T136</f>
        <v>-0.67741935483870963</v>
      </c>
      <c r="AM136" s="5">
        <f>(AH136-U136)/U136</f>
        <v>-0.8666666666666667</v>
      </c>
      <c r="AN136" s="4">
        <v>0.56599999999999995</v>
      </c>
      <c r="AO136" s="4">
        <v>0.748</v>
      </c>
      <c r="AP136" s="4">
        <v>0.28000000000000003</v>
      </c>
      <c r="AQ136" s="4">
        <v>0.184</v>
      </c>
      <c r="AR136" s="4">
        <v>0.33500000000000002</v>
      </c>
      <c r="AS136" s="4">
        <v>0.45</v>
      </c>
      <c r="AT136" s="4">
        <v>0.186</v>
      </c>
      <c r="AU136" s="4">
        <v>0.14000000000000001</v>
      </c>
      <c r="AV136" s="4">
        <v>0.77600000000000002</v>
      </c>
      <c r="AW136" s="4">
        <v>0.98599999999999999</v>
      </c>
      <c r="AX136" s="4">
        <v>6.6000000000000003E-2</v>
      </c>
      <c r="AY136" s="4">
        <v>3.3000000000000002E-2</v>
      </c>
      <c r="AZ136" s="4">
        <v>0.51300000000000001</v>
      </c>
      <c r="BA136" s="6">
        <f>(AV136-AN136)/AN136</f>
        <v>0.37102473498233235</v>
      </c>
      <c r="BB136" s="6">
        <f>(AW136-AO136)/AO136</f>
        <v>0.31818181818181818</v>
      </c>
      <c r="BC136" s="6">
        <f>(AX136-AP136)/AP136</f>
        <v>-0.76428571428571435</v>
      </c>
      <c r="BD136" s="6">
        <f>(AY136-AQ136)/AQ136</f>
        <v>-0.82065217391304346</v>
      </c>
      <c r="BE136" s="4">
        <v>0.73399999999999999</v>
      </c>
      <c r="BF136" s="4">
        <v>0.96499999999999997</v>
      </c>
      <c r="BG136" s="4">
        <v>4.7E-2</v>
      </c>
      <c r="BH136" s="4">
        <v>3.5999999999999997E-2</v>
      </c>
      <c r="BI136" s="4">
        <v>0.47199999999999998</v>
      </c>
      <c r="BJ136" s="5">
        <f>(BE136-AN136)/AN136</f>
        <v>0.29681978798586584</v>
      </c>
      <c r="BK136" s="5">
        <f>(BF136-AO136)/AO136</f>
        <v>0.29010695187165769</v>
      </c>
      <c r="BL136" s="5">
        <f>(BG136-AP136)/AP136</f>
        <v>-0.83214285714285718</v>
      </c>
      <c r="BM136" s="5">
        <f>(BH136-AQ136)/AQ136</f>
        <v>-0.80434782608695654</v>
      </c>
      <c r="BN136" s="4">
        <v>0.74</v>
      </c>
      <c r="BO136" s="4">
        <v>0.85499999999999998</v>
      </c>
      <c r="BP136" s="4">
        <v>9.5000000000000001E-2</v>
      </c>
      <c r="BQ136" s="4">
        <v>0.28799999999999998</v>
      </c>
      <c r="BR136" s="5">
        <f>(BN136-AR136)/AR136</f>
        <v>1.208955223880597</v>
      </c>
      <c r="BS136" s="5">
        <f>(BO136-AS136)/AS136</f>
        <v>0.89999999999999991</v>
      </c>
      <c r="BT136" s="5">
        <f>(BP136-AT136)/AT136</f>
        <v>-0.489247311827957</v>
      </c>
      <c r="BU136" s="5">
        <f>(BQ136-AU136)/AU136</f>
        <v>1.0571428571428567</v>
      </c>
      <c r="BV136" s="4">
        <f>(BN136-BE136)/BE136</f>
        <v>8.1743869209809344E-3</v>
      </c>
      <c r="BW136" s="4">
        <f>(BO136-BF136)/BF136</f>
        <v>-0.11398963730569947</v>
      </c>
      <c r="BX136" s="4">
        <f>(BP136-BG136)/BG136</f>
        <v>1.0212765957446808</v>
      </c>
      <c r="BY136" s="4">
        <f>(BQ136-BH136)/BH136</f>
        <v>7.0000000000000009</v>
      </c>
      <c r="BZ136" s="4">
        <v>0.73699999999999999</v>
      </c>
      <c r="CA136" s="4">
        <v>0.96299999999999997</v>
      </c>
      <c r="CB136" s="4">
        <v>4.9000000000000002E-2</v>
      </c>
      <c r="CC136" s="4">
        <v>3.5999999999999997E-2</v>
      </c>
      <c r="CD136" s="4">
        <f>(BZ136-AR136)/AR136</f>
        <v>1.1999999999999997</v>
      </c>
      <c r="CE136" s="4">
        <f>(CA136-AS136)/AS136</f>
        <v>1.1399999999999997</v>
      </c>
      <c r="CF136" s="4">
        <f>(CB136-AT136)/AT136</f>
        <v>-0.73655913978494625</v>
      </c>
      <c r="CG136" s="4">
        <f>(CC136-AU136)/AU136</f>
        <v>-0.74285714285714288</v>
      </c>
      <c r="CH136" s="4">
        <f>(BZ136-BN136)/BN136</f>
        <v>-4.0540540540540577E-3</v>
      </c>
      <c r="CI136" s="4">
        <f>(CA136-BO136)/BO136</f>
        <v>0.12631578947368419</v>
      </c>
      <c r="CJ136" s="4">
        <f>(CB136-BP136)/BP136</f>
        <v>-0.48421052631578948</v>
      </c>
      <c r="CK136" s="4">
        <f>(CC136-BQ136)/BQ136</f>
        <v>-0.87500000000000011</v>
      </c>
      <c r="CL136" s="4">
        <v>0.504</v>
      </c>
      <c r="CM136" s="4">
        <v>0.5</v>
      </c>
      <c r="CN136" s="4">
        <f>CL136/CM136</f>
        <v>1.008</v>
      </c>
    </row>
    <row r="137" spans="1:92" x14ac:dyDescent="0.3">
      <c r="A137" s="11" t="s">
        <v>138</v>
      </c>
      <c r="B137" s="13">
        <v>148</v>
      </c>
      <c r="C137" s="13">
        <v>16</v>
      </c>
      <c r="D137" s="13">
        <v>7</v>
      </c>
      <c r="E137" s="13">
        <v>4</v>
      </c>
      <c r="F137" s="13">
        <v>4</v>
      </c>
      <c r="G137" s="12" t="s">
        <v>9</v>
      </c>
      <c r="H137" s="4">
        <v>6.6</v>
      </c>
      <c r="I137" s="4">
        <v>1.48</v>
      </c>
      <c r="J137" s="4">
        <v>7</v>
      </c>
      <c r="K137" s="4">
        <v>1.6</v>
      </c>
      <c r="L137" s="5">
        <f>(H137-I137)/(H137+I137)</f>
        <v>0.63366336633663356</v>
      </c>
      <c r="M137" s="5">
        <f>(J137-K137)/(J137+K137)</f>
        <v>0.62790697674418616</v>
      </c>
      <c r="N137" s="4">
        <v>0.41</v>
      </c>
      <c r="O137" s="4">
        <v>0.53300000000000003</v>
      </c>
      <c r="P137" s="4">
        <v>0.19400000000000001</v>
      </c>
      <c r="Q137" s="4">
        <v>0.14000000000000001</v>
      </c>
      <c r="R137" s="4">
        <v>0.44</v>
      </c>
      <c r="S137" s="4">
        <v>0.47299999999999998</v>
      </c>
      <c r="T137" s="4">
        <v>0.22700000000000001</v>
      </c>
      <c r="U137" s="4">
        <v>0.15</v>
      </c>
      <c r="V137" s="4">
        <v>0.67</v>
      </c>
      <c r="W137" s="4">
        <v>0.99399999999999999</v>
      </c>
      <c r="X137" s="4">
        <v>0.02</v>
      </c>
      <c r="Y137" s="4">
        <v>0.02</v>
      </c>
      <c r="Z137" s="4">
        <v>0.44800000000000001</v>
      </c>
      <c r="AA137" s="5">
        <f>(V137-N137)/N137</f>
        <v>0.63414634146341486</v>
      </c>
      <c r="AB137" s="5">
        <f>(W137-O137)/O137</f>
        <v>0.86491557223264526</v>
      </c>
      <c r="AC137" s="5">
        <f>(X137-P137)/P137</f>
        <v>-0.89690721649484539</v>
      </c>
      <c r="AD137" s="5">
        <f>(Y137-Q137)/Q137</f>
        <v>-0.8571428571428571</v>
      </c>
      <c r="AE137" s="4">
        <v>0.72</v>
      </c>
      <c r="AF137" s="4">
        <v>0.93799999999999994</v>
      </c>
      <c r="AG137" s="4">
        <v>7.6999999999999999E-2</v>
      </c>
      <c r="AH137" s="4">
        <v>0.02</v>
      </c>
      <c r="AI137" s="4">
        <v>0.44700000000000001</v>
      </c>
      <c r="AJ137" s="5">
        <f>(AE137-R137)/R137</f>
        <v>0.63636363636363624</v>
      </c>
      <c r="AK137" s="5">
        <f>(AF137-S137)/S137</f>
        <v>0.9830866807610994</v>
      </c>
      <c r="AL137" s="5">
        <f>(AG137-T137)/T137</f>
        <v>-0.66079295154185025</v>
      </c>
      <c r="AM137" s="5">
        <f>(AH137-U137)/U137</f>
        <v>-0.8666666666666667</v>
      </c>
      <c r="AN137" s="7">
        <v>0.51800000000000002</v>
      </c>
      <c r="AO137" s="7">
        <v>0.71299999999999997</v>
      </c>
      <c r="AP137" s="7">
        <v>0.254</v>
      </c>
      <c r="AQ137" s="7">
        <v>0.161</v>
      </c>
      <c r="AR137" s="4">
        <v>0.40799999999999997</v>
      </c>
      <c r="AS137" s="4">
        <v>0.52300000000000002</v>
      </c>
      <c r="AT137" s="4">
        <v>0.183</v>
      </c>
      <c r="AU137" s="4">
        <v>0.129</v>
      </c>
      <c r="AV137" s="4">
        <v>0.73</v>
      </c>
      <c r="AW137" s="4">
        <v>0.98099999999999998</v>
      </c>
      <c r="AX137" s="4">
        <v>6.5000000000000002E-2</v>
      </c>
      <c r="AY137" s="4">
        <v>4.8000000000000001E-2</v>
      </c>
      <c r="AZ137" s="4">
        <v>0.52500000000000002</v>
      </c>
      <c r="BA137" s="6">
        <f>(AV137-AN137)/AN137</f>
        <v>0.40926640926640917</v>
      </c>
      <c r="BB137" s="6">
        <f>(AW137-AO137)/AO137</f>
        <v>0.37587657784011225</v>
      </c>
      <c r="BC137" s="6">
        <f>(AX137-AP137)/AP137</f>
        <v>-0.74409448818897639</v>
      </c>
      <c r="BD137" s="6">
        <f>(AY137-AQ137)/AQ137</f>
        <v>-0.70186335403726707</v>
      </c>
      <c r="BE137" s="4">
        <v>0.70399999999999996</v>
      </c>
      <c r="BF137" s="4">
        <v>0.98499999999999999</v>
      </c>
      <c r="BG137" s="4">
        <v>3.2000000000000001E-2</v>
      </c>
      <c r="BH137" s="4">
        <v>5.1999999999999998E-2</v>
      </c>
      <c r="BI137" s="4">
        <v>0.52700000000000002</v>
      </c>
      <c r="BJ137" s="5">
        <f>(BE137-AN137)/AN137</f>
        <v>0.35907335907335897</v>
      </c>
      <c r="BK137" s="5">
        <f>(BF137-AO137)/AO137</f>
        <v>0.38148667601683034</v>
      </c>
      <c r="BL137" s="5">
        <f>(BG137-AP137)/AP137</f>
        <v>-0.87401574803149606</v>
      </c>
      <c r="BM137" s="5">
        <f>(BH137-AQ137)/AQ137</f>
        <v>-0.67701863354037273</v>
      </c>
      <c r="BN137" s="4">
        <v>0.70699999999999996</v>
      </c>
      <c r="BO137" s="4">
        <v>0.85599999999999998</v>
      </c>
      <c r="BP137" s="4">
        <v>0.10100000000000001</v>
      </c>
      <c r="BQ137" s="4">
        <v>0.3</v>
      </c>
      <c r="BR137" s="5">
        <f>(BN137-AR137)/AR137</f>
        <v>0.73284313725490202</v>
      </c>
      <c r="BS137" s="5">
        <f>(BO137-AS137)/AS137</f>
        <v>0.63671128107074559</v>
      </c>
      <c r="BT137" s="5">
        <f>(BP137-AT137)/AT137</f>
        <v>-0.44808743169398901</v>
      </c>
      <c r="BU137" s="5">
        <f>(BQ137-AU137)/AU137</f>
        <v>1.3255813953488371</v>
      </c>
      <c r="BV137" s="4">
        <f>(BN137-BE137)/BE137</f>
        <v>4.2613636363636404E-3</v>
      </c>
      <c r="BW137" s="4">
        <f>(BO137-BF137)/BF137</f>
        <v>-0.13096446700507614</v>
      </c>
      <c r="BX137" s="4">
        <f>(BP137-BG137)/BG137</f>
        <v>2.15625</v>
      </c>
      <c r="BY137" s="4">
        <f>(BQ137-BH137)/BH137</f>
        <v>4.7692307692307692</v>
      </c>
      <c r="BZ137" s="4">
        <v>0.70699999999999996</v>
      </c>
      <c r="CA137" s="4">
        <v>0.99099999999999999</v>
      </c>
      <c r="CB137" s="4">
        <v>2.5000000000000001E-2</v>
      </c>
      <c r="CC137" s="4">
        <v>4.5999999999999999E-2</v>
      </c>
      <c r="CD137" s="4">
        <f>(BZ137-AR137)/AR137</f>
        <v>0.73284313725490202</v>
      </c>
      <c r="CE137" s="4">
        <f>(CA137-AS137)/AS137</f>
        <v>0.89483747609942632</v>
      </c>
      <c r="CF137" s="4">
        <f>(CB137-AT137)/AT137</f>
        <v>-0.86338797814207657</v>
      </c>
      <c r="CG137" s="4">
        <f>(CC137-AU137)/AU137</f>
        <v>-0.64341085271317833</v>
      </c>
      <c r="CH137" s="4">
        <f>(BZ137-BN137)/BN137</f>
        <v>0</v>
      </c>
      <c r="CI137" s="4">
        <f>(CA137-BO137)/BO137</f>
        <v>0.15771028037383178</v>
      </c>
      <c r="CJ137" s="4">
        <f>(CB137-BP137)/BP137</f>
        <v>-0.75247524752475259</v>
      </c>
      <c r="CK137" s="4">
        <f>(CC137-BQ137)/BQ137</f>
        <v>-0.84666666666666668</v>
      </c>
      <c r="CL137" s="4">
        <v>0.53100000000000003</v>
      </c>
      <c r="CM137" s="4">
        <v>0.47099999999999997</v>
      </c>
      <c r="CN137" s="4">
        <f>CL137/CM137</f>
        <v>1.1273885350318473</v>
      </c>
    </row>
    <row r="138" spans="1:92" x14ac:dyDescent="0.3">
      <c r="A138" s="11" t="s">
        <v>139</v>
      </c>
      <c r="B138" s="13">
        <v>451</v>
      </c>
      <c r="C138" s="13">
        <v>21</v>
      </c>
      <c r="D138" s="13">
        <v>5</v>
      </c>
      <c r="E138" s="13">
        <v>1</v>
      </c>
      <c r="F138" s="13">
        <v>3</v>
      </c>
      <c r="G138" s="12" t="s">
        <v>43</v>
      </c>
      <c r="H138" s="4">
        <v>5.58</v>
      </c>
      <c r="I138" s="4">
        <v>0.86</v>
      </c>
      <c r="J138" s="4">
        <v>7.02</v>
      </c>
      <c r="K138" s="4">
        <v>0.98</v>
      </c>
      <c r="L138" s="5">
        <f>(H138-I138)/(H138+I138)</f>
        <v>0.73291925465838503</v>
      </c>
      <c r="M138" s="5">
        <f>(J138-K138)/(J138+K138)</f>
        <v>0.75499999999999989</v>
      </c>
      <c r="N138" s="4">
        <v>0.27</v>
      </c>
      <c r="O138" s="4">
        <v>0.74399999999999999</v>
      </c>
      <c r="P138" s="4">
        <v>8.2000000000000003E-2</v>
      </c>
      <c r="Q138" s="4">
        <v>7.0000000000000007E-2</v>
      </c>
      <c r="R138" s="4">
        <v>0.33</v>
      </c>
      <c r="S138" s="4">
        <v>0.69499999999999995</v>
      </c>
      <c r="T138" s="4">
        <v>0.11</v>
      </c>
      <c r="U138" s="4">
        <v>0.08</v>
      </c>
      <c r="V138" s="4">
        <v>0.35</v>
      </c>
      <c r="W138" s="4">
        <v>0.85699999999999998</v>
      </c>
      <c r="X138" s="4">
        <v>6.0999999999999999E-2</v>
      </c>
      <c r="Y138" s="4">
        <v>0.04</v>
      </c>
      <c r="Z138" s="4">
        <v>0.42</v>
      </c>
      <c r="AA138" s="5">
        <f>(V138-N138)/N138</f>
        <v>0.29629629629629611</v>
      </c>
      <c r="AB138" s="5">
        <f>(W138-O138)/O138</f>
        <v>0.1518817204301075</v>
      </c>
      <c r="AC138" s="5">
        <f>(X138-P138)/P138</f>
        <v>-0.25609756097560982</v>
      </c>
      <c r="AD138" s="5">
        <f>(Y138-Q138)/Q138</f>
        <v>-0.4285714285714286</v>
      </c>
      <c r="AE138" s="4">
        <v>0.43</v>
      </c>
      <c r="AF138" s="4">
        <v>0.89500000000000002</v>
      </c>
      <c r="AG138" s="4">
        <v>6.3E-2</v>
      </c>
      <c r="AH138" s="4">
        <v>0.04</v>
      </c>
      <c r="AI138" s="4">
        <v>0.55700000000000005</v>
      </c>
      <c r="AJ138" s="5">
        <f>(AE138-R138)/R138</f>
        <v>0.30303030303030293</v>
      </c>
      <c r="AK138" s="5">
        <f>(AF138-S138)/S138</f>
        <v>0.28776978417266197</v>
      </c>
      <c r="AL138" s="5">
        <f>(AG138-T138)/T138</f>
        <v>-0.42727272727272725</v>
      </c>
      <c r="AM138" s="5">
        <f>(AH138-U138)/U138</f>
        <v>-0.5</v>
      </c>
      <c r="AN138" s="4">
        <v>0.377</v>
      </c>
      <c r="AO138" s="4">
        <v>0.85399999999999998</v>
      </c>
      <c r="AP138" s="4">
        <v>9.6000000000000002E-2</v>
      </c>
      <c r="AQ138" s="4">
        <v>7.5999999999999998E-2</v>
      </c>
      <c r="AR138" s="4">
        <v>0.28899999999999998</v>
      </c>
      <c r="AS138" s="4">
        <v>0.76400000000000001</v>
      </c>
      <c r="AT138" s="4">
        <v>6.7000000000000004E-2</v>
      </c>
      <c r="AU138" s="4">
        <v>6.6000000000000003E-2</v>
      </c>
      <c r="AV138" s="4">
        <v>0.438</v>
      </c>
      <c r="AW138" s="4">
        <v>0.91</v>
      </c>
      <c r="AX138" s="4">
        <v>7.4999999999999997E-2</v>
      </c>
      <c r="AY138" s="4">
        <v>6.3E-2</v>
      </c>
      <c r="AZ138" s="4">
        <v>0.72599999999999998</v>
      </c>
      <c r="BA138" s="6">
        <f>(AV138-AN138)/AN138</f>
        <v>0.16180371352785144</v>
      </c>
      <c r="BB138" s="6">
        <f>(AW138-AO138)/AO138</f>
        <v>6.5573770491803338E-2</v>
      </c>
      <c r="BC138" s="6">
        <f>(AX138-AP138)/AP138</f>
        <v>-0.21875000000000006</v>
      </c>
      <c r="BD138" s="6">
        <f>(AY138-AQ138)/AQ138</f>
        <v>-0.17105263157894735</v>
      </c>
      <c r="BE138" s="4">
        <v>0.33</v>
      </c>
      <c r="BF138" s="4">
        <v>0.84499999999999997</v>
      </c>
      <c r="BG138" s="4">
        <v>5.3999999999999999E-2</v>
      </c>
      <c r="BH138" s="4">
        <v>0.06</v>
      </c>
      <c r="BI138" s="4">
        <v>0.70599999999999996</v>
      </c>
      <c r="BJ138" s="5">
        <f>(BE138-AN138)/AN138</f>
        <v>-0.12466843501326257</v>
      </c>
      <c r="BK138" s="5">
        <f>(BF138-AO138)/AO138</f>
        <v>-1.053864168618268E-2</v>
      </c>
      <c r="BL138" s="5">
        <f>(BG138-AP138)/AP138</f>
        <v>-0.4375</v>
      </c>
      <c r="BM138" s="5">
        <f>(BH138-AQ138)/AQ138</f>
        <v>-0.2105263157894737</v>
      </c>
      <c r="BN138" s="4">
        <v>0.313</v>
      </c>
      <c r="BO138" s="4">
        <v>0.67400000000000004</v>
      </c>
      <c r="BP138" s="4">
        <v>7.8E-2</v>
      </c>
      <c r="BQ138" s="4">
        <v>0.193</v>
      </c>
      <c r="BR138" s="5">
        <f>(BN138-AR138)/AR138</f>
        <v>8.3044982698962017E-2</v>
      </c>
      <c r="BS138" s="5">
        <f>(BO138-AS138)/AS138</f>
        <v>-0.11780104712041881</v>
      </c>
      <c r="BT138" s="5">
        <f>(BP138-AT138)/AT138</f>
        <v>0.16417910447761186</v>
      </c>
      <c r="BU138" s="5">
        <f>(BQ138-AU138)/AU138</f>
        <v>1.9242424242424241</v>
      </c>
      <c r="BV138" s="4">
        <f>(BN138-BE138)/BE138</f>
        <v>-5.1515151515151555E-2</v>
      </c>
      <c r="BW138" s="4">
        <f>(BO138-BF138)/BF138</f>
        <v>-0.20236686390532538</v>
      </c>
      <c r="BX138" s="4">
        <f>(BP138-BG138)/BG138</f>
        <v>0.44444444444444448</v>
      </c>
      <c r="BY138" s="4">
        <f>(BQ138-BH138)/BH138</f>
        <v>2.2166666666666668</v>
      </c>
      <c r="BZ138" s="7">
        <v>0.312</v>
      </c>
      <c r="CA138" s="7">
        <v>0.86899999999999999</v>
      </c>
      <c r="CB138" s="7">
        <v>0.05</v>
      </c>
      <c r="CC138" s="7">
        <v>0.05</v>
      </c>
      <c r="CD138" s="7">
        <f>(BZ138-AR138)/AR138</f>
        <v>7.9584775086505272E-2</v>
      </c>
      <c r="CE138" s="7">
        <f>(CA138-AS138)/AS138</f>
        <v>0.13743455497382195</v>
      </c>
      <c r="CF138" s="7">
        <f>(CB138-AT138)/AT138</f>
        <v>-0.2537313432835821</v>
      </c>
      <c r="CG138" s="7">
        <f>(CC138-AU138)/AU138</f>
        <v>-0.24242424242424243</v>
      </c>
      <c r="CH138" s="4">
        <f>(BZ138-BN138)/BN138</f>
        <v>-3.1948881789137409E-3</v>
      </c>
      <c r="CI138" s="4">
        <f>(CA138-BO138)/BO138</f>
        <v>0.28931750741839751</v>
      </c>
      <c r="CJ138" s="4">
        <f>(CB138-BP138)/BP138</f>
        <v>-0.35897435897435892</v>
      </c>
      <c r="CK138" s="4">
        <f>(CC138-BQ138)/BQ138</f>
        <v>-0.74093264248704671</v>
      </c>
      <c r="CL138" s="7">
        <v>1.2E-2</v>
      </c>
      <c r="CM138" s="7">
        <v>0.45300000000000001</v>
      </c>
      <c r="CN138" s="7">
        <f>CL138/CM138</f>
        <v>2.6490066225165563E-2</v>
      </c>
    </row>
    <row r="139" spans="1:92" x14ac:dyDescent="0.3">
      <c r="A139" s="11" t="s">
        <v>140</v>
      </c>
      <c r="B139" s="13">
        <v>522</v>
      </c>
      <c r="C139" s="13">
        <v>21</v>
      </c>
      <c r="D139" s="13">
        <v>5</v>
      </c>
      <c r="E139" s="13">
        <v>1</v>
      </c>
      <c r="F139" s="13">
        <v>3</v>
      </c>
      <c r="G139" s="12" t="s">
        <v>43</v>
      </c>
      <c r="H139" s="4">
        <v>5.2</v>
      </c>
      <c r="I139" s="4">
        <v>0.88</v>
      </c>
      <c r="J139" s="4">
        <v>6.86</v>
      </c>
      <c r="K139" s="4">
        <v>0.97</v>
      </c>
      <c r="L139" s="5">
        <f>(H139-I139)/(H139+I139)</f>
        <v>0.71052631578947367</v>
      </c>
      <c r="M139" s="5">
        <f>(J139-K139)/(J139+K139)</f>
        <v>0.75223499361430401</v>
      </c>
      <c r="N139" s="4">
        <v>0.25</v>
      </c>
      <c r="O139" s="4">
        <v>0.71599999999999997</v>
      </c>
      <c r="P139" s="4">
        <v>8.4000000000000005E-2</v>
      </c>
      <c r="Q139" s="4">
        <v>7.0000000000000007E-2</v>
      </c>
      <c r="R139" s="4">
        <v>0.33</v>
      </c>
      <c r="S139" s="4">
        <v>0.67800000000000005</v>
      </c>
      <c r="T139" s="4">
        <v>0.113</v>
      </c>
      <c r="U139" s="4">
        <v>0.08</v>
      </c>
      <c r="V139" s="4">
        <v>0.33</v>
      </c>
      <c r="W139" s="4">
        <v>0.86199999999999999</v>
      </c>
      <c r="X139" s="4">
        <v>5.8000000000000003E-2</v>
      </c>
      <c r="Y139" s="4">
        <v>0.04</v>
      </c>
      <c r="Z139" s="4">
        <v>0.443</v>
      </c>
      <c r="AA139" s="5">
        <f>(V139-N139)/N139</f>
        <v>0.32000000000000006</v>
      </c>
      <c r="AB139" s="5">
        <f>(W139-O139)/O139</f>
        <v>0.2039106145251397</v>
      </c>
      <c r="AC139" s="5">
        <f>(X139-P139)/P139</f>
        <v>-0.30952380952380953</v>
      </c>
      <c r="AD139" s="5">
        <f>(Y139-Q139)/Q139</f>
        <v>-0.4285714285714286</v>
      </c>
      <c r="AE139" s="4">
        <v>0.43</v>
      </c>
      <c r="AF139" s="4">
        <v>0.88800000000000001</v>
      </c>
      <c r="AG139" s="4">
        <v>6.5000000000000002E-2</v>
      </c>
      <c r="AH139" s="4">
        <v>0.04</v>
      </c>
      <c r="AI139" s="4">
        <v>0.55700000000000005</v>
      </c>
      <c r="AJ139" s="5">
        <f>(AE139-R139)/R139</f>
        <v>0.30303030303030293</v>
      </c>
      <c r="AK139" s="5">
        <f>(AF139-S139)/S139</f>
        <v>0.30973451327433621</v>
      </c>
      <c r="AL139" s="5">
        <f>(AG139-T139)/T139</f>
        <v>-0.4247787610619469</v>
      </c>
      <c r="AM139" s="5">
        <f>(AH139-U139)/U139</f>
        <v>-0.5</v>
      </c>
      <c r="AN139" s="4">
        <v>0.35099999999999998</v>
      </c>
      <c r="AO139" s="4">
        <v>0.86599999999999999</v>
      </c>
      <c r="AP139" s="4">
        <v>8.6999999999999994E-2</v>
      </c>
      <c r="AQ139" s="4">
        <v>7.9000000000000001E-2</v>
      </c>
      <c r="AR139" s="4">
        <v>0.25800000000000001</v>
      </c>
      <c r="AS139" s="4">
        <v>0.72899999999999998</v>
      </c>
      <c r="AT139" s="4">
        <v>7.1999999999999995E-2</v>
      </c>
      <c r="AU139" s="4">
        <v>6.7000000000000004E-2</v>
      </c>
      <c r="AV139" s="4">
        <v>0.40200000000000002</v>
      </c>
      <c r="AW139" s="4">
        <v>0.91800000000000004</v>
      </c>
      <c r="AX139" s="4">
        <v>6.8000000000000005E-2</v>
      </c>
      <c r="AY139" s="4">
        <v>6.7000000000000004E-2</v>
      </c>
      <c r="AZ139" s="4">
        <v>0.73899999999999999</v>
      </c>
      <c r="BA139" s="6">
        <f>(AV139-AN139)/AN139</f>
        <v>0.14529914529914545</v>
      </c>
      <c r="BB139" s="6">
        <f>(AW139-AO139)/AO139</f>
        <v>6.0046189376443473E-2</v>
      </c>
      <c r="BC139" s="6">
        <f>(AX139-AP139)/AP139</f>
        <v>-0.21839080459770105</v>
      </c>
      <c r="BD139" s="6">
        <f>(AY139-AQ139)/AQ139</f>
        <v>-0.15189873417721514</v>
      </c>
      <c r="BE139" s="4">
        <v>0.28999999999999998</v>
      </c>
      <c r="BF139" s="4">
        <v>0.81499999999999995</v>
      </c>
      <c r="BG139" s="4">
        <v>0.06</v>
      </c>
      <c r="BH139" s="4">
        <v>6.2E-2</v>
      </c>
      <c r="BI139" s="4">
        <v>0.70699999999999996</v>
      </c>
      <c r="BJ139" s="5">
        <f>(BE139-AN139)/AN139</f>
        <v>-0.1737891737891738</v>
      </c>
      <c r="BK139" s="5">
        <f>(BF139-AO139)/AO139</f>
        <v>-5.8891454965358019E-2</v>
      </c>
      <c r="BL139" s="5">
        <f>(BG139-AP139)/AP139</f>
        <v>-0.31034482758620685</v>
      </c>
      <c r="BM139" s="5">
        <f>(BH139-AQ139)/AQ139</f>
        <v>-0.21518987341772153</v>
      </c>
      <c r="BN139" s="4">
        <v>0.26600000000000001</v>
      </c>
      <c r="BO139" s="4">
        <v>0.63100000000000001</v>
      </c>
      <c r="BP139" s="4">
        <v>8.4000000000000005E-2</v>
      </c>
      <c r="BQ139" s="4">
        <v>0.185</v>
      </c>
      <c r="BR139" s="5">
        <f>(BN139-AR139)/AR139</f>
        <v>3.1007751937984523E-2</v>
      </c>
      <c r="BS139" s="5">
        <f>(BO139-AS139)/AS139</f>
        <v>-0.1344307270233196</v>
      </c>
      <c r="BT139" s="5">
        <f>(BP139-AT139)/AT139</f>
        <v>0.16666666666666682</v>
      </c>
      <c r="BU139" s="5">
        <f>(BQ139-AU139)/AU139</f>
        <v>1.761194029850746</v>
      </c>
      <c r="BV139" s="4">
        <f>(BN139-BE139)/BE139</f>
        <v>-8.275862068965506E-2</v>
      </c>
      <c r="BW139" s="4">
        <f>(BO139-BF139)/BF139</f>
        <v>-0.22576687116564412</v>
      </c>
      <c r="BX139" s="4">
        <f>(BP139-BG139)/BG139</f>
        <v>0.40000000000000013</v>
      </c>
      <c r="BY139" s="4">
        <f>(BQ139-BH139)/BH139</f>
        <v>1.9838709677419355</v>
      </c>
      <c r="BZ139" s="4">
        <v>0.314</v>
      </c>
      <c r="CA139" s="4">
        <v>0.86199999999999999</v>
      </c>
      <c r="CB139" s="4">
        <v>5.1999999999999998E-2</v>
      </c>
      <c r="CC139" s="4">
        <v>4.9000000000000002E-2</v>
      </c>
      <c r="CD139" s="4">
        <f>(BZ139-AR139)/AR139</f>
        <v>0.21705426356589144</v>
      </c>
      <c r="CE139" s="4">
        <f>(CA139-AS139)/AS139</f>
        <v>0.1824417009602195</v>
      </c>
      <c r="CF139" s="4">
        <f>(CB139-AT139)/AT139</f>
        <v>-0.27777777777777773</v>
      </c>
      <c r="CG139" s="4">
        <f>(CC139-AU139)/AU139</f>
        <v>-0.26865671641791045</v>
      </c>
      <c r="CH139" s="4">
        <f>(BZ139-BN139)/BN139</f>
        <v>0.18045112781954881</v>
      </c>
      <c r="CI139" s="4">
        <f>(CA139-BO139)/BO139</f>
        <v>0.36608557844690964</v>
      </c>
      <c r="CJ139" s="4">
        <f>(CB139-BP139)/BP139</f>
        <v>-0.38095238095238104</v>
      </c>
      <c r="CK139" s="4">
        <f>(CC139-BQ139)/BQ139</f>
        <v>-0.73513513513513518</v>
      </c>
      <c r="CL139" s="4">
        <v>0.66400000000000003</v>
      </c>
      <c r="CM139" s="4">
        <v>0.34699999999999998</v>
      </c>
      <c r="CN139" s="4">
        <f>CL139/CM139</f>
        <v>1.9135446685878965</v>
      </c>
    </row>
    <row r="140" spans="1:92" x14ac:dyDescent="0.3">
      <c r="A140" s="11" t="s">
        <v>141</v>
      </c>
      <c r="B140" s="13">
        <v>1993</v>
      </c>
      <c r="C140" s="13">
        <v>21</v>
      </c>
      <c r="D140" s="13">
        <v>5</v>
      </c>
      <c r="E140" s="13">
        <v>1</v>
      </c>
      <c r="F140" s="13">
        <v>3</v>
      </c>
      <c r="G140" s="12" t="s">
        <v>43</v>
      </c>
      <c r="H140" s="4">
        <v>5.78</v>
      </c>
      <c r="I140" s="4">
        <v>0.55000000000000004</v>
      </c>
      <c r="J140" s="4">
        <v>7.23</v>
      </c>
      <c r="K140" s="4">
        <v>0.61</v>
      </c>
      <c r="L140" s="5">
        <f>(H140-I140)/(H140+I140)</f>
        <v>0.82622432859399686</v>
      </c>
      <c r="M140" s="5">
        <f>(J140-K140)/(J140+K140)</f>
        <v>0.84438775510204078</v>
      </c>
      <c r="N140" s="4">
        <v>0.28000000000000003</v>
      </c>
      <c r="O140" s="4">
        <v>0.8</v>
      </c>
      <c r="P140" s="4">
        <v>7.2999999999999995E-2</v>
      </c>
      <c r="Q140" s="4">
        <v>0.05</v>
      </c>
      <c r="R140" s="4">
        <v>0.34</v>
      </c>
      <c r="S140" s="4">
        <v>0.77900000000000003</v>
      </c>
      <c r="T140" s="4">
        <v>9.1999999999999998E-2</v>
      </c>
      <c r="U140" s="4">
        <v>0.06</v>
      </c>
      <c r="V140" s="4">
        <v>0.34</v>
      </c>
      <c r="W140" s="4">
        <v>0.85799999999999998</v>
      </c>
      <c r="X140" s="4">
        <v>6.2E-2</v>
      </c>
      <c r="Y140" s="4">
        <v>0.04</v>
      </c>
      <c r="Z140" s="4">
        <v>0.53</v>
      </c>
      <c r="AA140" s="5">
        <f>(V140-N140)/N140</f>
        <v>0.21428571428571425</v>
      </c>
      <c r="AB140" s="5">
        <f>(W140-O140)/O140</f>
        <v>7.2499999999999926E-2</v>
      </c>
      <c r="AC140" s="5">
        <f>(X140-P140)/P140</f>
        <v>-0.15068493150684928</v>
      </c>
      <c r="AD140" s="5">
        <f>(Y140-Q140)/Q140</f>
        <v>-0.20000000000000004</v>
      </c>
      <c r="AE140" s="4">
        <v>0.41599999999999998</v>
      </c>
      <c r="AF140" s="4">
        <v>0.89400000000000002</v>
      </c>
      <c r="AG140" s="4">
        <v>7.5999999999999998E-2</v>
      </c>
      <c r="AH140" s="4">
        <v>5.1999999999999998E-2</v>
      </c>
      <c r="AI140" s="4">
        <v>0.55700000000000005</v>
      </c>
      <c r="AJ140" s="5">
        <f>(AE140-R140)/R140</f>
        <v>0.22352941176470573</v>
      </c>
      <c r="AK140" s="5">
        <f>(AF140-S140)/S140</f>
        <v>0.14762516046213092</v>
      </c>
      <c r="AL140" s="5">
        <f>(AG140-T140)/T140</f>
        <v>-0.17391304347826086</v>
      </c>
      <c r="AM140" s="5">
        <f>(AH140-U140)/U140</f>
        <v>-0.13333333333333333</v>
      </c>
      <c r="AN140" s="4">
        <v>0.38100000000000001</v>
      </c>
      <c r="AO140" s="4">
        <v>0.84799999999999998</v>
      </c>
      <c r="AP140" s="4">
        <v>9.0999999999999998E-2</v>
      </c>
      <c r="AQ140" s="4">
        <v>0.06</v>
      </c>
      <c r="AR140" s="4">
        <v>0.26800000000000002</v>
      </c>
      <c r="AS140" s="4">
        <v>0.80500000000000005</v>
      </c>
      <c r="AT140" s="4">
        <v>6.3E-2</v>
      </c>
      <c r="AU140" s="4">
        <v>5.1999999999999998E-2</v>
      </c>
      <c r="AV140" s="4">
        <v>0.40400000000000003</v>
      </c>
      <c r="AW140" s="4">
        <v>0.86099999999999999</v>
      </c>
      <c r="AX140" s="4">
        <v>8.6999999999999994E-2</v>
      </c>
      <c r="AY140" s="4">
        <v>5.8000000000000003E-2</v>
      </c>
      <c r="AZ140" s="4">
        <v>0.77700000000000002</v>
      </c>
      <c r="BA140" s="6">
        <f>(AV140-AN140)/AN140</f>
        <v>6.0367454068241524E-2</v>
      </c>
      <c r="BB140" s="6">
        <f>(AW140-AO140)/AO140</f>
        <v>1.5330188679245297E-2</v>
      </c>
      <c r="BC140" s="6">
        <f>(AX140-AP140)/AP140</f>
        <v>-4.3956043956043994E-2</v>
      </c>
      <c r="BD140" s="6">
        <f>(AY140-AQ140)/AQ140</f>
        <v>-3.333333333333325E-2</v>
      </c>
      <c r="BE140" s="4">
        <v>0.318</v>
      </c>
      <c r="BF140" s="4">
        <v>0.85599999999999998</v>
      </c>
      <c r="BG140" s="4">
        <v>5.3999999999999999E-2</v>
      </c>
      <c r="BH140" s="4">
        <v>4.8000000000000001E-2</v>
      </c>
      <c r="BI140" s="4">
        <v>0.76600000000000001</v>
      </c>
      <c r="BJ140" s="5">
        <f>(BE140-AN140)/AN140</f>
        <v>-0.16535433070866143</v>
      </c>
      <c r="BK140" s="5">
        <f>(BF140-AO140)/AO140</f>
        <v>9.4339622641509517E-3</v>
      </c>
      <c r="BL140" s="5">
        <f>(BG140-AP140)/AP140</f>
        <v>-0.40659340659340659</v>
      </c>
      <c r="BM140" s="5">
        <f>(BH140-AQ140)/AQ140</f>
        <v>-0.19999999999999996</v>
      </c>
      <c r="BN140" s="4">
        <v>0.32100000000000001</v>
      </c>
      <c r="BO140" s="4">
        <v>0.64800000000000002</v>
      </c>
      <c r="BP140" s="4">
        <v>8.5000000000000006E-2</v>
      </c>
      <c r="BQ140" s="4">
        <v>0.20300000000000001</v>
      </c>
      <c r="BR140" s="5">
        <f>(BN140-AR140)/AR140</f>
        <v>0.19776119402985071</v>
      </c>
      <c r="BS140" s="5">
        <f>(BO140-AS140)/AS140</f>
        <v>-0.19503105590062114</v>
      </c>
      <c r="BT140" s="5">
        <f>(BP140-AT140)/AT140</f>
        <v>0.3492063492063493</v>
      </c>
      <c r="BU140" s="5">
        <f>(BQ140-AU140)/AU140</f>
        <v>2.9038461538461546</v>
      </c>
      <c r="BV140" s="4">
        <f>(BN140-BE140)/BE140</f>
        <v>9.4339622641509517E-3</v>
      </c>
      <c r="BW140" s="4">
        <f>(BO140-BF140)/BF140</f>
        <v>-0.24299065420560745</v>
      </c>
      <c r="BX140" s="4">
        <f>(BP140-BG140)/BG140</f>
        <v>0.57407407407407418</v>
      </c>
      <c r="BY140" s="4">
        <f>(BQ140-BH140)/BH140</f>
        <v>3.229166666666667</v>
      </c>
      <c r="BZ140" s="4">
        <v>0.33400000000000002</v>
      </c>
      <c r="CA140" s="4">
        <v>0.90300000000000002</v>
      </c>
      <c r="CB140" s="4">
        <v>4.4999999999999998E-2</v>
      </c>
      <c r="CC140" s="4">
        <v>3.5999999999999997E-2</v>
      </c>
      <c r="CD140" s="4">
        <f>(BZ140-AR140)/AR140</f>
        <v>0.2462686567164179</v>
      </c>
      <c r="CE140" s="4">
        <f>(CA140-AS140)/AS140</f>
        <v>0.12173913043478257</v>
      </c>
      <c r="CF140" s="4">
        <f>(CB140-AT140)/AT140</f>
        <v>-0.28571428571428575</v>
      </c>
      <c r="CG140" s="4">
        <f>(CC140-AU140)/AU140</f>
        <v>-0.30769230769230771</v>
      </c>
      <c r="CH140" s="4">
        <f>(BZ140-BN140)/BN140</f>
        <v>4.0498442367601278E-2</v>
      </c>
      <c r="CI140" s="4">
        <f>(CA140-BO140)/BO140</f>
        <v>0.39351851851851849</v>
      </c>
      <c r="CJ140" s="4">
        <f>(CB140-BP140)/BP140</f>
        <v>-0.4705882352941177</v>
      </c>
      <c r="CK140" s="4">
        <f>(CC140-BQ140)/BQ140</f>
        <v>-0.82266009852216748</v>
      </c>
      <c r="CL140" s="4">
        <v>0.72399999999999998</v>
      </c>
      <c r="CM140" s="4">
        <v>0.30099999999999999</v>
      </c>
      <c r="CN140" s="4">
        <f>CL140/CM140</f>
        <v>2.4053156146179404</v>
      </c>
    </row>
    <row r="141" spans="1:92" x14ac:dyDescent="0.3">
      <c r="A141" s="11" t="s">
        <v>142</v>
      </c>
      <c r="B141" s="13">
        <v>642</v>
      </c>
      <c r="C141" s="13">
        <v>21</v>
      </c>
      <c r="D141" s="13">
        <v>5</v>
      </c>
      <c r="E141" s="13">
        <v>1</v>
      </c>
      <c r="F141" s="13">
        <v>3</v>
      </c>
      <c r="G141" s="12" t="s">
        <v>43</v>
      </c>
      <c r="H141" s="4">
        <v>4.71</v>
      </c>
      <c r="I141" s="4">
        <v>0.94</v>
      </c>
      <c r="J141" s="4">
        <v>5.76</v>
      </c>
      <c r="K141" s="4">
        <v>1.0900000000000001</v>
      </c>
      <c r="L141" s="5">
        <f>(H141-I141)/(H141+I141)</f>
        <v>0.66725663716814154</v>
      </c>
      <c r="M141" s="5">
        <f>(J141-K141)/(J141+K141)</f>
        <v>0.68175182481751828</v>
      </c>
      <c r="N141" s="4">
        <v>0.22</v>
      </c>
      <c r="O141" s="4">
        <v>0.63700000000000001</v>
      </c>
      <c r="P141" s="4">
        <v>9.2999999999999999E-2</v>
      </c>
      <c r="Q141" s="4">
        <v>0.08</v>
      </c>
      <c r="R141" s="4">
        <v>0.27</v>
      </c>
      <c r="S141" s="4">
        <v>0.60399999999999998</v>
      </c>
      <c r="T141" s="4">
        <v>0.11600000000000001</v>
      </c>
      <c r="U141" s="4">
        <v>0.09</v>
      </c>
      <c r="V141" s="4">
        <v>0.33</v>
      </c>
      <c r="W141" s="4">
        <v>0.82299999999999995</v>
      </c>
      <c r="X141" s="4">
        <v>6.5000000000000002E-2</v>
      </c>
      <c r="Y141" s="4">
        <v>0.05</v>
      </c>
      <c r="Z141" s="4">
        <v>0.38</v>
      </c>
      <c r="AA141" s="5">
        <f>(V141-N141)/N141</f>
        <v>0.50000000000000011</v>
      </c>
      <c r="AB141" s="5">
        <f>(W141-O141)/O141</f>
        <v>0.29199372056514905</v>
      </c>
      <c r="AC141" s="5">
        <f>(X141-P141)/P141</f>
        <v>-0.30107526881720426</v>
      </c>
      <c r="AD141" s="5">
        <f>(Y141-Q141)/Q141</f>
        <v>-0.375</v>
      </c>
      <c r="AE141" s="4">
        <v>0.39</v>
      </c>
      <c r="AF141" s="4">
        <v>0.77700000000000002</v>
      </c>
      <c r="AG141" s="4">
        <v>8.6999999999999994E-2</v>
      </c>
      <c r="AH141" s="4">
        <v>0.05</v>
      </c>
      <c r="AI141" s="4">
        <v>0.39300000000000002</v>
      </c>
      <c r="AJ141" s="5">
        <f>(AE141-R141)/R141</f>
        <v>0.44444444444444442</v>
      </c>
      <c r="AK141" s="5">
        <f>(AF141-S141)/S141</f>
        <v>0.28642384105960272</v>
      </c>
      <c r="AL141" s="5">
        <f>(AG141-T141)/T141</f>
        <v>-0.25000000000000011</v>
      </c>
      <c r="AM141" s="5">
        <f>(AH141-U141)/U141</f>
        <v>-0.44444444444444442</v>
      </c>
      <c r="AN141" s="4">
        <v>0.27200000000000002</v>
      </c>
      <c r="AO141" s="4">
        <v>0.70699999999999996</v>
      </c>
      <c r="AP141" s="4">
        <v>0.121</v>
      </c>
      <c r="AQ141" s="4">
        <v>9.1999999999999998E-2</v>
      </c>
      <c r="AR141" s="4">
        <v>0.19500000000000001</v>
      </c>
      <c r="AS141" s="4">
        <v>0.64600000000000002</v>
      </c>
      <c r="AT141" s="4">
        <v>8.3000000000000004E-2</v>
      </c>
      <c r="AU141" s="4">
        <v>7.3999999999999996E-2</v>
      </c>
      <c r="AV141" s="4">
        <v>0.34899999999999998</v>
      </c>
      <c r="AW141" s="4">
        <v>0.86599999999999999</v>
      </c>
      <c r="AX141" s="4">
        <v>8.2000000000000003E-2</v>
      </c>
      <c r="AY141" s="4">
        <v>7.0999999999999994E-2</v>
      </c>
      <c r="AZ141" s="4">
        <v>0.56299999999999994</v>
      </c>
      <c r="BA141" s="6">
        <f>(AV141-AN141)/AN141</f>
        <v>0.28308823529411747</v>
      </c>
      <c r="BB141" s="6">
        <f>(AW141-AO141)/AO141</f>
        <v>0.22489391796322494</v>
      </c>
      <c r="BC141" s="6">
        <f>(AX141-AP141)/AP141</f>
        <v>-0.32231404958677679</v>
      </c>
      <c r="BD141" s="6">
        <f>(AY141-AQ141)/AQ141</f>
        <v>-0.22826086956521743</v>
      </c>
      <c r="BE141" s="4">
        <v>0.255</v>
      </c>
      <c r="BF141" s="4">
        <v>0.81</v>
      </c>
      <c r="BG141" s="4">
        <v>6.0999999999999999E-2</v>
      </c>
      <c r="BH141" s="4">
        <v>6.7000000000000004E-2</v>
      </c>
      <c r="BI141" s="4">
        <v>0.51500000000000001</v>
      </c>
      <c r="BJ141" s="5">
        <f>(BE141-AN141)/AN141</f>
        <v>-6.2500000000000056E-2</v>
      </c>
      <c r="BK141" s="5">
        <f>(BF141-AO141)/AO141</f>
        <v>0.14568599717114583</v>
      </c>
      <c r="BL141" s="5">
        <f>(BG141-AP141)/AP141</f>
        <v>-0.49586776859504134</v>
      </c>
      <c r="BM141" s="5">
        <f>(BH141-AQ141)/AQ141</f>
        <v>-0.27173913043478254</v>
      </c>
      <c r="BN141" s="4">
        <v>0.25700000000000001</v>
      </c>
      <c r="BO141" s="4">
        <v>0.69599999999999995</v>
      </c>
      <c r="BP141" s="4">
        <v>7.6999999999999999E-2</v>
      </c>
      <c r="BQ141" s="4">
        <v>0.157</v>
      </c>
      <c r="BR141" s="5">
        <f>(BN141-AR141)/AR141</f>
        <v>0.31794871794871793</v>
      </c>
      <c r="BS141" s="5">
        <f>(BO141-AS141)/AS141</f>
        <v>7.7399380804953455E-2</v>
      </c>
      <c r="BT141" s="5">
        <f>(BP141-AT141)/AT141</f>
        <v>-7.228915662650609E-2</v>
      </c>
      <c r="BU141" s="5">
        <f>(BQ141-AU141)/AU141</f>
        <v>1.1216216216216217</v>
      </c>
      <c r="BV141" s="4">
        <f>(BN141-BE141)/BE141</f>
        <v>7.8431372549019676E-3</v>
      </c>
      <c r="BW141" s="4">
        <f>(BO141-BF141)/BF141</f>
        <v>-0.14074074074074086</v>
      </c>
      <c r="BX141" s="4">
        <f>(BP141-BG141)/BG141</f>
        <v>0.26229508196721313</v>
      </c>
      <c r="BY141" s="4">
        <f>(BQ141-BH141)/BH141</f>
        <v>1.3432835820895521</v>
      </c>
      <c r="BZ141" s="7">
        <v>0.30399999999999999</v>
      </c>
      <c r="CA141" s="7">
        <v>0.84</v>
      </c>
      <c r="CB141" s="7">
        <v>5.6000000000000001E-2</v>
      </c>
      <c r="CC141" s="7">
        <v>4.9000000000000002E-2</v>
      </c>
      <c r="CD141" s="7">
        <f>(BZ141-AR141)/AR141</f>
        <v>0.55897435897435888</v>
      </c>
      <c r="CE141" s="7">
        <f>(CA141-AS141)/AS141</f>
        <v>0.30030959752321973</v>
      </c>
      <c r="CF141" s="7">
        <f>(CB141-AT141)/AT141</f>
        <v>-0.32530120481927716</v>
      </c>
      <c r="CG141" s="7">
        <f>(CC141-AU141)/AU141</f>
        <v>-0.33783783783783777</v>
      </c>
      <c r="CH141" s="4">
        <f>(BZ141-BN141)/BN141</f>
        <v>0.18287937743190655</v>
      </c>
      <c r="CI141" s="4">
        <f>(CA141-BO141)/BO141</f>
        <v>0.20689655172413796</v>
      </c>
      <c r="CJ141" s="4">
        <f>(CB141-BP141)/BP141</f>
        <v>-0.27272727272727271</v>
      </c>
      <c r="CK141" s="4">
        <f>(CC141-BQ141)/BQ141</f>
        <v>-0.68789808917197448</v>
      </c>
      <c r="CL141" s="7">
        <v>0.55800000000000005</v>
      </c>
      <c r="CM141" s="7">
        <v>0.46899999999999997</v>
      </c>
      <c r="CN141" s="7">
        <f>CL141/CM141</f>
        <v>1.1897654584221751</v>
      </c>
    </row>
    <row r="142" spans="1:92" x14ac:dyDescent="0.3">
      <c r="A142" s="11" t="s">
        <v>143</v>
      </c>
      <c r="B142" s="13">
        <v>515</v>
      </c>
      <c r="C142" s="13">
        <v>21</v>
      </c>
      <c r="D142" s="13">
        <v>5</v>
      </c>
      <c r="E142" s="13">
        <v>1</v>
      </c>
      <c r="F142" s="13">
        <v>3</v>
      </c>
      <c r="G142" s="12" t="s">
        <v>43</v>
      </c>
      <c r="H142" s="4">
        <v>6.77</v>
      </c>
      <c r="I142" s="4">
        <v>0.97</v>
      </c>
      <c r="J142" s="4">
        <v>8.74</v>
      </c>
      <c r="K142" s="4">
        <v>1.03</v>
      </c>
      <c r="L142" s="5">
        <f>(H142-I142)/(H142+I142)</f>
        <v>0.74935400516795869</v>
      </c>
      <c r="M142" s="5">
        <f>(J142-K142)/(J142+K142)</f>
        <v>0.78915046059365412</v>
      </c>
      <c r="N142" s="4">
        <v>0.32</v>
      </c>
      <c r="O142" s="4">
        <v>0.71299999999999997</v>
      </c>
      <c r="P142" s="4">
        <v>0.10299999999999999</v>
      </c>
      <c r="Q142" s="4">
        <v>0.08</v>
      </c>
      <c r="R142" s="4">
        <v>0.42</v>
      </c>
      <c r="S142" s="4">
        <v>0.69699999999999995</v>
      </c>
      <c r="T142" s="4">
        <v>0.13100000000000001</v>
      </c>
      <c r="U142" s="4">
        <v>0.08</v>
      </c>
      <c r="V142" s="4">
        <v>0.42</v>
      </c>
      <c r="W142" s="4">
        <v>0.85499999999999998</v>
      </c>
      <c r="X142" s="4">
        <v>7.2999999999999995E-2</v>
      </c>
      <c r="Y142" s="4">
        <v>0.04</v>
      </c>
      <c r="Z142" s="4">
        <v>0.49</v>
      </c>
      <c r="AA142" s="5">
        <f>(V142-N142)/N142</f>
        <v>0.31249999999999994</v>
      </c>
      <c r="AB142" s="5">
        <f>(W142-O142)/O142</f>
        <v>0.19915848527349231</v>
      </c>
      <c r="AC142" s="5">
        <f>(X142-P142)/P142</f>
        <v>-0.29126213592233008</v>
      </c>
      <c r="AD142" s="5">
        <f>(Y142-Q142)/Q142</f>
        <v>-0.5</v>
      </c>
      <c r="AE142" s="4">
        <v>0.52</v>
      </c>
      <c r="AF142" s="4">
        <v>0.81499999999999995</v>
      </c>
      <c r="AG142" s="4">
        <v>0.10199999999999999</v>
      </c>
      <c r="AH142" s="4">
        <v>0.04</v>
      </c>
      <c r="AI142" s="4">
        <v>0.55000000000000004</v>
      </c>
      <c r="AJ142" s="5">
        <f>(AE142-R142)/R142</f>
        <v>0.23809523809523819</v>
      </c>
      <c r="AK142" s="5">
        <f>(AF142-S142)/S142</f>
        <v>0.16929698708751795</v>
      </c>
      <c r="AL142" s="5">
        <f>(AG142-T142)/T142</f>
        <v>-0.22137404580152681</v>
      </c>
      <c r="AM142" s="5">
        <f>(AH142-U142)/U142</f>
        <v>-0.5</v>
      </c>
      <c r="AN142" s="4">
        <v>0.46700000000000003</v>
      </c>
      <c r="AO142" s="4">
        <v>0.84799999999999998</v>
      </c>
      <c r="AP142" s="4">
        <v>0.13</v>
      </c>
      <c r="AQ142" s="4">
        <v>8.5999999999999993E-2</v>
      </c>
      <c r="AR142" s="4">
        <v>0.30299999999999999</v>
      </c>
      <c r="AS142" s="4">
        <v>0.72199999999999998</v>
      </c>
      <c r="AT142" s="4">
        <v>8.5000000000000006E-2</v>
      </c>
      <c r="AU142" s="4">
        <v>7.4999999999999997E-2</v>
      </c>
      <c r="AV142" s="4">
        <v>0.51800000000000002</v>
      </c>
      <c r="AW142" s="4">
        <v>0.91900000000000004</v>
      </c>
      <c r="AX142" s="4">
        <v>9.5000000000000001E-2</v>
      </c>
      <c r="AY142" s="4">
        <v>6.8000000000000005E-2</v>
      </c>
      <c r="AZ142" s="4">
        <v>0.70799999999999996</v>
      </c>
      <c r="BA142" s="6">
        <f>(AV142-AN142)/AN142</f>
        <v>0.10920770877944323</v>
      </c>
      <c r="BB142" s="6">
        <f>(AW142-AO142)/AO142</f>
        <v>8.3726415094339701E-2</v>
      </c>
      <c r="BC142" s="6">
        <f>(AX142-AP142)/AP142</f>
        <v>-0.26923076923076927</v>
      </c>
      <c r="BD142" s="6">
        <f>(AY142-AQ142)/AQ142</f>
        <v>-0.20930232558139522</v>
      </c>
      <c r="BE142" s="4">
        <v>0.38700000000000001</v>
      </c>
      <c r="BF142" s="4">
        <v>0.83399999999999996</v>
      </c>
      <c r="BG142" s="4">
        <v>6.6000000000000003E-2</v>
      </c>
      <c r="BH142" s="4">
        <v>7.1999999999999995E-2</v>
      </c>
      <c r="BI142" s="4">
        <v>0.64900000000000002</v>
      </c>
      <c r="BJ142" s="5">
        <f>(BE142-AN142)/AN142</f>
        <v>-0.17130620985010708</v>
      </c>
      <c r="BK142" s="5">
        <f>(BF142-AO142)/AO142</f>
        <v>-1.6509433962264165E-2</v>
      </c>
      <c r="BL142" s="5">
        <f>(BG142-AP142)/AP142</f>
        <v>-0.49230769230769228</v>
      </c>
      <c r="BM142" s="5">
        <f>(BH142-AQ142)/AQ142</f>
        <v>-0.16279069767441859</v>
      </c>
      <c r="BN142" s="4">
        <v>0.40300000000000002</v>
      </c>
      <c r="BO142" s="4">
        <v>0.70099999999999996</v>
      </c>
      <c r="BP142" s="4">
        <v>8.7999999999999995E-2</v>
      </c>
      <c r="BQ142" s="4">
        <v>0.23200000000000001</v>
      </c>
      <c r="BR142" s="5">
        <f>(BN142-AR142)/AR142</f>
        <v>0.33003300330033014</v>
      </c>
      <c r="BS142" s="5">
        <f>(BO142-AS142)/AS142</f>
        <v>-2.9085872576177313E-2</v>
      </c>
      <c r="BT142" s="5">
        <f>(BP142-AT142)/AT142</f>
        <v>3.5294117647058691E-2</v>
      </c>
      <c r="BU142" s="5">
        <f>(BQ142-AU142)/AU142</f>
        <v>2.0933333333333337</v>
      </c>
      <c r="BV142" s="4">
        <f>(BN142-BE142)/BE142</f>
        <v>4.1343669250646031E-2</v>
      </c>
      <c r="BW142" s="4">
        <f>(BO142-BF142)/BF142</f>
        <v>-0.15947242206235013</v>
      </c>
      <c r="BX142" s="4">
        <f>(BP142-BG142)/BG142</f>
        <v>0.3333333333333332</v>
      </c>
      <c r="BY142" s="4">
        <f>(BQ142-BH142)/BH142</f>
        <v>2.2222222222222228</v>
      </c>
      <c r="BZ142" s="4">
        <v>0.41499999999999998</v>
      </c>
      <c r="CA142" s="4">
        <v>0.88200000000000001</v>
      </c>
      <c r="CB142" s="4">
        <v>5.5E-2</v>
      </c>
      <c r="CC142" s="4">
        <v>4.8000000000000001E-2</v>
      </c>
      <c r="CD142" s="4">
        <f>(BZ142-AR142)/AR142</f>
        <v>0.36963696369636961</v>
      </c>
      <c r="CE142" s="4">
        <f>(CA142-AS142)/AS142</f>
        <v>0.22160664819944603</v>
      </c>
      <c r="CF142" s="4">
        <f>(CB142-AT142)/AT142</f>
        <v>-0.35294117647058826</v>
      </c>
      <c r="CG142" s="4">
        <f>(CC142-AU142)/AU142</f>
        <v>-0.36</v>
      </c>
      <c r="CH142" s="4">
        <f>(BZ142-BN142)/BN142</f>
        <v>2.9776674937965146E-2</v>
      </c>
      <c r="CI142" s="4">
        <f>(CA142-BO142)/BO142</f>
        <v>0.25820256776034245</v>
      </c>
      <c r="CJ142" s="4">
        <f>(CB142-BP142)/BP142</f>
        <v>-0.37499999999999994</v>
      </c>
      <c r="CK142" s="4">
        <f>(CC142-BQ142)/BQ142</f>
        <v>-0.79310344827586199</v>
      </c>
      <c r="CL142" s="4">
        <v>0.68</v>
      </c>
      <c r="CM142" s="4">
        <v>0.33900000000000002</v>
      </c>
      <c r="CN142" s="4">
        <f>CL142/CM142</f>
        <v>2.0058997050147491</v>
      </c>
    </row>
    <row r="143" spans="1:92" x14ac:dyDescent="0.3">
      <c r="A143" s="11" t="s">
        <v>144</v>
      </c>
      <c r="B143" s="13">
        <v>802</v>
      </c>
      <c r="C143" s="13">
        <v>21</v>
      </c>
      <c r="D143" s="13">
        <v>5</v>
      </c>
      <c r="E143" s="13">
        <v>1</v>
      </c>
      <c r="F143" s="13">
        <v>3</v>
      </c>
      <c r="G143" s="12" t="s">
        <v>43</v>
      </c>
      <c r="H143" s="4">
        <v>5.95</v>
      </c>
      <c r="I143" s="4">
        <v>0.86</v>
      </c>
      <c r="J143" s="4">
        <v>7.29</v>
      </c>
      <c r="K143" s="4">
        <v>0.97</v>
      </c>
      <c r="L143" s="5">
        <f>(H143-I143)/(H143+I143)</f>
        <v>0.74743024963289273</v>
      </c>
      <c r="M143" s="5">
        <f>(J143-K143)/(J143+K143)</f>
        <v>0.76513317191283303</v>
      </c>
      <c r="N143" s="4">
        <v>0.28000000000000003</v>
      </c>
      <c r="O143" s="4">
        <v>0.72799999999999998</v>
      </c>
      <c r="P143" s="4">
        <v>9.0999999999999998E-2</v>
      </c>
      <c r="Q143" s="4">
        <v>7.0000000000000007E-2</v>
      </c>
      <c r="R143" s="4">
        <v>0.35</v>
      </c>
      <c r="S143" s="4">
        <v>0.70199999999999996</v>
      </c>
      <c r="T143" s="4">
        <v>0.113</v>
      </c>
      <c r="U143" s="4">
        <v>0.08</v>
      </c>
      <c r="V143" s="4">
        <v>0.37</v>
      </c>
      <c r="W143" s="4">
        <v>0.83799999999999997</v>
      </c>
      <c r="X143" s="4">
        <v>7.0000000000000007E-2</v>
      </c>
      <c r="Y143" s="4">
        <v>0.04</v>
      </c>
      <c r="Z143" s="4">
        <v>0.33700000000000002</v>
      </c>
      <c r="AA143" s="5">
        <f>(V143-N143)/N143</f>
        <v>0.32142857142857129</v>
      </c>
      <c r="AB143" s="5">
        <f>(W143-O143)/O143</f>
        <v>0.15109890109890109</v>
      </c>
      <c r="AC143" s="5">
        <f>(X143-P143)/P143</f>
        <v>-0.23076923076923067</v>
      </c>
      <c r="AD143" s="5">
        <f>(Y143-Q143)/Q143</f>
        <v>-0.4285714285714286</v>
      </c>
      <c r="AE143" s="4">
        <v>0.45</v>
      </c>
      <c r="AF143" s="4">
        <v>0.80300000000000005</v>
      </c>
      <c r="AG143" s="4">
        <v>9.1999999999999998E-2</v>
      </c>
      <c r="AH143" s="4">
        <v>0.05</v>
      </c>
      <c r="AI143" s="4">
        <v>0.33700000000000002</v>
      </c>
      <c r="AJ143" s="5">
        <f>(AE143-R143)/R143</f>
        <v>0.28571428571428581</v>
      </c>
      <c r="AK143" s="5">
        <f>(AF143-S143)/S143</f>
        <v>0.14387464387464402</v>
      </c>
      <c r="AL143" s="5">
        <f>(AG143-T143)/T143</f>
        <v>-0.18584070796460181</v>
      </c>
      <c r="AM143" s="5">
        <f>(AH143-U143)/U143</f>
        <v>-0.375</v>
      </c>
      <c r="AN143" s="7">
        <v>0.374</v>
      </c>
      <c r="AO143" s="7">
        <v>0.77300000000000002</v>
      </c>
      <c r="AP143" s="7">
        <v>0.12</v>
      </c>
      <c r="AQ143" s="7">
        <v>7.9000000000000001E-2</v>
      </c>
      <c r="AR143" s="4">
        <v>0.29599999999999999</v>
      </c>
      <c r="AS143" s="4">
        <v>0.73599999999999999</v>
      </c>
      <c r="AT143" s="4">
        <v>7.8E-2</v>
      </c>
      <c r="AU143" s="4">
        <v>6.9000000000000006E-2</v>
      </c>
      <c r="AV143" s="7">
        <v>0.46100000000000002</v>
      </c>
      <c r="AW143" s="7">
        <v>0.86599999999999999</v>
      </c>
      <c r="AX143" s="7">
        <v>9.1999999999999998E-2</v>
      </c>
      <c r="AY143" s="7">
        <v>6.4000000000000001E-2</v>
      </c>
      <c r="AZ143" s="7">
        <v>0.67600000000000005</v>
      </c>
      <c r="BA143" s="8">
        <f>(AV143-AN143)/AN143</f>
        <v>0.23262032085561504</v>
      </c>
      <c r="BB143" s="8">
        <f>(AW143-AO143)/AO143</f>
        <v>0.12031047865459246</v>
      </c>
      <c r="BC143" s="8">
        <f>(AX143-AP143)/AP143</f>
        <v>-0.23333333333333331</v>
      </c>
      <c r="BD143" s="8">
        <f>(AY143-AQ143)/AQ143</f>
        <v>-0.18987341772151897</v>
      </c>
      <c r="BE143" s="4">
        <v>0.35499999999999998</v>
      </c>
      <c r="BF143" s="4">
        <v>0.83299999999999996</v>
      </c>
      <c r="BG143" s="4">
        <v>6.2E-2</v>
      </c>
      <c r="BH143" s="4">
        <v>0.06</v>
      </c>
      <c r="BI143" s="4">
        <v>0.66200000000000003</v>
      </c>
      <c r="BJ143" s="5">
        <f>(BE143-AN143)/AN143</f>
        <v>-5.0802139037433199E-2</v>
      </c>
      <c r="BK143" s="5">
        <f>(BF143-AO143)/AO143</f>
        <v>7.7619663648124115E-2</v>
      </c>
      <c r="BL143" s="5">
        <f>(BG143-AP143)/AP143</f>
        <v>-0.48333333333333334</v>
      </c>
      <c r="BM143" s="5">
        <f>(BH143-AQ143)/AQ143</f>
        <v>-0.24050632911392408</v>
      </c>
      <c r="BN143" s="4">
        <v>0.34599999999999997</v>
      </c>
      <c r="BO143" s="4">
        <v>0.68600000000000005</v>
      </c>
      <c r="BP143" s="4">
        <v>8.5000000000000006E-2</v>
      </c>
      <c r="BQ143" s="4">
        <v>0.2</v>
      </c>
      <c r="BR143" s="5">
        <f>(BN143-AR143)/AR143</f>
        <v>0.16891891891891889</v>
      </c>
      <c r="BS143" s="5">
        <f>(BO143-AS143)/AS143</f>
        <v>-6.7934782608695565E-2</v>
      </c>
      <c r="BT143" s="5">
        <f>(BP143-AT143)/AT143</f>
        <v>8.9743589743589827E-2</v>
      </c>
      <c r="BU143" s="5">
        <f>(BQ143-AU143)/AU143</f>
        <v>1.8985507246376812</v>
      </c>
      <c r="BV143" s="4">
        <f>(BN143-BE143)/BE143</f>
        <v>-2.5352112676056363E-2</v>
      </c>
      <c r="BW143" s="4">
        <f>(BO143-BF143)/BF143</f>
        <v>-0.17647058823529402</v>
      </c>
      <c r="BX143" s="4">
        <f>(BP143-BG143)/BG143</f>
        <v>0.37096774193548399</v>
      </c>
      <c r="BY143" s="4">
        <f>(BQ143-BH143)/BH143</f>
        <v>2.3333333333333335</v>
      </c>
      <c r="BZ143" s="4">
        <v>0.36499999999999999</v>
      </c>
      <c r="CA143" s="4">
        <v>0.85699999999999998</v>
      </c>
      <c r="CB143" s="4">
        <v>5.8000000000000003E-2</v>
      </c>
      <c r="CC143" s="4">
        <v>4.9000000000000002E-2</v>
      </c>
      <c r="CD143" s="4">
        <f>(BZ143-AR143)/AR143</f>
        <v>0.23310810810810814</v>
      </c>
      <c r="CE143" s="4">
        <f>(CA143-AS143)/AS143</f>
        <v>0.16440217391304349</v>
      </c>
      <c r="CF143" s="4">
        <f>(CB143-AT143)/AT143</f>
        <v>-0.25641025641025639</v>
      </c>
      <c r="CG143" s="4">
        <f>(CC143-AU143)/AU143</f>
        <v>-0.28985507246376813</v>
      </c>
      <c r="CH143" s="4">
        <f>(BZ143-BN143)/BN143</f>
        <v>5.4913294797687917E-2</v>
      </c>
      <c r="CI143" s="4">
        <f>(CA143-BO143)/BO143</f>
        <v>0.24927113702623893</v>
      </c>
      <c r="CJ143" s="4">
        <f>(CB143-BP143)/BP143</f>
        <v>-0.31764705882352945</v>
      </c>
      <c r="CK143" s="4">
        <f>(CC143-BQ143)/BQ143</f>
        <v>-0.75500000000000012</v>
      </c>
      <c r="CL143" s="4">
        <v>0.67100000000000004</v>
      </c>
      <c r="CM143" s="4">
        <v>0.36499999999999999</v>
      </c>
      <c r="CN143" s="4">
        <f>CL143/CM143</f>
        <v>1.8383561643835618</v>
      </c>
    </row>
    <row r="144" spans="1:92" x14ac:dyDescent="0.3">
      <c r="A144" s="11" t="s">
        <v>145</v>
      </c>
      <c r="B144" s="13">
        <v>814</v>
      </c>
      <c r="C144" s="13">
        <v>21</v>
      </c>
      <c r="D144" s="13">
        <v>5</v>
      </c>
      <c r="E144" s="13">
        <v>1</v>
      </c>
      <c r="F144" s="13">
        <v>3</v>
      </c>
      <c r="G144" s="12" t="s">
        <v>43</v>
      </c>
      <c r="H144" s="4">
        <v>5.48</v>
      </c>
      <c r="I144" s="4">
        <v>0.78</v>
      </c>
      <c r="J144" s="4">
        <v>6.86</v>
      </c>
      <c r="K144" s="4">
        <v>0.9</v>
      </c>
      <c r="L144" s="5">
        <f>(H144-I144)/(H144+I144)</f>
        <v>0.75079872204472842</v>
      </c>
      <c r="M144" s="5">
        <f>(J144-K144)/(J144+K144)</f>
        <v>0.768041237113402</v>
      </c>
      <c r="N144" s="4">
        <v>0.26</v>
      </c>
      <c r="O144" s="4">
        <v>0.78300000000000003</v>
      </c>
      <c r="P144" s="4">
        <v>7.3999999999999996E-2</v>
      </c>
      <c r="Q144" s="4">
        <v>0.06</v>
      </c>
      <c r="R144" s="4">
        <v>0.33</v>
      </c>
      <c r="S144" s="4">
        <v>0.75700000000000001</v>
      </c>
      <c r="T144" s="4">
        <v>9.4E-2</v>
      </c>
      <c r="U144" s="4">
        <v>7.0000000000000007E-2</v>
      </c>
      <c r="V144" s="4">
        <v>0.33</v>
      </c>
      <c r="W144" s="4">
        <v>0.876</v>
      </c>
      <c r="X144" s="4">
        <v>5.6000000000000001E-2</v>
      </c>
      <c r="Y144" s="4">
        <v>0.04</v>
      </c>
      <c r="Z144" s="4">
        <v>0.42299999999999999</v>
      </c>
      <c r="AA144" s="5">
        <f>(V144-N144)/N144</f>
        <v>0.26923076923076927</v>
      </c>
      <c r="AB144" s="5">
        <f>(W144-O144)/O144</f>
        <v>0.11877394636015322</v>
      </c>
      <c r="AC144" s="5">
        <f>(X144-P144)/P144</f>
        <v>-0.2432432432432432</v>
      </c>
      <c r="AD144" s="5">
        <f>(Y144-Q144)/Q144</f>
        <v>-0.33333333333333331</v>
      </c>
      <c r="AE144" s="4">
        <v>0.41</v>
      </c>
      <c r="AF144" s="4">
        <v>0.84199999999999997</v>
      </c>
      <c r="AG144" s="4">
        <v>7.5999999999999998E-2</v>
      </c>
      <c r="AH144" s="4">
        <v>0.04</v>
      </c>
      <c r="AI144" s="4">
        <v>0.37</v>
      </c>
      <c r="AJ144" s="5">
        <f>(AE144-R144)/R144</f>
        <v>0.24242424242424229</v>
      </c>
      <c r="AK144" s="5">
        <f>(AF144-S144)/S144</f>
        <v>0.11228533685601053</v>
      </c>
      <c r="AL144" s="5">
        <f>(AG144-T144)/T144</f>
        <v>-0.19148936170212769</v>
      </c>
      <c r="AM144" s="5">
        <f>(AH144-U144)/U144</f>
        <v>-0.4285714285714286</v>
      </c>
      <c r="AN144" s="4">
        <v>0.33</v>
      </c>
      <c r="AO144" s="4">
        <v>0.83899999999999997</v>
      </c>
      <c r="AP144" s="4">
        <v>0.09</v>
      </c>
      <c r="AQ144" s="4">
        <v>6.8000000000000005E-2</v>
      </c>
      <c r="AR144" s="4">
        <v>0.26300000000000001</v>
      </c>
      <c r="AS144" s="4">
        <v>0.79600000000000004</v>
      </c>
      <c r="AT144" s="4">
        <v>6.2E-2</v>
      </c>
      <c r="AU144" s="4">
        <v>5.8999999999999997E-2</v>
      </c>
      <c r="AV144" s="4">
        <v>0.36899999999999999</v>
      </c>
      <c r="AW144" s="4">
        <v>0.89800000000000002</v>
      </c>
      <c r="AX144" s="4">
        <v>7.1999999999999995E-2</v>
      </c>
      <c r="AY144" s="4">
        <v>5.7000000000000002E-2</v>
      </c>
      <c r="AZ144" s="4">
        <v>0.70499999999999996</v>
      </c>
      <c r="BA144" s="6">
        <f>(AV144-AN144)/AN144</f>
        <v>0.11818181818181811</v>
      </c>
      <c r="BB144" s="6">
        <f>(AW144-AO144)/AO144</f>
        <v>7.032181168057218E-2</v>
      </c>
      <c r="BC144" s="6">
        <f>(AX144-AP144)/AP144</f>
        <v>-0.20000000000000004</v>
      </c>
      <c r="BD144" s="6">
        <f>(AY144-AQ144)/AQ144</f>
        <v>-0.16176470588235298</v>
      </c>
      <c r="BE144" s="4">
        <v>0.29699999999999999</v>
      </c>
      <c r="BF144" s="4">
        <v>0.86</v>
      </c>
      <c r="BG144" s="4">
        <v>5.0999999999999997E-2</v>
      </c>
      <c r="BH144" s="4">
        <v>5.0999999999999997E-2</v>
      </c>
      <c r="BI144" s="4">
        <v>0.7</v>
      </c>
      <c r="BJ144" s="5">
        <f>(BE144-AN144)/AN144</f>
        <v>-0.10000000000000009</v>
      </c>
      <c r="BK144" s="5">
        <f>(BF144-AO144)/AO144</f>
        <v>2.5029797377830773E-2</v>
      </c>
      <c r="BL144" s="5">
        <f>(BG144-AP144)/AP144</f>
        <v>-0.43333333333333335</v>
      </c>
      <c r="BM144" s="5">
        <f>(BH144-AQ144)/AQ144</f>
        <v>-0.25000000000000011</v>
      </c>
      <c r="BN144" s="4">
        <v>0.313</v>
      </c>
      <c r="BO144" s="4">
        <v>0.66700000000000004</v>
      </c>
      <c r="BP144" s="4">
        <v>7.9000000000000001E-2</v>
      </c>
      <c r="BQ144" s="4">
        <v>0.188</v>
      </c>
      <c r="BR144" s="5">
        <f>(BN144-AR144)/AR144</f>
        <v>0.1901140684410646</v>
      </c>
      <c r="BS144" s="5">
        <f>(BO144-AS144)/AS144</f>
        <v>-0.1620603015075377</v>
      </c>
      <c r="BT144" s="5">
        <f>(BP144-AT144)/AT144</f>
        <v>0.27419354838709681</v>
      </c>
      <c r="BU144" s="5">
        <f>(BQ144-AU144)/AU144</f>
        <v>2.1864406779661021</v>
      </c>
      <c r="BV144" s="4">
        <f>(BN144-BE144)/BE144</f>
        <v>5.3872053872053925E-2</v>
      </c>
      <c r="BW144" s="4">
        <f>(BO144-BF144)/BF144</f>
        <v>-0.22441860465116273</v>
      </c>
      <c r="BX144" s="4">
        <f>(BP144-BG144)/BG144</f>
        <v>0.54901960784313741</v>
      </c>
      <c r="BY144" s="4">
        <f>(BQ144-BH144)/BH144</f>
        <v>2.6862745098039218</v>
      </c>
      <c r="BZ144" s="4">
        <v>0.314</v>
      </c>
      <c r="CA144" s="4">
        <v>0.86899999999999999</v>
      </c>
      <c r="CB144" s="4">
        <v>4.9000000000000002E-2</v>
      </c>
      <c r="CC144" s="4">
        <v>4.5999999999999999E-2</v>
      </c>
      <c r="CD144" s="4">
        <f>(BZ144-AR144)/AR144</f>
        <v>0.1939163498098859</v>
      </c>
      <c r="CE144" s="4">
        <f>(CA144-AS144)/AS144</f>
        <v>9.1708542713567778E-2</v>
      </c>
      <c r="CF144" s="4">
        <f>(CB144-AT144)/AT144</f>
        <v>-0.20967741935483866</v>
      </c>
      <c r="CG144" s="4">
        <f>(CC144-AU144)/AU144</f>
        <v>-0.22033898305084743</v>
      </c>
      <c r="CH144" s="4">
        <f>(BZ144-BN144)/BN144</f>
        <v>3.1948881789137409E-3</v>
      </c>
      <c r="CI144" s="4">
        <f>(CA144-BO144)/BO144</f>
        <v>0.30284857571214385</v>
      </c>
      <c r="CJ144" s="4">
        <f>(CB144-BP144)/BP144</f>
        <v>-0.37974683544303794</v>
      </c>
      <c r="CK144" s="4">
        <f>(CC144-BQ144)/BQ144</f>
        <v>-0.75531914893617025</v>
      </c>
      <c r="CL144" s="4">
        <v>0.71499999999999997</v>
      </c>
      <c r="CM144" s="4">
        <v>0.33</v>
      </c>
      <c r="CN144" s="4">
        <f>CL144/CM144</f>
        <v>2.1666666666666665</v>
      </c>
    </row>
    <row r="145" spans="1:92" x14ac:dyDescent="0.3">
      <c r="A145" s="11" t="s">
        <v>146</v>
      </c>
      <c r="B145" s="13">
        <v>323</v>
      </c>
      <c r="C145" s="13">
        <v>37</v>
      </c>
      <c r="D145" s="13">
        <v>6</v>
      </c>
      <c r="E145" s="13">
        <v>8</v>
      </c>
      <c r="F145" s="13">
        <v>8</v>
      </c>
      <c r="G145" s="3" t="s">
        <v>9</v>
      </c>
      <c r="H145" s="4">
        <v>11.48</v>
      </c>
      <c r="I145" s="4">
        <v>3.08</v>
      </c>
      <c r="J145" s="4">
        <v>12.02</v>
      </c>
      <c r="K145" s="4">
        <v>3.33</v>
      </c>
      <c r="L145" s="5">
        <f>(H145-I145)/(H145+I145)</f>
        <v>0.57692307692307698</v>
      </c>
      <c r="M145" s="5">
        <f>(J145-K145)/(J145+K145)</f>
        <v>0.56612377850162865</v>
      </c>
      <c r="N145" s="4">
        <v>0.31</v>
      </c>
      <c r="O145" s="4">
        <v>0.53500000000000003</v>
      </c>
      <c r="P145" s="4">
        <v>0.11799999999999999</v>
      </c>
      <c r="Q145" s="4">
        <v>0.12</v>
      </c>
      <c r="R145" s="4">
        <v>0.32</v>
      </c>
      <c r="S145" s="4">
        <v>0.47399999999999998</v>
      </c>
      <c r="T145" s="4">
        <v>0.13700000000000001</v>
      </c>
      <c r="U145" s="4">
        <v>0.13</v>
      </c>
      <c r="V145" s="4">
        <v>0.59</v>
      </c>
      <c r="W145" s="4">
        <v>0.92800000000000005</v>
      </c>
      <c r="X145" s="4">
        <v>4.5999999999999999E-2</v>
      </c>
      <c r="Y145" s="4">
        <v>0.02</v>
      </c>
      <c r="Z145" s="4">
        <v>0.24</v>
      </c>
      <c r="AA145" s="5">
        <f>(V145-N145)/N145</f>
        <v>0.90322580645161277</v>
      </c>
      <c r="AB145" s="5">
        <f>(W145-O145)/O145</f>
        <v>0.73457943925233649</v>
      </c>
      <c r="AC145" s="5">
        <f>(X145-P145)/P145</f>
        <v>-0.61016949152542377</v>
      </c>
      <c r="AD145" s="5">
        <f>(Y145-Q145)/Q145</f>
        <v>-0.83333333333333326</v>
      </c>
      <c r="AE145" s="4">
        <v>0.63</v>
      </c>
      <c r="AF145" s="4">
        <v>0.85399999999999998</v>
      </c>
      <c r="AG145" s="4">
        <v>7.1999999999999995E-2</v>
      </c>
      <c r="AH145" s="4">
        <v>0.03</v>
      </c>
      <c r="AI145" s="4">
        <v>0.222</v>
      </c>
      <c r="AJ145" s="5">
        <f>(AE145-R145)/R145</f>
        <v>0.96875</v>
      </c>
      <c r="AK145" s="5">
        <f>(AF145-S145)/S145</f>
        <v>0.80168776371308026</v>
      </c>
      <c r="AL145" s="5">
        <f>(AG145-T145)/T145</f>
        <v>-0.47445255474452563</v>
      </c>
      <c r="AM145" s="5">
        <f>(AH145-U145)/U145</f>
        <v>-0.76923076923076927</v>
      </c>
      <c r="AN145" s="4">
        <v>0.40400000000000003</v>
      </c>
      <c r="AO145" s="4">
        <v>0.66</v>
      </c>
      <c r="AP145" s="4">
        <v>0.14699999999999999</v>
      </c>
      <c r="AQ145" s="4">
        <v>0.13200000000000001</v>
      </c>
      <c r="AR145" s="4">
        <v>0.314</v>
      </c>
      <c r="AS145" s="4">
        <v>0.54800000000000004</v>
      </c>
      <c r="AT145" s="4">
        <v>0.10299999999999999</v>
      </c>
      <c r="AU145" s="4">
        <v>0.11600000000000001</v>
      </c>
      <c r="AV145" s="4">
        <v>0.624</v>
      </c>
      <c r="AW145" s="4">
        <v>0.83899999999999997</v>
      </c>
      <c r="AX145" s="4">
        <v>0.10100000000000001</v>
      </c>
      <c r="AY145" s="4">
        <v>9.9000000000000005E-2</v>
      </c>
      <c r="AZ145" s="4">
        <v>0.501</v>
      </c>
      <c r="BA145" s="6">
        <f>(AV145-AN145)/AN145</f>
        <v>0.54455445544554448</v>
      </c>
      <c r="BB145" s="6">
        <f>(AW145-AO145)/AO145</f>
        <v>0.27121212121212113</v>
      </c>
      <c r="BC145" s="6">
        <f>(AX145-AP145)/AP145</f>
        <v>-0.31292517006802711</v>
      </c>
      <c r="BD145" s="6">
        <f>(AY145-AQ145)/AQ145</f>
        <v>-0.25</v>
      </c>
      <c r="BE145" s="4">
        <v>0.59899999999999998</v>
      </c>
      <c r="BF145" s="4">
        <v>0.85499999999999998</v>
      </c>
      <c r="BG145" s="4">
        <v>5.8000000000000003E-2</v>
      </c>
      <c r="BH145" s="4">
        <v>0.105</v>
      </c>
      <c r="BI145" s="4">
        <v>0.45300000000000001</v>
      </c>
      <c r="BJ145" s="5">
        <f>(BE145-AN145)/AN145</f>
        <v>0.48267326732673255</v>
      </c>
      <c r="BK145" s="5">
        <f>(BF145-AO145)/AO145</f>
        <v>0.29545454545454536</v>
      </c>
      <c r="BL145" s="5">
        <f>(BG145-AP145)/AP145</f>
        <v>-0.60544217687074831</v>
      </c>
      <c r="BM145" s="5">
        <f>(BH145-AQ145)/AQ145</f>
        <v>-0.20454545454545461</v>
      </c>
      <c r="BN145" s="4">
        <v>0.58099999999999996</v>
      </c>
      <c r="BO145" s="4">
        <v>0.69</v>
      </c>
      <c r="BP145" s="4">
        <v>8.5000000000000006E-2</v>
      </c>
      <c r="BQ145" s="4">
        <v>0.27300000000000002</v>
      </c>
      <c r="BR145" s="5">
        <f>(BN145-AR145)/AR145</f>
        <v>0.85031847133757954</v>
      </c>
      <c r="BS145" s="5">
        <f>(BO145-AS145)/AS145</f>
        <v>0.25912408759124067</v>
      </c>
      <c r="BT145" s="5">
        <f>(BP145-AT145)/AT145</f>
        <v>-0.17475728155339795</v>
      </c>
      <c r="BU145" s="5">
        <f>(BQ145-AU145)/AU145</f>
        <v>1.3534482758620692</v>
      </c>
      <c r="BV145" s="4">
        <f>(BN145-BE145)/BE145</f>
        <v>-3.0050083472454119E-2</v>
      </c>
      <c r="BW145" s="4">
        <f>(BO145-BF145)/BF145</f>
        <v>-0.19298245614035092</v>
      </c>
      <c r="BX145" s="4">
        <f>(BP145-BG145)/BG145</f>
        <v>0.46551724137931039</v>
      </c>
      <c r="BY145" s="4">
        <f>(BQ145-BH145)/BH145</f>
        <v>1.6000000000000005</v>
      </c>
      <c r="BZ145" s="4">
        <v>0.59</v>
      </c>
      <c r="CA145" s="4">
        <v>0.86199999999999999</v>
      </c>
      <c r="CB145" s="4">
        <v>5.7000000000000002E-2</v>
      </c>
      <c r="CC145" s="4">
        <v>8.3000000000000004E-2</v>
      </c>
      <c r="CD145" s="4">
        <f>(BZ145-AR145)/AR145</f>
        <v>0.87898089171974514</v>
      </c>
      <c r="CE145" s="4">
        <f>(CA145-AS145)/AS145</f>
        <v>0.57299270072992692</v>
      </c>
      <c r="CF145" s="4">
        <f>(CB145-AT145)/AT145</f>
        <v>-0.44660194174757278</v>
      </c>
      <c r="CG145" s="4">
        <f>(CC145-AU145)/AU145</f>
        <v>-0.28448275862068967</v>
      </c>
      <c r="CH145" s="4">
        <f>(BZ145-BN145)/BN145</f>
        <v>1.5490533562822734E-2</v>
      </c>
      <c r="CI145" s="4">
        <f>(CA145-BO145)/BO145</f>
        <v>0.24927536231884065</v>
      </c>
      <c r="CJ145" s="4">
        <f>(CB145-BP145)/BP145</f>
        <v>-0.3294117647058824</v>
      </c>
      <c r="CK145" s="4">
        <f>(CC145-BQ145)/BQ145</f>
        <v>-0.69597069597069594</v>
      </c>
      <c r="CL145" s="4">
        <v>0.51800000000000002</v>
      </c>
      <c r="CM145" s="4">
        <v>0.5</v>
      </c>
      <c r="CN145" s="4">
        <f>CL145/CM145</f>
        <v>1.036</v>
      </c>
    </row>
    <row r="146" spans="1:92" x14ac:dyDescent="0.3">
      <c r="A146" s="11" t="s">
        <v>147</v>
      </c>
      <c r="B146" s="13">
        <v>877</v>
      </c>
      <c r="C146" s="13">
        <v>37</v>
      </c>
      <c r="D146" s="13">
        <v>6</v>
      </c>
      <c r="E146" s="13">
        <v>8</v>
      </c>
      <c r="F146" s="13">
        <v>8</v>
      </c>
      <c r="G146" s="3" t="s">
        <v>9</v>
      </c>
      <c r="H146" s="4">
        <v>11.42</v>
      </c>
      <c r="I146" s="4">
        <v>2.5099999999999998</v>
      </c>
      <c r="J146" s="4">
        <v>12.35</v>
      </c>
      <c r="K146" s="4">
        <v>2.72</v>
      </c>
      <c r="L146" s="5">
        <f>(H146-I146)/(H146+I146)</f>
        <v>0.63962670495333818</v>
      </c>
      <c r="M146" s="5">
        <f>(J146-K146)/(J146+K146)</f>
        <v>0.63901791639017913</v>
      </c>
      <c r="N146" s="4">
        <v>0.31</v>
      </c>
      <c r="O146" s="4">
        <v>0.66200000000000003</v>
      </c>
      <c r="P146" s="4">
        <v>9.1999999999999998E-2</v>
      </c>
      <c r="Q146" s="4">
        <v>0.09</v>
      </c>
      <c r="R146" s="4">
        <v>0.33</v>
      </c>
      <c r="S146" s="4">
        <v>0.63600000000000001</v>
      </c>
      <c r="T146" s="4">
        <v>0.10299999999999999</v>
      </c>
      <c r="U146" s="4">
        <v>0.1</v>
      </c>
      <c r="V146" s="4">
        <v>0.52</v>
      </c>
      <c r="W146" s="4">
        <v>0.95499999999999996</v>
      </c>
      <c r="X146" s="4">
        <v>3.3000000000000002E-2</v>
      </c>
      <c r="Y146" s="4">
        <v>0.02</v>
      </c>
      <c r="Z146" s="4">
        <v>0.23200000000000001</v>
      </c>
      <c r="AA146" s="5">
        <f>(V146-N146)/N146</f>
        <v>0.67741935483870974</v>
      </c>
      <c r="AB146" s="5">
        <f>(W146-O146)/O146</f>
        <v>0.44259818731117812</v>
      </c>
      <c r="AC146" s="5">
        <f>(X146-P146)/P146</f>
        <v>-0.64130434782608692</v>
      </c>
      <c r="AD146" s="5">
        <f>(Y146-Q146)/Q146</f>
        <v>-0.77777777777777768</v>
      </c>
      <c r="AE146" s="4">
        <v>0.56000000000000005</v>
      </c>
      <c r="AF146" s="4">
        <v>0.93300000000000005</v>
      </c>
      <c r="AG146" s="4">
        <v>4.3999999999999997E-2</v>
      </c>
      <c r="AH146" s="4">
        <v>0.02</v>
      </c>
      <c r="AI146" s="4">
        <v>0.24199999999999999</v>
      </c>
      <c r="AJ146" s="5">
        <f>(AE146-R146)/R146</f>
        <v>0.69696969696969702</v>
      </c>
      <c r="AK146" s="5">
        <f>(AF146-S146)/S146</f>
        <v>0.46698113207547176</v>
      </c>
      <c r="AL146" s="5">
        <f>(AG146-T146)/T146</f>
        <v>-0.57281553398058249</v>
      </c>
      <c r="AM146" s="5">
        <f>(AH146-U146)/U146</f>
        <v>-0.79999999999999993</v>
      </c>
      <c r="AN146" s="4">
        <v>0.39700000000000002</v>
      </c>
      <c r="AO146" s="4">
        <v>0.66100000000000003</v>
      </c>
      <c r="AP146" s="4">
        <v>0.123</v>
      </c>
      <c r="AQ146" s="4">
        <v>0.1</v>
      </c>
      <c r="AR146" s="4">
        <v>0.34</v>
      </c>
      <c r="AS146" s="4">
        <v>0.66400000000000003</v>
      </c>
      <c r="AT146" s="4">
        <v>8.5000000000000006E-2</v>
      </c>
      <c r="AU146" s="4">
        <v>9.0999999999999998E-2</v>
      </c>
      <c r="AV146" s="4">
        <v>0.52900000000000003</v>
      </c>
      <c r="AW146" s="4">
        <v>0.79600000000000004</v>
      </c>
      <c r="AX146" s="4">
        <v>9.6000000000000002E-2</v>
      </c>
      <c r="AY146" s="4">
        <v>7.8E-2</v>
      </c>
      <c r="AZ146" s="4">
        <v>0.67300000000000004</v>
      </c>
      <c r="BA146" s="6">
        <f>(AV146-AN146)/AN146</f>
        <v>0.33249370277078083</v>
      </c>
      <c r="BB146" s="6">
        <f>(AW146-AO146)/AO146</f>
        <v>0.20423600605143721</v>
      </c>
      <c r="BC146" s="6">
        <f>(AX146-AP146)/AP146</f>
        <v>-0.21951219512195119</v>
      </c>
      <c r="BD146" s="6">
        <f>(AY146-AQ146)/AQ146</f>
        <v>-0.22000000000000006</v>
      </c>
      <c r="BE146" s="4">
        <v>0.46899999999999997</v>
      </c>
      <c r="BF146" s="4">
        <v>0.84</v>
      </c>
      <c r="BG146" s="4">
        <v>5.8999999999999997E-2</v>
      </c>
      <c r="BH146" s="4">
        <v>0.107</v>
      </c>
      <c r="BI146" s="4">
        <v>0.53300000000000003</v>
      </c>
      <c r="BJ146" s="5">
        <f>(BE146-AN146)/AN146</f>
        <v>0.18136020151133489</v>
      </c>
      <c r="BK146" s="5">
        <f>(BF146-AO146)/AO146</f>
        <v>0.27080181543116477</v>
      </c>
      <c r="BL146" s="5">
        <f>(BG146-AP146)/AP146</f>
        <v>-0.52032520325203258</v>
      </c>
      <c r="BM146" s="5">
        <f>(BH146-AQ146)/AQ146</f>
        <v>6.9999999999999923E-2</v>
      </c>
      <c r="BN146" s="4">
        <v>0.45900000000000002</v>
      </c>
      <c r="BO146" s="4">
        <v>0.59299999999999997</v>
      </c>
      <c r="BP146" s="4">
        <v>9.4E-2</v>
      </c>
      <c r="BQ146" s="4">
        <v>0.27600000000000002</v>
      </c>
      <c r="BR146" s="5">
        <f>(BN146-AR146)/AR146</f>
        <v>0.35</v>
      </c>
      <c r="BS146" s="5">
        <f>(BO146-AS146)/AS146</f>
        <v>-0.10692771084337359</v>
      </c>
      <c r="BT146" s="5">
        <f>(BP146-AT146)/AT146</f>
        <v>0.1058823529411764</v>
      </c>
      <c r="BU146" s="5">
        <f>(BQ146-AU146)/AU146</f>
        <v>2.0329670329670333</v>
      </c>
      <c r="BV146" s="4">
        <f>(BN146-BE146)/BE146</f>
        <v>-2.1321961620468986E-2</v>
      </c>
      <c r="BW146" s="4">
        <f>(BO146-BF146)/BF146</f>
        <v>-0.29404761904761906</v>
      </c>
      <c r="BX146" s="4">
        <f>(BP146-BG146)/BG146</f>
        <v>0.59322033898305093</v>
      </c>
      <c r="BY146" s="4">
        <f>(BQ146-BH146)/BH146</f>
        <v>1.5794392523364489</v>
      </c>
      <c r="BZ146" s="4">
        <v>0.47299999999999998</v>
      </c>
      <c r="CA146" s="4">
        <v>0.88300000000000001</v>
      </c>
      <c r="CB146" s="4">
        <v>0.05</v>
      </c>
      <c r="CC146" s="4">
        <v>5.8999999999999997E-2</v>
      </c>
      <c r="CD146" s="4">
        <f>(BZ146-AR146)/AR146</f>
        <v>0.39117647058823513</v>
      </c>
      <c r="CE146" s="4">
        <f>(CA146-AS146)/AS146</f>
        <v>0.32981927710843367</v>
      </c>
      <c r="CF146" s="4">
        <f>(CB146-AT146)/AT146</f>
        <v>-0.41176470588235298</v>
      </c>
      <c r="CG146" s="4">
        <f>(CC146-AU146)/AU146</f>
        <v>-0.35164835164835168</v>
      </c>
      <c r="CH146" s="4">
        <f>(BZ146-BN146)/BN146</f>
        <v>3.050108932461864E-2</v>
      </c>
      <c r="CI146" s="4">
        <f>(CA146-BO146)/BO146</f>
        <v>0.4890387858347387</v>
      </c>
      <c r="CJ146" s="4">
        <f>(CB146-BP146)/BP146</f>
        <v>-0.46808510638297868</v>
      </c>
      <c r="CK146" s="4">
        <f>(CC146-BQ146)/BQ146</f>
        <v>-0.78623188405797106</v>
      </c>
      <c r="CL146" s="4">
        <v>0.56599999999999995</v>
      </c>
      <c r="CM146" s="4">
        <v>0.44600000000000001</v>
      </c>
      <c r="CN146" s="4">
        <f>CL146/CM146</f>
        <v>1.2690582959641254</v>
      </c>
    </row>
    <row r="147" spans="1:92" x14ac:dyDescent="0.3">
      <c r="A147" s="11" t="s">
        <v>148</v>
      </c>
      <c r="B147" s="13">
        <v>2109</v>
      </c>
      <c r="C147" s="13">
        <v>32</v>
      </c>
      <c r="D147" s="13">
        <v>6</v>
      </c>
      <c r="E147" s="13">
        <v>8</v>
      </c>
      <c r="F147" s="13">
        <v>8</v>
      </c>
      <c r="G147" s="3" t="s">
        <v>9</v>
      </c>
      <c r="H147" s="4">
        <v>10.19</v>
      </c>
      <c r="I147" s="4">
        <v>2.0699999999999998</v>
      </c>
      <c r="J147" s="4">
        <v>11.13</v>
      </c>
      <c r="K147" s="4">
        <v>2.25</v>
      </c>
      <c r="L147" s="5">
        <f>(H147-I147)/(H147+I147)</f>
        <v>0.66231647634584012</v>
      </c>
      <c r="M147" s="5">
        <f>(J147-K147)/(J147+K147)</f>
        <v>0.66367713004484308</v>
      </c>
      <c r="N147" s="4">
        <v>0.32</v>
      </c>
      <c r="O147" s="4">
        <v>0.6</v>
      </c>
      <c r="P147" s="4">
        <v>0.114</v>
      </c>
      <c r="Q147" s="4">
        <v>0.09</v>
      </c>
      <c r="R147" s="4">
        <v>0.35</v>
      </c>
      <c r="S147" s="4">
        <v>0.56899999999999995</v>
      </c>
      <c r="T147" s="4">
        <v>0.129</v>
      </c>
      <c r="U147" s="4">
        <v>0.1</v>
      </c>
      <c r="V147" s="4">
        <v>0.56999999999999995</v>
      </c>
      <c r="W147" s="4">
        <v>0.93799999999999994</v>
      </c>
      <c r="X147" s="4">
        <v>4.4999999999999998E-2</v>
      </c>
      <c r="Y147" s="4">
        <v>0.02</v>
      </c>
      <c r="Z147" s="4">
        <v>0.29099999999999998</v>
      </c>
      <c r="AA147" s="5">
        <f>(V147-N147)/N147</f>
        <v>0.78124999999999978</v>
      </c>
      <c r="AB147" s="5">
        <f>(W147-O147)/O147</f>
        <v>0.56333333333333335</v>
      </c>
      <c r="AC147" s="5">
        <f>(X147-P147)/P147</f>
        <v>-0.60526315789473684</v>
      </c>
      <c r="AD147" s="5">
        <f>(Y147-Q147)/Q147</f>
        <v>-0.77777777777777768</v>
      </c>
      <c r="AE147" s="4">
        <v>0.61</v>
      </c>
      <c r="AF147" s="4">
        <v>0.92</v>
      </c>
      <c r="AG147" s="4">
        <v>5.6000000000000001E-2</v>
      </c>
      <c r="AH147" s="4">
        <v>0.02</v>
      </c>
      <c r="AI147" s="4">
        <v>0.29299999999999998</v>
      </c>
      <c r="AJ147" s="5">
        <f>(AE147-R147)/R147</f>
        <v>0.74285714285714288</v>
      </c>
      <c r="AK147" s="5">
        <f>(AF147-S147)/S147</f>
        <v>0.61687170474516717</v>
      </c>
      <c r="AL147" s="5">
        <f>(AG147-T147)/T147</f>
        <v>-0.56589147286821706</v>
      </c>
      <c r="AM147" s="5">
        <f>(AH147-U147)/U147</f>
        <v>-0.79999999999999993</v>
      </c>
      <c r="AN147" s="4">
        <v>0.43099999999999999</v>
      </c>
      <c r="AO147" s="4">
        <v>0.67400000000000004</v>
      </c>
      <c r="AP147" s="4">
        <v>0.155</v>
      </c>
      <c r="AQ147" s="4">
        <v>0.106</v>
      </c>
      <c r="AR147" s="4">
        <v>0.35699999999999998</v>
      </c>
      <c r="AS147" s="4">
        <v>0.60099999999999998</v>
      </c>
      <c r="AT147" s="4">
        <v>0.10100000000000001</v>
      </c>
      <c r="AU147" s="4">
        <v>0.09</v>
      </c>
      <c r="AV147" s="4">
        <v>0.62</v>
      </c>
      <c r="AW147" s="4">
        <v>0.91300000000000003</v>
      </c>
      <c r="AX147" s="4">
        <v>0.08</v>
      </c>
      <c r="AY147" s="4">
        <v>5.7000000000000002E-2</v>
      </c>
      <c r="AZ147" s="4">
        <v>0.44900000000000001</v>
      </c>
      <c r="BA147" s="6">
        <f>(AV147-AN147)/AN147</f>
        <v>0.43851508120649652</v>
      </c>
      <c r="BB147" s="6">
        <f>(AW147-AO147)/AO147</f>
        <v>0.35459940652818989</v>
      </c>
      <c r="BC147" s="6">
        <f>(AX147-AP147)/AP147</f>
        <v>-0.48387096774193544</v>
      </c>
      <c r="BD147" s="6">
        <f>(AY147-AQ147)/AQ147</f>
        <v>-0.46226415094339618</v>
      </c>
      <c r="BE147" s="4">
        <v>0.55900000000000005</v>
      </c>
      <c r="BF147" s="4">
        <v>0.88800000000000001</v>
      </c>
      <c r="BG147" s="4">
        <v>5.3999999999999999E-2</v>
      </c>
      <c r="BH147" s="4">
        <v>7.0000000000000007E-2</v>
      </c>
      <c r="BI147" s="4">
        <v>0.39</v>
      </c>
      <c r="BJ147" s="5">
        <f>(BE147-AN147)/AN147</f>
        <v>0.29698375870069621</v>
      </c>
      <c r="BK147" s="5">
        <f>(BF147-AO147)/AO147</f>
        <v>0.31750741839762603</v>
      </c>
      <c r="BL147" s="5">
        <f>(BG147-AP147)/AP147</f>
        <v>-0.65161290322580645</v>
      </c>
      <c r="BM147" s="5">
        <f>(BH147-AQ147)/AQ147</f>
        <v>-0.33962264150943389</v>
      </c>
      <c r="BN147" s="7">
        <v>0.504</v>
      </c>
      <c r="BO147" s="7">
        <v>0.70599999999999996</v>
      </c>
      <c r="BP147" s="7">
        <v>8.6999999999999994E-2</v>
      </c>
      <c r="BQ147" s="7">
        <v>0.27100000000000002</v>
      </c>
      <c r="BR147" s="8">
        <f>(BN147-AR147)/AR147</f>
        <v>0.41176470588235303</v>
      </c>
      <c r="BS147" s="8">
        <f>(BO147-AS147)/AS147</f>
        <v>0.1747088186356073</v>
      </c>
      <c r="BT147" s="8">
        <f>(BP147-AT147)/AT147</f>
        <v>-0.13861386138613874</v>
      </c>
      <c r="BU147" s="8">
        <f>(BQ147-AU147)/AU147</f>
        <v>2.0111111111111115</v>
      </c>
      <c r="BV147" s="7">
        <f>(BN147-BE147)/BE147</f>
        <v>-9.8389982110912419E-2</v>
      </c>
      <c r="BW147" s="7">
        <f>(BO147-BF147)/BF147</f>
        <v>-0.204954954954955</v>
      </c>
      <c r="BX147" s="7">
        <f>(BP147-BG147)/BG147</f>
        <v>0.61111111111111105</v>
      </c>
      <c r="BY147" s="7">
        <f>(BQ147-BH147)/BH147</f>
        <v>2.8714285714285714</v>
      </c>
      <c r="BZ147" s="4">
        <v>0.58299999999999996</v>
      </c>
      <c r="CA147" s="4">
        <v>0.90500000000000003</v>
      </c>
      <c r="CB147" s="4">
        <v>4.9000000000000002E-2</v>
      </c>
      <c r="CC147" s="4">
        <v>5.3999999999999999E-2</v>
      </c>
      <c r="CD147" s="4">
        <f>(BZ147-AR147)/AR147</f>
        <v>0.63305322128851538</v>
      </c>
      <c r="CE147" s="4">
        <f>(CA147-AS147)/AS147</f>
        <v>0.50582362728785368</v>
      </c>
      <c r="CF147" s="4">
        <f>(CB147-AT147)/AT147</f>
        <v>-0.51485148514851486</v>
      </c>
      <c r="CG147" s="4">
        <f>(CC147-AU147)/AU147</f>
        <v>-0.39999999999999997</v>
      </c>
      <c r="CH147" s="4">
        <f>(BZ147-BN147)/BN147</f>
        <v>0.15674603174603166</v>
      </c>
      <c r="CI147" s="4">
        <f>(CA147-BO147)/BO147</f>
        <v>0.28186968838526921</v>
      </c>
      <c r="CJ147" s="4">
        <f>(CB147-BP147)/BP147</f>
        <v>-0.43678160919540227</v>
      </c>
      <c r="CK147" s="4">
        <f>(CC147-BQ147)/BQ147</f>
        <v>-0.80073800738007384</v>
      </c>
      <c r="CL147" s="4">
        <v>0.53300000000000003</v>
      </c>
      <c r="CM147" s="4">
        <v>0.51600000000000001</v>
      </c>
      <c r="CN147" s="4">
        <f>CL147/CM147</f>
        <v>1.0329457364341086</v>
      </c>
    </row>
    <row r="148" spans="1:92" x14ac:dyDescent="0.3">
      <c r="A148" s="11" t="s">
        <v>149</v>
      </c>
      <c r="B148" s="13">
        <v>189</v>
      </c>
      <c r="C148" s="13">
        <v>32</v>
      </c>
      <c r="D148" s="13">
        <v>6</v>
      </c>
      <c r="E148" s="13">
        <v>8</v>
      </c>
      <c r="F148" s="13">
        <v>8</v>
      </c>
      <c r="G148" s="3" t="s">
        <v>9</v>
      </c>
      <c r="H148" s="4">
        <v>12.75</v>
      </c>
      <c r="I148" s="4">
        <v>1.95</v>
      </c>
      <c r="J148" s="4">
        <v>13.79</v>
      </c>
      <c r="K148" s="4">
        <v>2.11</v>
      </c>
      <c r="L148" s="5">
        <f>(H148-I148)/(H148+I148)</f>
        <v>0.73469387755102045</v>
      </c>
      <c r="M148" s="5">
        <f>(J148-K148)/(J148+K148)</f>
        <v>0.73459119496855352</v>
      </c>
      <c r="N148" s="4">
        <v>0.4</v>
      </c>
      <c r="O148" s="4">
        <v>0.71199999999999997</v>
      </c>
      <c r="P148" s="4">
        <v>0.10199999999999999</v>
      </c>
      <c r="Q148" s="4">
        <v>0.09</v>
      </c>
      <c r="R148" s="4">
        <v>0.43</v>
      </c>
      <c r="S148" s="4">
        <v>0.63200000000000001</v>
      </c>
      <c r="T148" s="4">
        <v>0.13</v>
      </c>
      <c r="U148" s="4">
        <v>0.1</v>
      </c>
      <c r="V148" s="4">
        <v>0.63</v>
      </c>
      <c r="W148" s="4">
        <v>0.94699999999999995</v>
      </c>
      <c r="X148" s="4">
        <v>4.2999999999999997E-2</v>
      </c>
      <c r="Y148" s="4">
        <v>0.02</v>
      </c>
      <c r="Z148" s="4">
        <v>0.27700000000000002</v>
      </c>
      <c r="AA148" s="5">
        <f>(V148-N148)/N148</f>
        <v>0.57499999999999996</v>
      </c>
      <c r="AB148" s="5">
        <f>(W148-O148)/O148</f>
        <v>0.3300561797752809</v>
      </c>
      <c r="AC148" s="5">
        <f>(X148-P148)/P148</f>
        <v>-0.57843137254901966</v>
      </c>
      <c r="AD148" s="5">
        <f>(Y148-Q148)/Q148</f>
        <v>-0.77777777777777768</v>
      </c>
      <c r="AE148" s="4">
        <v>0.68</v>
      </c>
      <c r="AF148" s="4">
        <v>0.83899999999999997</v>
      </c>
      <c r="AG148" s="4">
        <v>8.5000000000000006E-2</v>
      </c>
      <c r="AH148" s="4">
        <v>0.02</v>
      </c>
      <c r="AI148" s="4">
        <v>0.27400000000000002</v>
      </c>
      <c r="AJ148" s="5">
        <f>(AE148-R148)/R148</f>
        <v>0.58139534883720945</v>
      </c>
      <c r="AK148" s="5">
        <f>(AF148-S148)/S148</f>
        <v>0.32753164556962017</v>
      </c>
      <c r="AL148" s="5">
        <f>(AG148-T148)/T148</f>
        <v>-0.34615384615384615</v>
      </c>
      <c r="AM148" s="5">
        <f>(AH148-U148)/U148</f>
        <v>-0.79999999999999993</v>
      </c>
      <c r="AN148" s="7">
        <v>0.51700000000000002</v>
      </c>
      <c r="AO148" s="7">
        <v>0.85899999999999999</v>
      </c>
      <c r="AP148" s="7">
        <v>0.11700000000000001</v>
      </c>
      <c r="AQ148" s="7">
        <v>9.7000000000000003E-2</v>
      </c>
      <c r="AR148" s="4">
        <v>0.44900000000000001</v>
      </c>
      <c r="AS148" s="4">
        <v>0.70899999999999996</v>
      </c>
      <c r="AT148" s="4">
        <v>0.1</v>
      </c>
      <c r="AU148" s="4">
        <v>8.7999999999999995E-2</v>
      </c>
      <c r="AV148" s="7">
        <v>0.66900000000000004</v>
      </c>
      <c r="AW148" s="7">
        <v>0.95499999999999996</v>
      </c>
      <c r="AX148" s="7">
        <v>6.6000000000000003E-2</v>
      </c>
      <c r="AY148" s="7">
        <v>5.8999999999999997E-2</v>
      </c>
      <c r="AZ148" s="7">
        <v>0.60399999999999998</v>
      </c>
      <c r="BA148" s="8">
        <f>(AV148-AN148)/AN148</f>
        <v>0.29400386847195359</v>
      </c>
      <c r="BB148" s="8">
        <f>(AW148-AO148)/AO148</f>
        <v>0.11175785797438879</v>
      </c>
      <c r="BC148" s="8">
        <f>(AX148-AP148)/AP148</f>
        <v>-0.4358974358974359</v>
      </c>
      <c r="BD148" s="8">
        <f>(AY148-AQ148)/AQ148</f>
        <v>-0.39175257731958768</v>
      </c>
      <c r="BE148" s="4">
        <v>0.60499999999999998</v>
      </c>
      <c r="BF148" s="4">
        <v>0.89100000000000001</v>
      </c>
      <c r="BG148" s="4">
        <v>6.0999999999999999E-2</v>
      </c>
      <c r="BH148" s="4">
        <v>6.5000000000000002E-2</v>
      </c>
      <c r="BI148" s="4">
        <v>0.60899999999999999</v>
      </c>
      <c r="BJ148" s="5">
        <f>(BE148-AN148)/AN148</f>
        <v>0.17021276595744675</v>
      </c>
      <c r="BK148" s="5">
        <f>(BF148-AO148)/AO148</f>
        <v>3.7252619324796309E-2</v>
      </c>
      <c r="BL148" s="5">
        <f>(BG148-AP148)/AP148</f>
        <v>-0.47863247863247865</v>
      </c>
      <c r="BM148" s="5">
        <f>(BH148-AQ148)/AQ148</f>
        <v>-0.32989690721649484</v>
      </c>
      <c r="BN148" s="4">
        <v>0.58499999999999996</v>
      </c>
      <c r="BO148" s="4">
        <v>0.63200000000000001</v>
      </c>
      <c r="BP148" s="4">
        <v>0.113</v>
      </c>
      <c r="BQ148" s="4">
        <v>0.35</v>
      </c>
      <c r="BR148" s="5">
        <f>(BN148-AR148)/AR148</f>
        <v>0.30289532293986626</v>
      </c>
      <c r="BS148" s="5">
        <f>(BO148-AS148)/AS148</f>
        <v>-0.10860366713681235</v>
      </c>
      <c r="BT148" s="5">
        <f>(BP148-AT148)/AT148</f>
        <v>0.12999999999999998</v>
      </c>
      <c r="BU148" s="5">
        <f>(BQ148-AU148)/AU148</f>
        <v>2.9772727272727275</v>
      </c>
      <c r="BV148" s="4">
        <f>(BN148-BE148)/BE148</f>
        <v>-3.305785123966945E-2</v>
      </c>
      <c r="BW148" s="4">
        <f>(BO148-BF148)/BF148</f>
        <v>-0.29068462401795736</v>
      </c>
      <c r="BX148" s="4">
        <f>(BP148-BG148)/BG148</f>
        <v>0.85245901639344268</v>
      </c>
      <c r="BY148" s="4">
        <f>(BQ148-BH148)/BH148</f>
        <v>4.3846153846153841</v>
      </c>
      <c r="BZ148" s="4">
        <v>0.59199999999999997</v>
      </c>
      <c r="CA148" s="4">
        <v>0.88100000000000001</v>
      </c>
      <c r="CB148" s="4">
        <v>6.4000000000000001E-2</v>
      </c>
      <c r="CC148" s="4">
        <v>6.5000000000000002E-2</v>
      </c>
      <c r="CD148" s="4">
        <f>(BZ148-AR148)/AR148</f>
        <v>0.31848552338530056</v>
      </c>
      <c r="CE148" s="4">
        <f>(CA148-AS148)/AS148</f>
        <v>0.24259520451339922</v>
      </c>
      <c r="CF148" s="4">
        <f>(CB148-AT148)/AT148</f>
        <v>-0.36000000000000004</v>
      </c>
      <c r="CG148" s="4">
        <f>(CC148-AU148)/AU148</f>
        <v>-0.2613636363636363</v>
      </c>
      <c r="CH148" s="4">
        <f>(BZ148-BN148)/BN148</f>
        <v>1.1965811965811977E-2</v>
      </c>
      <c r="CI148" s="4">
        <f>(CA148-BO148)/BO148</f>
        <v>0.39398734177215189</v>
      </c>
      <c r="CJ148" s="4">
        <f>(CB148-BP148)/BP148</f>
        <v>-0.4336283185840708</v>
      </c>
      <c r="CK148" s="4">
        <f>(CC148-BQ148)/BQ148</f>
        <v>-0.81428571428571428</v>
      </c>
      <c r="CL148" s="4">
        <v>0.64900000000000002</v>
      </c>
      <c r="CM148" s="4">
        <v>0.39700000000000002</v>
      </c>
      <c r="CN148" s="4">
        <f>CL148/CM148</f>
        <v>1.6347607052896724</v>
      </c>
    </row>
    <row r="149" spans="1:92" x14ac:dyDescent="0.3">
      <c r="A149" s="11" t="s">
        <v>150</v>
      </c>
      <c r="B149" s="13">
        <v>229</v>
      </c>
      <c r="C149" s="13">
        <v>37</v>
      </c>
      <c r="D149" s="13">
        <v>6</v>
      </c>
      <c r="E149" s="13">
        <v>8</v>
      </c>
      <c r="F149" s="13">
        <v>8</v>
      </c>
      <c r="G149" s="3" t="s">
        <v>9</v>
      </c>
      <c r="H149" s="4">
        <v>7.6</v>
      </c>
      <c r="I149" s="4">
        <v>2.86</v>
      </c>
      <c r="J149" s="4">
        <v>8.42</v>
      </c>
      <c r="K149" s="4">
        <v>3.26</v>
      </c>
      <c r="L149" s="5">
        <f>(H149-I149)/(H149+I149)</f>
        <v>0.45315487571701729</v>
      </c>
      <c r="M149" s="5">
        <f>(J149-K149)/(J149+K149)</f>
        <v>0.44178082191780826</v>
      </c>
      <c r="N149" s="4">
        <v>0.21</v>
      </c>
      <c r="O149" s="4">
        <v>0.38200000000000001</v>
      </c>
      <c r="P149" s="4">
        <v>0.11600000000000001</v>
      </c>
      <c r="Q149" s="4">
        <v>0.13</v>
      </c>
      <c r="R149" s="4">
        <v>0.23</v>
      </c>
      <c r="S149" s="4">
        <v>0.32200000000000001</v>
      </c>
      <c r="T149" s="4">
        <v>0.14099999999999999</v>
      </c>
      <c r="U149" s="4">
        <v>0.14000000000000001</v>
      </c>
      <c r="V149" s="4">
        <v>0.52</v>
      </c>
      <c r="W149" s="4">
        <v>0.82</v>
      </c>
      <c r="X149" s="4">
        <v>6.2E-2</v>
      </c>
      <c r="Y149" s="4">
        <v>0.04</v>
      </c>
      <c r="Z149" s="4">
        <v>0.17100000000000001</v>
      </c>
      <c r="AA149" s="5">
        <f>(V149-N149)/N149</f>
        <v>1.4761904761904765</v>
      </c>
      <c r="AB149" s="5">
        <f>(W149-O149)/O149</f>
        <v>1.1465968586387434</v>
      </c>
      <c r="AC149" s="5">
        <f>(X149-P149)/P149</f>
        <v>-0.46551724137931039</v>
      </c>
      <c r="AD149" s="5">
        <f>(Y149-Q149)/Q149</f>
        <v>-0.69230769230769229</v>
      </c>
      <c r="AE149" s="4">
        <v>0.56999999999999995</v>
      </c>
      <c r="AF149" s="4">
        <v>0.69699999999999995</v>
      </c>
      <c r="AG149" s="4">
        <v>9.2999999999999999E-2</v>
      </c>
      <c r="AH149" s="4">
        <v>0.04</v>
      </c>
      <c r="AI149" s="4">
        <v>0.184</v>
      </c>
      <c r="AJ149" s="5">
        <f>(AE149-R149)/R149</f>
        <v>1.4782608695652173</v>
      </c>
      <c r="AK149" s="5">
        <f>(AF149-S149)/S149</f>
        <v>1.1645962732919253</v>
      </c>
      <c r="AL149" s="5">
        <f>(AG149-T149)/T149</f>
        <v>-0.34042553191489355</v>
      </c>
      <c r="AM149" s="5">
        <f>(AH149-U149)/U149</f>
        <v>-0.7142857142857143</v>
      </c>
      <c r="AN149" s="7">
        <v>0.30199999999999999</v>
      </c>
      <c r="AO149" s="7">
        <v>0.38900000000000001</v>
      </c>
      <c r="AP149" s="7">
        <v>0.152</v>
      </c>
      <c r="AQ149" s="7">
        <v>0.14599999999999999</v>
      </c>
      <c r="AR149" s="4">
        <v>0.246</v>
      </c>
      <c r="AS149" s="4">
        <v>0.373</v>
      </c>
      <c r="AT149" s="4">
        <v>0.114</v>
      </c>
      <c r="AU149" s="4">
        <v>0.125</v>
      </c>
      <c r="AV149" s="7">
        <v>0.57099999999999995</v>
      </c>
      <c r="AW149" s="7">
        <v>0.88300000000000001</v>
      </c>
      <c r="AX149" s="7">
        <v>6.7000000000000004E-2</v>
      </c>
      <c r="AY149" s="7">
        <v>0.08</v>
      </c>
      <c r="AZ149" s="7">
        <v>0.34499999999999997</v>
      </c>
      <c r="BA149" s="8">
        <f>(AV149-AN149)/AN149</f>
        <v>0.89072847682119194</v>
      </c>
      <c r="BB149" s="8">
        <f>(AW149-AO149)/AO149</f>
        <v>1.2699228791773778</v>
      </c>
      <c r="BC149" s="8">
        <f>(AX149-AP149)/AP149</f>
        <v>-0.55921052631578949</v>
      </c>
      <c r="BD149" s="8">
        <f>(AY149-AQ149)/AQ149</f>
        <v>-0.45205479452054792</v>
      </c>
      <c r="BE149" s="4">
        <v>0.48299999999999998</v>
      </c>
      <c r="BF149" s="4">
        <v>0.79</v>
      </c>
      <c r="BG149" s="4">
        <v>6.6000000000000003E-2</v>
      </c>
      <c r="BH149" s="4">
        <v>7.4999999999999997E-2</v>
      </c>
      <c r="BI149" s="4">
        <v>0.33300000000000002</v>
      </c>
      <c r="BJ149" s="5">
        <f>(BE149-AN149)/AN149</f>
        <v>0.59933774834437081</v>
      </c>
      <c r="BK149" s="5">
        <f>(BF149-AO149)/AO149</f>
        <v>1.0308483290488433</v>
      </c>
      <c r="BL149" s="5">
        <f>(BG149-AP149)/AP149</f>
        <v>-0.56578947368421051</v>
      </c>
      <c r="BM149" s="5">
        <f>(BH149-AQ149)/AQ149</f>
        <v>-0.4863013698630137</v>
      </c>
      <c r="BN149" s="4">
        <v>0.49</v>
      </c>
      <c r="BO149" s="4">
        <v>0.67300000000000004</v>
      </c>
      <c r="BP149" s="4">
        <v>8.2000000000000003E-2</v>
      </c>
      <c r="BQ149" s="4">
        <v>0.183</v>
      </c>
      <c r="BR149" s="5">
        <f>(BN149-AR149)/AR149</f>
        <v>0.99186991869918695</v>
      </c>
      <c r="BS149" s="5">
        <f>(BO149-AS149)/AS149</f>
        <v>0.80428954423592502</v>
      </c>
      <c r="BT149" s="5">
        <f>(BP149-AT149)/AT149</f>
        <v>-0.2807017543859649</v>
      </c>
      <c r="BU149" s="5">
        <f>(BQ149-AU149)/AU149</f>
        <v>0.46399999999999997</v>
      </c>
      <c r="BV149" s="4">
        <f>(BN149-BE149)/BE149</f>
        <v>1.449275362318842E-2</v>
      </c>
      <c r="BW149" s="4">
        <f>(BO149-BF149)/BF149</f>
        <v>-0.14810126582278479</v>
      </c>
      <c r="BX149" s="4">
        <f>(BP149-BG149)/BG149</f>
        <v>0.24242424242424243</v>
      </c>
      <c r="BY149" s="4">
        <f>(BQ149-BH149)/BH149</f>
        <v>1.44</v>
      </c>
      <c r="BZ149" s="4">
        <v>0.504</v>
      </c>
      <c r="CA149" s="4">
        <v>0.80800000000000005</v>
      </c>
      <c r="CB149" s="4">
        <v>6.3E-2</v>
      </c>
      <c r="CC149" s="4">
        <v>7.2999999999999995E-2</v>
      </c>
      <c r="CD149" s="4">
        <f>(BZ149-AR149)/AR149</f>
        <v>1.0487804878048781</v>
      </c>
      <c r="CE149" s="4">
        <f>(CA149-AS149)/AS149</f>
        <v>1.1662198391420913</v>
      </c>
      <c r="CF149" s="4">
        <f>(CB149-AT149)/AT149</f>
        <v>-0.44736842105263158</v>
      </c>
      <c r="CG149" s="4">
        <f>(CC149-AU149)/AU149</f>
        <v>-0.41600000000000004</v>
      </c>
      <c r="CH149" s="4">
        <f>(BZ149-BN149)/BN149</f>
        <v>2.8571428571428598E-2</v>
      </c>
      <c r="CI149" s="4">
        <f>(CA149-BO149)/BO149</f>
        <v>0.20059435364041606</v>
      </c>
      <c r="CJ149" s="4">
        <f>(CB149-BP149)/BP149</f>
        <v>-0.23170731707317077</v>
      </c>
      <c r="CK149" s="4">
        <f>(CC149-BQ149)/BQ149</f>
        <v>-0.60109289617486339</v>
      </c>
      <c r="CL149" s="4">
        <v>0.38200000000000001</v>
      </c>
      <c r="CM149" s="4">
        <v>0.59799999999999998</v>
      </c>
      <c r="CN149" s="4">
        <f>CL149/CM149</f>
        <v>0.6387959866220736</v>
      </c>
    </row>
    <row r="150" spans="1:92" x14ac:dyDescent="0.3">
      <c r="A150" s="11" t="s">
        <v>151</v>
      </c>
      <c r="B150" s="13">
        <v>213</v>
      </c>
      <c r="C150" s="13">
        <v>20</v>
      </c>
      <c r="D150" s="13">
        <v>5</v>
      </c>
      <c r="E150" s="13">
        <v>1</v>
      </c>
      <c r="F150" s="13">
        <v>2</v>
      </c>
      <c r="G150" s="3" t="s">
        <v>43</v>
      </c>
      <c r="H150" s="4">
        <v>4.67</v>
      </c>
      <c r="I150" s="4">
        <v>1.83</v>
      </c>
      <c r="J150" s="4">
        <v>5.98</v>
      </c>
      <c r="K150" s="4">
        <v>2.33</v>
      </c>
      <c r="L150" s="5">
        <f>(H150-I150)/(H150+I150)</f>
        <v>0.43692307692307691</v>
      </c>
      <c r="M150" s="5">
        <f>(J150-K150)/(J150+K150)</f>
        <v>0.43922984356197353</v>
      </c>
      <c r="N150" s="4">
        <v>0.23</v>
      </c>
      <c r="O150" s="4">
        <v>0.60699999999999998</v>
      </c>
      <c r="P150" s="4">
        <v>0.106</v>
      </c>
      <c r="Q150" s="4">
        <v>0.12</v>
      </c>
      <c r="R150" s="4">
        <v>0.3</v>
      </c>
      <c r="S150" s="4">
        <v>0.47</v>
      </c>
      <c r="T150" s="4">
        <v>0.16600000000000001</v>
      </c>
      <c r="U150" s="4">
        <v>0.15</v>
      </c>
      <c r="V150" s="4">
        <v>0.34</v>
      </c>
      <c r="W150" s="4">
        <v>0.80900000000000005</v>
      </c>
      <c r="X150" s="4">
        <v>7.2999999999999995E-2</v>
      </c>
      <c r="Y150" s="4">
        <v>0.06</v>
      </c>
      <c r="Z150" s="4">
        <v>0.26</v>
      </c>
      <c r="AA150" s="5">
        <f>(V150-N150)/N150</f>
        <v>0.47826086956521741</v>
      </c>
      <c r="AB150" s="5">
        <f>(W150-O150)/O150</f>
        <v>0.33278418451400343</v>
      </c>
      <c r="AC150" s="5">
        <f>(X150-P150)/P150</f>
        <v>-0.31132075471698117</v>
      </c>
      <c r="AD150" s="5">
        <f>(Y150-Q150)/Q150</f>
        <v>-0.5</v>
      </c>
      <c r="AE150" s="4">
        <v>0.43</v>
      </c>
      <c r="AF150" s="4">
        <v>0.64300000000000002</v>
      </c>
      <c r="AG150" s="4">
        <v>0.13600000000000001</v>
      </c>
      <c r="AH150" s="4">
        <v>0.08</v>
      </c>
      <c r="AI150" s="4">
        <v>0.28000000000000003</v>
      </c>
      <c r="AJ150" s="5">
        <f>(AE150-R150)/R150</f>
        <v>0.43333333333333335</v>
      </c>
      <c r="AK150" s="5">
        <f>(AF150-S150)/S150</f>
        <v>0.36808510638297881</v>
      </c>
      <c r="AL150" s="5">
        <f>(AG150-T150)/T150</f>
        <v>-0.18072289156626503</v>
      </c>
      <c r="AM150" s="5">
        <f>(AH150-U150)/U150</f>
        <v>-0.46666666666666662</v>
      </c>
      <c r="AN150" s="4">
        <v>0.378</v>
      </c>
      <c r="AO150" s="4">
        <v>0.72299999999999998</v>
      </c>
      <c r="AP150" s="4">
        <v>0.14199999999999999</v>
      </c>
      <c r="AQ150" s="4">
        <v>0.14399999999999999</v>
      </c>
      <c r="AR150" s="4">
        <v>0.20799999999999999</v>
      </c>
      <c r="AS150" s="4">
        <v>0.59599999999999997</v>
      </c>
      <c r="AT150" s="4">
        <v>0.106</v>
      </c>
      <c r="AU150" s="4">
        <v>0.113</v>
      </c>
      <c r="AV150" s="4">
        <v>0.44600000000000001</v>
      </c>
      <c r="AW150" s="4">
        <v>0.876</v>
      </c>
      <c r="AX150" s="4">
        <v>9.5000000000000001E-2</v>
      </c>
      <c r="AY150" s="4">
        <v>0.109</v>
      </c>
      <c r="AZ150" s="4">
        <v>0.433</v>
      </c>
      <c r="BA150" s="6">
        <f>(AV150-AN150)/AN150</f>
        <v>0.17989417989417991</v>
      </c>
      <c r="BB150" s="6">
        <f>(AW150-AO150)/AO150</f>
        <v>0.21161825726141084</v>
      </c>
      <c r="BC150" s="6">
        <f>(AX150-AP150)/AP150</f>
        <v>-0.33098591549295769</v>
      </c>
      <c r="BD150" s="6">
        <f>(AY150-AQ150)/AQ150</f>
        <v>-0.2430555555555555</v>
      </c>
      <c r="BE150" s="4">
        <v>0.34399999999999997</v>
      </c>
      <c r="BF150" s="4">
        <v>0.77700000000000002</v>
      </c>
      <c r="BG150" s="4">
        <v>7.9000000000000001E-2</v>
      </c>
      <c r="BH150" s="4">
        <v>8.4000000000000005E-2</v>
      </c>
      <c r="BI150" s="4">
        <v>0.41699999999999998</v>
      </c>
      <c r="BJ150" s="5">
        <f>(BE150-AN150)/AN150</f>
        <v>-8.9947089947090025E-2</v>
      </c>
      <c r="BK150" s="5">
        <f>(BF150-AO150)/AO150</f>
        <v>7.4688796680497993E-2</v>
      </c>
      <c r="BL150" s="5">
        <f>(BG150-AP150)/AP150</f>
        <v>-0.44366197183098588</v>
      </c>
      <c r="BM150" s="5">
        <f>(BH150-AQ150)/AQ150</f>
        <v>-0.41666666666666657</v>
      </c>
      <c r="BN150" s="4">
        <v>0.36799999999999999</v>
      </c>
      <c r="BO150" s="4">
        <v>0.75900000000000001</v>
      </c>
      <c r="BP150" s="4">
        <v>8.2000000000000003E-2</v>
      </c>
      <c r="BQ150" s="4">
        <v>0.113</v>
      </c>
      <c r="BR150" s="5">
        <f>(BN150-AR150)/AR150</f>
        <v>0.76923076923076927</v>
      </c>
      <c r="BS150" s="5">
        <f>(BO150-AS150)/AS150</f>
        <v>0.27348993288590612</v>
      </c>
      <c r="BT150" s="5">
        <f>(BP150-AT150)/AT150</f>
        <v>-0.22641509433962259</v>
      </c>
      <c r="BU150" s="5">
        <f>(BQ150-AU150)/AU150</f>
        <v>0</v>
      </c>
      <c r="BV150" s="4">
        <f>(BN150-BE150)/BE150</f>
        <v>6.9767441860465185E-2</v>
      </c>
      <c r="BW150" s="4">
        <f>(BO150-BF150)/BF150</f>
        <v>-2.3166023166023186E-2</v>
      </c>
      <c r="BX150" s="4">
        <f>(BP150-BG150)/BG150</f>
        <v>3.7974683544303833E-2</v>
      </c>
      <c r="BY150" s="4">
        <f>(BQ150-BH150)/BH150</f>
        <v>0.34523809523809518</v>
      </c>
      <c r="BZ150" s="4">
        <v>0.39700000000000002</v>
      </c>
      <c r="CA150" s="4">
        <v>0.88500000000000001</v>
      </c>
      <c r="CB150" s="4">
        <v>5.6000000000000001E-2</v>
      </c>
      <c r="CC150" s="4">
        <v>5.8000000000000003E-2</v>
      </c>
      <c r="CD150" s="4">
        <f>(BZ150-AR150)/AR150</f>
        <v>0.90865384615384637</v>
      </c>
      <c r="CE150" s="4">
        <f>(CA150-AS150)/AS150</f>
        <v>0.48489932885906051</v>
      </c>
      <c r="CF150" s="4">
        <f>(CB150-AT150)/AT150</f>
        <v>-0.47169811320754712</v>
      </c>
      <c r="CG150" s="4">
        <f>(CC150-AU150)/AU150</f>
        <v>-0.48672566371681414</v>
      </c>
      <c r="CH150" s="4">
        <f>(BZ150-BN150)/BN150</f>
        <v>7.8804347826087029E-2</v>
      </c>
      <c r="CI150" s="4">
        <f>(CA150-BO150)/BO150</f>
        <v>0.16600790513833993</v>
      </c>
      <c r="CJ150" s="4">
        <f>(CB150-BP150)/BP150</f>
        <v>-0.31707317073170732</v>
      </c>
      <c r="CK150" s="4">
        <f>(CC150-BQ150)/BQ150</f>
        <v>-0.48672566371681414</v>
      </c>
      <c r="CL150" s="4">
        <v>0.35799999999999998</v>
      </c>
      <c r="CM150" s="4">
        <v>0.627</v>
      </c>
      <c r="CN150" s="4">
        <f>CL150/CM150</f>
        <v>0.57097288676236047</v>
      </c>
    </row>
    <row r="151" spans="1:92" x14ac:dyDescent="0.3">
      <c r="A151" s="11" t="s">
        <v>152</v>
      </c>
      <c r="B151" s="13">
        <v>817</v>
      </c>
      <c r="C151" s="13">
        <v>20</v>
      </c>
      <c r="D151" s="13">
        <v>7</v>
      </c>
      <c r="E151" s="13">
        <v>1</v>
      </c>
      <c r="F151" s="13">
        <v>2</v>
      </c>
      <c r="G151" s="3" t="s">
        <v>43</v>
      </c>
      <c r="H151" s="4">
        <v>13.09</v>
      </c>
      <c r="I151" s="4">
        <v>0.57999999999999996</v>
      </c>
      <c r="J151" s="4">
        <v>14.39</v>
      </c>
      <c r="K151" s="4">
        <v>0.53</v>
      </c>
      <c r="L151" s="5">
        <f>(H151-I151)/(H151+I151)</f>
        <v>0.91514264813460133</v>
      </c>
      <c r="M151" s="5">
        <f>(J151-K151)/(J151+K151)</f>
        <v>0.92895442359249336</v>
      </c>
      <c r="N151" s="4">
        <v>0.65</v>
      </c>
      <c r="O151" s="4">
        <v>0.874</v>
      </c>
      <c r="P151" s="4">
        <v>0.11600000000000001</v>
      </c>
      <c r="Q151" s="4">
        <v>0.04</v>
      </c>
      <c r="R151" s="4">
        <v>0.72</v>
      </c>
      <c r="S151" s="4">
        <v>0.872</v>
      </c>
      <c r="T151" s="4">
        <v>0.129</v>
      </c>
      <c r="U151" s="4">
        <v>0.04</v>
      </c>
      <c r="V151" s="4">
        <v>0.69</v>
      </c>
      <c r="W151" s="4">
        <v>0.91700000000000004</v>
      </c>
      <c r="X151" s="4">
        <v>9.4E-2</v>
      </c>
      <c r="Y151" s="4">
        <v>0.03</v>
      </c>
      <c r="Z151" s="4">
        <v>0.28000000000000003</v>
      </c>
      <c r="AA151" s="5">
        <f>(V151-N151)/N151</f>
        <v>6.1538461538461417E-2</v>
      </c>
      <c r="AB151" s="5">
        <f>(W151-O151)/O151</f>
        <v>4.9199084668192263E-2</v>
      </c>
      <c r="AC151" s="5">
        <f>(X151-P151)/P151</f>
        <v>-0.18965517241379315</v>
      </c>
      <c r="AD151" s="5">
        <f>(Y151-Q151)/Q151</f>
        <v>-0.25000000000000006</v>
      </c>
      <c r="AE151" s="4">
        <v>0.75</v>
      </c>
      <c r="AF151" s="4">
        <v>0.91300000000000003</v>
      </c>
      <c r="AG151" s="4">
        <v>0.107</v>
      </c>
      <c r="AH151" s="4">
        <v>0.03</v>
      </c>
      <c r="AI151" s="4">
        <v>0.13</v>
      </c>
      <c r="AJ151" s="5">
        <f>(AE151-R151)/R151</f>
        <v>4.1666666666666706E-2</v>
      </c>
      <c r="AK151" s="5">
        <f>(AF151-S151)/S151</f>
        <v>4.7018348623853255E-2</v>
      </c>
      <c r="AL151" s="5">
        <f>(AG151-T151)/T151</f>
        <v>-0.17054263565891475</v>
      </c>
      <c r="AM151" s="5">
        <f>(AH151-U151)/U151</f>
        <v>-0.25000000000000006</v>
      </c>
      <c r="AN151" s="4">
        <v>0.73699999999999999</v>
      </c>
      <c r="AO151" s="4">
        <v>0.96699999999999997</v>
      </c>
      <c r="AP151" s="4">
        <v>0.113</v>
      </c>
      <c r="AQ151" s="4">
        <v>0.04</v>
      </c>
      <c r="AR151" s="4">
        <v>0.65400000000000003</v>
      </c>
      <c r="AS151" s="4">
        <v>0.877</v>
      </c>
      <c r="AT151" s="4">
        <v>8.7999999999999995E-2</v>
      </c>
      <c r="AU151" s="4">
        <v>4.2000000000000003E-2</v>
      </c>
      <c r="AV151" s="7">
        <v>0.65300000000000002</v>
      </c>
      <c r="AW151" s="7">
        <v>0.79700000000000004</v>
      </c>
      <c r="AX151" s="7">
        <v>7.0000000000000007E-2</v>
      </c>
      <c r="AY151" s="7">
        <v>0.04</v>
      </c>
      <c r="AZ151" s="7">
        <v>0.999</v>
      </c>
      <c r="BA151" s="8">
        <f>(AV151-AN151)/AN151</f>
        <v>-0.11397557666214378</v>
      </c>
      <c r="BB151" s="8">
        <f>(AW151-AO151)/AO151</f>
        <v>-0.17580144777662868</v>
      </c>
      <c r="BC151" s="8">
        <f>(AX151-AP151)/AP151</f>
        <v>-0.38053097345132741</v>
      </c>
      <c r="BD151" s="8">
        <f>(AY151-AQ151)/AQ151</f>
        <v>0</v>
      </c>
      <c r="BE151" s="7">
        <v>0.65</v>
      </c>
      <c r="BF151" s="7">
        <v>0.88</v>
      </c>
      <c r="BG151" s="7">
        <v>8.6999999999999994E-2</v>
      </c>
      <c r="BH151" s="7">
        <v>4.2000000000000003E-2</v>
      </c>
      <c r="BI151" s="7">
        <v>0.999</v>
      </c>
      <c r="BJ151" s="8">
        <f>(BE151-AN151)/AN151</f>
        <v>-0.11804613297150607</v>
      </c>
      <c r="BK151" s="8">
        <f>(BF151-AO151)/AO151</f>
        <v>-8.9968976215098209E-2</v>
      </c>
      <c r="BL151" s="8">
        <f>(BG151-AP151)/AP151</f>
        <v>-0.23008849557522132</v>
      </c>
      <c r="BM151" s="8">
        <f>(BH151-AQ151)/AQ151</f>
        <v>5.0000000000000044E-2</v>
      </c>
      <c r="BN151" s="4">
        <v>0.64600000000000002</v>
      </c>
      <c r="BO151" s="4">
        <v>0.72399999999999998</v>
      </c>
      <c r="BP151" s="4">
        <v>0.13200000000000001</v>
      </c>
      <c r="BQ151" s="4">
        <v>0.45500000000000002</v>
      </c>
      <c r="BR151" s="5">
        <f>(BN151-AR151)/AR151</f>
        <v>-1.2232415902140683E-2</v>
      </c>
      <c r="BS151" s="5">
        <f>(BO151-AS151)/AS151</f>
        <v>-0.17445838084378565</v>
      </c>
      <c r="BT151" s="5">
        <f>(BP151-AT151)/AT151</f>
        <v>0.50000000000000011</v>
      </c>
      <c r="BU151" s="5">
        <f>(BQ151-AU151)/AU151</f>
        <v>9.8333333333333339</v>
      </c>
      <c r="BV151" s="4">
        <f>(BN151-BE151)/BE151</f>
        <v>-6.153846153846159E-3</v>
      </c>
      <c r="BW151" s="4">
        <f>(BO151-BF151)/BF151</f>
        <v>-0.1772727272727273</v>
      </c>
      <c r="BX151" s="4">
        <f>(BP151-BG151)/BG151</f>
        <v>0.51724137931034497</v>
      </c>
      <c r="BY151" s="4">
        <f>(BQ151-BH151)/BH151</f>
        <v>9.8333333333333339</v>
      </c>
      <c r="BZ151" s="4">
        <v>0.7</v>
      </c>
      <c r="CA151" s="4">
        <v>0.88500000000000001</v>
      </c>
      <c r="CB151" s="4">
        <v>8.5000000000000006E-2</v>
      </c>
      <c r="CC151" s="4">
        <v>3.7999999999999999E-2</v>
      </c>
      <c r="CD151" s="4">
        <f>(BZ151-AR151)/AR151</f>
        <v>7.0336391437308757E-2</v>
      </c>
      <c r="CE151" s="4">
        <f>(CA151-AS151)/AS151</f>
        <v>9.1220068415051384E-3</v>
      </c>
      <c r="CF151" s="4">
        <f>(CB151-AT151)/AT151</f>
        <v>-3.4090909090908963E-2</v>
      </c>
      <c r="CG151" s="4">
        <f>(CC151-AU151)/AU151</f>
        <v>-9.5238095238095316E-2</v>
      </c>
      <c r="CH151" s="4">
        <f>(BZ151-BN151)/BN151</f>
        <v>8.3591331269349742E-2</v>
      </c>
      <c r="CI151" s="4">
        <f>(CA151-BO151)/BO151</f>
        <v>0.22237569060773485</v>
      </c>
      <c r="CJ151" s="4">
        <f>(CB151-BP151)/BP151</f>
        <v>-0.35606060606060602</v>
      </c>
      <c r="CK151" s="4">
        <f>(CC151-BQ151)/BQ151</f>
        <v>-0.91648351648351656</v>
      </c>
      <c r="CL151" s="4">
        <v>0.95499999999999996</v>
      </c>
      <c r="CM151" s="4">
        <v>4.4999999999999998E-2</v>
      </c>
      <c r="CN151" s="4">
        <f>CL151/CM151</f>
        <v>21.222222222222221</v>
      </c>
    </row>
    <row r="152" spans="1:92" x14ac:dyDescent="0.3">
      <c r="A152" s="11" t="s">
        <v>153</v>
      </c>
      <c r="B152" s="13">
        <v>19521</v>
      </c>
      <c r="C152" s="13">
        <v>20</v>
      </c>
      <c r="D152" s="13">
        <v>4</v>
      </c>
      <c r="E152" s="13">
        <v>1</v>
      </c>
      <c r="F152" s="13">
        <v>2</v>
      </c>
      <c r="G152" s="3" t="s">
        <v>43</v>
      </c>
      <c r="H152" s="4">
        <v>8.76</v>
      </c>
      <c r="I152" s="4">
        <v>0.69</v>
      </c>
      <c r="J152" s="4">
        <v>10.49</v>
      </c>
      <c r="K152" s="4">
        <v>0.69</v>
      </c>
      <c r="L152" s="5">
        <f>(H152-I152)/(H152+I152)</f>
        <v>0.85396825396825404</v>
      </c>
      <c r="M152" s="5">
        <f>(J152-K152)/(J152+K152)</f>
        <v>0.87656529516994641</v>
      </c>
      <c r="N152" s="4">
        <v>0.44</v>
      </c>
      <c r="O152" s="4">
        <v>0.80700000000000005</v>
      </c>
      <c r="P152" s="4">
        <v>0.106</v>
      </c>
      <c r="Q152" s="4">
        <v>0.06</v>
      </c>
      <c r="R152" s="4">
        <v>0.52</v>
      </c>
      <c r="S152" s="4">
        <v>0.875</v>
      </c>
      <c r="T152" s="4">
        <v>0.13300000000000001</v>
      </c>
      <c r="U152" s="4">
        <v>0.06</v>
      </c>
      <c r="V152" s="4">
        <v>0.48</v>
      </c>
      <c r="W152" s="4">
        <v>0.877</v>
      </c>
      <c r="X152" s="4">
        <v>8.5000000000000006E-2</v>
      </c>
      <c r="Y152" s="4">
        <v>0.04</v>
      </c>
      <c r="Z152" s="4">
        <v>0.71</v>
      </c>
      <c r="AA152" s="5">
        <f>(V152-N152)/N152</f>
        <v>9.090909090909087E-2</v>
      </c>
      <c r="AB152" s="5">
        <f>(W152-O152)/O152</f>
        <v>8.6741016109045777E-2</v>
      </c>
      <c r="AC152" s="5">
        <f>(X152-P152)/P152</f>
        <v>-0.19811320754716974</v>
      </c>
      <c r="AD152" s="5">
        <f>(Y152-Q152)/Q152</f>
        <v>-0.33333333333333331</v>
      </c>
      <c r="AE152" s="4">
        <v>0.56000000000000005</v>
      </c>
      <c r="AF152" s="4">
        <v>0.81200000000000006</v>
      </c>
      <c r="AG152" s="4">
        <v>0.125</v>
      </c>
      <c r="AH152" s="4">
        <v>0.05</v>
      </c>
      <c r="AI152" s="4">
        <v>0.73</v>
      </c>
      <c r="AJ152" s="5">
        <f>(AE152-R152)/R152</f>
        <v>7.6923076923076983E-2</v>
      </c>
      <c r="AK152" s="5">
        <f>(AF152-S152)/S152</f>
        <v>-7.1999999999999939E-2</v>
      </c>
      <c r="AL152" s="5">
        <f>(AG152-T152)/T152</f>
        <v>-6.0150375939849676E-2</v>
      </c>
      <c r="AM152" s="5">
        <f>(AH152-U152)/U152</f>
        <v>-0.1666666666666666</v>
      </c>
      <c r="AN152" s="4">
        <v>0.56100000000000005</v>
      </c>
      <c r="AO152" s="4">
        <v>0.93300000000000005</v>
      </c>
      <c r="AP152" s="4">
        <v>0.11600000000000001</v>
      </c>
      <c r="AQ152" s="4">
        <v>6.2E-2</v>
      </c>
      <c r="AR152" s="4">
        <v>0.46300000000000002</v>
      </c>
      <c r="AS152" s="4">
        <v>0.80100000000000005</v>
      </c>
      <c r="AT152" s="4">
        <v>9.7000000000000003E-2</v>
      </c>
      <c r="AU152" s="4">
        <v>5.5E-2</v>
      </c>
      <c r="AV152" s="4">
        <v>0.59899999999999998</v>
      </c>
      <c r="AW152" s="4">
        <v>0.95099999999999996</v>
      </c>
      <c r="AX152" s="4">
        <v>9.9000000000000005E-2</v>
      </c>
      <c r="AY152" s="4">
        <v>5.2999999999999999E-2</v>
      </c>
      <c r="AZ152" s="4">
        <v>0.875</v>
      </c>
      <c r="BA152" s="6">
        <f>(AV152-AN152)/AN152</f>
        <v>6.7736185383244066E-2</v>
      </c>
      <c r="BB152" s="6">
        <f>(AW152-AO152)/AO152</f>
        <v>1.9292604501607614E-2</v>
      </c>
      <c r="BC152" s="6">
        <f>(AX152-AP152)/AP152</f>
        <v>-0.14655172413793105</v>
      </c>
      <c r="BD152" s="6">
        <f>(AY152-AQ152)/AQ152</f>
        <v>-0.14516129032258066</v>
      </c>
      <c r="BE152" s="4">
        <v>0.49299999999999999</v>
      </c>
      <c r="BF152" s="4">
        <v>0.84599999999999997</v>
      </c>
      <c r="BG152" s="4">
        <v>8.5000000000000006E-2</v>
      </c>
      <c r="BH152" s="4">
        <v>5.0999999999999997E-2</v>
      </c>
      <c r="BI152" s="4">
        <v>0.85899999999999999</v>
      </c>
      <c r="BJ152" s="5">
        <f>(BE152-AN152)/AN152</f>
        <v>-0.12121212121212131</v>
      </c>
      <c r="BK152" s="5">
        <f>(BF152-AO152)/AO152</f>
        <v>-9.324758842443738E-2</v>
      </c>
      <c r="BL152" s="5">
        <f>(BG152-AP152)/AP152</f>
        <v>-0.26724137931034481</v>
      </c>
      <c r="BM152" s="5">
        <f>(BH152-AQ152)/AQ152</f>
        <v>-0.17741935483870971</v>
      </c>
      <c r="BN152" s="4">
        <v>0.48</v>
      </c>
      <c r="BO152" s="4">
        <v>0.748</v>
      </c>
      <c r="BP152" s="4">
        <v>0.109</v>
      </c>
      <c r="BQ152" s="4">
        <v>0.28699999999999998</v>
      </c>
      <c r="BR152" s="5">
        <f>(BN152-AR152)/AR152</f>
        <v>3.6717062634989112E-2</v>
      </c>
      <c r="BS152" s="5">
        <f>(BO152-AS152)/AS152</f>
        <v>-6.6167290886392061E-2</v>
      </c>
      <c r="BT152" s="5">
        <f>(BP152-AT152)/AT152</f>
        <v>0.12371134020618553</v>
      </c>
      <c r="BU152" s="5">
        <f>(BQ152-AU152)/AU152</f>
        <v>4.2181818181818178</v>
      </c>
      <c r="BV152" s="4">
        <f>(BN152-BE152)/BE152</f>
        <v>-2.6369168356997996E-2</v>
      </c>
      <c r="BW152" s="4">
        <f>(BO152-BF152)/BF152</f>
        <v>-0.11583924349881794</v>
      </c>
      <c r="BX152" s="4">
        <f>(BP152-BG152)/BG152</f>
        <v>0.28235294117647047</v>
      </c>
      <c r="BY152" s="4">
        <f>(BQ152-BH152)/BH152</f>
        <v>4.6274509803921573</v>
      </c>
      <c r="BZ152" s="4">
        <v>0.51300000000000001</v>
      </c>
      <c r="CA152" s="4">
        <v>0.90900000000000003</v>
      </c>
      <c r="CB152" s="4">
        <v>6.5000000000000002E-2</v>
      </c>
      <c r="CC152" s="4">
        <v>3.5999999999999997E-2</v>
      </c>
      <c r="CD152" s="4">
        <f>(BZ152-AR152)/AR152</f>
        <v>0.10799136069114468</v>
      </c>
      <c r="CE152" s="4">
        <f>(CA152-AS152)/AS152</f>
        <v>0.13483146067415727</v>
      </c>
      <c r="CF152" s="4">
        <f>(CB152-AT152)/AT152</f>
        <v>-0.32989690721649484</v>
      </c>
      <c r="CG152" s="4">
        <f>(CC152-AU152)/AU152</f>
        <v>-0.34545454545454551</v>
      </c>
      <c r="CH152" s="4">
        <f>(BZ152-BN152)/BN152</f>
        <v>6.8750000000000061E-2</v>
      </c>
      <c r="CI152" s="4">
        <f>(CA152-BO152)/BO152</f>
        <v>0.21524064171123</v>
      </c>
      <c r="CJ152" s="4">
        <f>(CB152-BP152)/BP152</f>
        <v>-0.40366972477064217</v>
      </c>
      <c r="CK152" s="4">
        <f>(CC152-BQ152)/BQ152</f>
        <v>-0.87456445993031362</v>
      </c>
      <c r="CL152" s="4">
        <v>0.80600000000000005</v>
      </c>
      <c r="CM152" s="4">
        <v>0.19500000000000001</v>
      </c>
      <c r="CN152" s="4">
        <f>CL152/CM152</f>
        <v>4.1333333333333337</v>
      </c>
    </row>
    <row r="153" spans="1:92" x14ac:dyDescent="0.3">
      <c r="A153" s="11" t="s">
        <v>154</v>
      </c>
      <c r="B153" s="13">
        <v>2431</v>
      </c>
      <c r="C153" s="13">
        <v>20</v>
      </c>
      <c r="D153" s="13">
        <v>4</v>
      </c>
      <c r="E153" s="13">
        <v>1</v>
      </c>
      <c r="F153" s="13">
        <v>2</v>
      </c>
      <c r="G153" s="3" t="s">
        <v>43</v>
      </c>
      <c r="H153" s="4">
        <v>7.19</v>
      </c>
      <c r="I153" s="4">
        <v>0.91</v>
      </c>
      <c r="J153" s="4">
        <v>8.65</v>
      </c>
      <c r="K153" s="4">
        <v>0.95</v>
      </c>
      <c r="L153" s="5">
        <f>(H153-I153)/(H153+I153)</f>
        <v>0.77530864197530869</v>
      </c>
      <c r="M153" s="5">
        <f>(J153-K153)/(J153+K153)</f>
        <v>0.80208333333333337</v>
      </c>
      <c r="N153" s="4">
        <v>0.36</v>
      </c>
      <c r="O153" s="4">
        <v>0.77300000000000002</v>
      </c>
      <c r="P153" s="4">
        <v>9.9000000000000005E-2</v>
      </c>
      <c r="Q153" s="4">
        <v>7.0000000000000007E-2</v>
      </c>
      <c r="R153" s="4">
        <v>0.43</v>
      </c>
      <c r="S153" s="4">
        <v>0.74299999999999999</v>
      </c>
      <c r="T153" s="4">
        <v>0.125</v>
      </c>
      <c r="U153" s="4">
        <v>7.0000000000000007E-2</v>
      </c>
      <c r="V153" s="4">
        <v>0.41</v>
      </c>
      <c r="W153" s="4">
        <v>0.84599999999999997</v>
      </c>
      <c r="X153" s="4">
        <v>8.2000000000000003E-2</v>
      </c>
      <c r="Y153" s="4">
        <v>0.05</v>
      </c>
      <c r="Z153" s="4">
        <v>0.73</v>
      </c>
      <c r="AA153" s="5">
        <f>(V153-N153)/N153</f>
        <v>0.13888888888888887</v>
      </c>
      <c r="AB153" s="5">
        <f>(W153-O153)/O153</f>
        <v>9.4437257438551039E-2</v>
      </c>
      <c r="AC153" s="5">
        <f>(X153-P153)/P153</f>
        <v>-0.17171717171717171</v>
      </c>
      <c r="AD153" s="5">
        <f>(Y153-Q153)/Q153</f>
        <v>-0.28571428571428575</v>
      </c>
      <c r="AE153" s="4">
        <v>0.49</v>
      </c>
      <c r="AF153" s="4">
        <v>0.80900000000000005</v>
      </c>
      <c r="AG153" s="4">
        <v>0.108</v>
      </c>
      <c r="AH153" s="4">
        <v>0.05</v>
      </c>
      <c r="AI153" s="4">
        <v>0.76</v>
      </c>
      <c r="AJ153" s="5">
        <f>(AE153-R153)/R153</f>
        <v>0.13953488372093023</v>
      </c>
      <c r="AK153" s="5">
        <f>(AF153-S153)/S153</f>
        <v>8.8829071332436144E-2</v>
      </c>
      <c r="AL153" s="5">
        <f>(AG153-T153)/T153</f>
        <v>-0.13600000000000001</v>
      </c>
      <c r="AM153" s="5">
        <f>(AH153-U153)/U153</f>
        <v>-0.28571428571428575</v>
      </c>
      <c r="AN153" s="4">
        <v>0.442</v>
      </c>
      <c r="AO153" s="4">
        <v>0.874</v>
      </c>
      <c r="AP153" s="4">
        <v>0.115</v>
      </c>
      <c r="AQ153" s="4">
        <v>7.8E-2</v>
      </c>
      <c r="AR153" s="4">
        <v>0.36899999999999999</v>
      </c>
      <c r="AS153" s="4">
        <v>0.77</v>
      </c>
      <c r="AT153" s="4">
        <v>9.1999999999999998E-2</v>
      </c>
      <c r="AU153" s="4">
        <v>6.4000000000000001E-2</v>
      </c>
      <c r="AV153" s="4">
        <v>0.49399999999999999</v>
      </c>
      <c r="AW153" s="4">
        <v>0.92700000000000005</v>
      </c>
      <c r="AX153" s="4">
        <v>8.7999999999999995E-2</v>
      </c>
      <c r="AY153" s="4">
        <v>5.8000000000000003E-2</v>
      </c>
      <c r="AZ153" s="4">
        <v>0.78300000000000003</v>
      </c>
      <c r="BA153" s="6">
        <f>(AV153-AN153)/AN153</f>
        <v>0.1176470588235294</v>
      </c>
      <c r="BB153" s="6">
        <f>(AW153-AO153)/AO153</f>
        <v>6.0640732265446279E-2</v>
      </c>
      <c r="BC153" s="6">
        <f>(AX153-AP153)/AP153</f>
        <v>-0.23478260869565226</v>
      </c>
      <c r="BD153" s="6">
        <f>(AY153-AQ153)/AQ153</f>
        <v>-0.25641025641025639</v>
      </c>
      <c r="BE153" s="4">
        <v>0.41699999999999998</v>
      </c>
      <c r="BF153" s="4">
        <v>0.85699999999999998</v>
      </c>
      <c r="BG153" s="4">
        <v>7.1999999999999995E-2</v>
      </c>
      <c r="BH153" s="4">
        <v>4.9000000000000002E-2</v>
      </c>
      <c r="BI153" s="4">
        <v>0.76700000000000002</v>
      </c>
      <c r="BJ153" s="5">
        <f>(BE153-AN153)/AN153</f>
        <v>-5.6561085972850728E-2</v>
      </c>
      <c r="BK153" s="5">
        <f>(BF153-AO153)/AO153</f>
        <v>-1.9450800915331825E-2</v>
      </c>
      <c r="BL153" s="5">
        <f>(BG153-AP153)/AP153</f>
        <v>-0.37391304347826093</v>
      </c>
      <c r="BM153" s="5">
        <f>(BH153-AQ153)/AQ153</f>
        <v>-0.37179487179487175</v>
      </c>
      <c r="BN153" s="4">
        <v>0.41799999999999998</v>
      </c>
      <c r="BO153" s="4">
        <v>0.77100000000000002</v>
      </c>
      <c r="BP153" s="4">
        <v>9.1999999999999998E-2</v>
      </c>
      <c r="BQ153" s="4">
        <v>0.222</v>
      </c>
      <c r="BR153" s="5">
        <f>(BN153-AR153)/AR153</f>
        <v>0.13279132791327911</v>
      </c>
      <c r="BS153" s="5">
        <f>(BO153-AS153)/AS153</f>
        <v>1.2987012987012998E-3</v>
      </c>
      <c r="BT153" s="5">
        <f>(BP153-AT153)/AT153</f>
        <v>0</v>
      </c>
      <c r="BU153" s="5">
        <f>(BQ153-AU153)/AU153</f>
        <v>2.46875</v>
      </c>
      <c r="BV153" s="4">
        <f>(BN153-BE153)/BE153</f>
        <v>2.3980815347721847E-3</v>
      </c>
      <c r="BW153" s="4">
        <f>(BO153-BF153)/BF153</f>
        <v>-0.10035005834305714</v>
      </c>
      <c r="BX153" s="4">
        <f>(BP153-BG153)/BG153</f>
        <v>0.27777777777777785</v>
      </c>
      <c r="BY153" s="4">
        <f>(BQ153-BH153)/BH153</f>
        <v>3.5306122448979589</v>
      </c>
      <c r="BZ153" s="4">
        <v>0.434</v>
      </c>
      <c r="CA153" s="4">
        <v>0.90800000000000003</v>
      </c>
      <c r="CB153" s="4">
        <v>5.8000000000000003E-2</v>
      </c>
      <c r="CC153" s="4">
        <v>0.04</v>
      </c>
      <c r="CD153" s="4">
        <f>(BZ153-AR153)/AR153</f>
        <v>0.17615176151761519</v>
      </c>
      <c r="CE153" s="4">
        <f>(CA153-AS153)/AS153</f>
        <v>0.17922077922077922</v>
      </c>
      <c r="CF153" s="4">
        <f>(CB153-AT153)/AT153</f>
        <v>-0.36956521739130432</v>
      </c>
      <c r="CG153" s="4">
        <f>(CC153-AU153)/AU153</f>
        <v>-0.375</v>
      </c>
      <c r="CH153" s="4">
        <f>(BZ153-BN153)/BN153</f>
        <v>3.8277511961722521E-2</v>
      </c>
      <c r="CI153" s="4">
        <f>(CA153-BO153)/BO153</f>
        <v>0.17769130998702984</v>
      </c>
      <c r="CJ153" s="4">
        <f>(CB153-BP153)/BP153</f>
        <v>-0.36956521739130432</v>
      </c>
      <c r="CK153" s="4">
        <f>(CC153-BQ153)/BQ153</f>
        <v>-0.81981981981981977</v>
      </c>
      <c r="CL153" s="4">
        <v>0.71799999999999997</v>
      </c>
      <c r="CM153" s="4">
        <v>0.28199999999999997</v>
      </c>
      <c r="CN153" s="4">
        <f>CL153/CM153</f>
        <v>2.5460992907801421</v>
      </c>
    </row>
    <row r="154" spans="1:92" x14ac:dyDescent="0.3">
      <c r="A154" s="5" t="s">
        <v>155</v>
      </c>
      <c r="B154" s="13">
        <v>319</v>
      </c>
      <c r="C154" s="13">
        <v>90</v>
      </c>
      <c r="D154" s="13">
        <v>5</v>
      </c>
      <c r="E154" s="13">
        <v>1</v>
      </c>
      <c r="F154" s="12">
        <v>2</v>
      </c>
      <c r="G154" s="12" t="s">
        <v>43</v>
      </c>
      <c r="H154" s="4">
        <v>52.96</v>
      </c>
      <c r="I154" s="4">
        <v>3.61</v>
      </c>
      <c r="J154" s="7">
        <v>59.49</v>
      </c>
      <c r="K154" s="7">
        <v>3.25</v>
      </c>
      <c r="L154" s="5">
        <f>(H154-I154)/(H154+I154)</f>
        <v>0.87237051440692948</v>
      </c>
      <c r="M154" s="5">
        <f>(J154-K154)/(J154+K154)</f>
        <v>0.89639783232387626</v>
      </c>
      <c r="N154" s="4">
        <v>0.59</v>
      </c>
      <c r="O154" s="4">
        <v>0.77200000000000002</v>
      </c>
      <c r="P154" s="4">
        <v>7.1999999999999995E-2</v>
      </c>
      <c r="Q154" s="4">
        <v>0.06</v>
      </c>
      <c r="R154" s="7">
        <v>0.66</v>
      </c>
      <c r="S154" s="7">
        <v>0.36599999999999999</v>
      </c>
      <c r="T154" s="7">
        <v>0.193</v>
      </c>
      <c r="U154" s="7">
        <v>0.05</v>
      </c>
      <c r="V154" s="4">
        <v>0.63</v>
      </c>
      <c r="W154" s="4">
        <v>0.83199999999999996</v>
      </c>
      <c r="X154" s="4">
        <v>6.2E-2</v>
      </c>
      <c r="Y154" s="4">
        <v>0.04</v>
      </c>
      <c r="Z154" s="4">
        <v>0.68</v>
      </c>
      <c r="AA154" s="5">
        <f>(V154-N154)/N154</f>
        <v>6.7796610169491595E-2</v>
      </c>
      <c r="AB154" s="5">
        <f>(W154-O154)/O154</f>
        <v>7.772020725388594E-2</v>
      </c>
      <c r="AC154" s="5">
        <f>(X154-P154)/P154</f>
        <v>-0.13888888888888884</v>
      </c>
      <c r="AD154" s="5">
        <f>(Y154-Q154)/Q154</f>
        <v>-0.33333333333333331</v>
      </c>
      <c r="AE154" s="4">
        <v>0.7</v>
      </c>
      <c r="AF154" s="4">
        <v>0.378</v>
      </c>
      <c r="AG154" s="4">
        <v>0.191</v>
      </c>
      <c r="AH154" s="4">
        <v>0.04</v>
      </c>
      <c r="AI154" s="4">
        <v>0.56000000000000005</v>
      </c>
      <c r="AJ154" s="5">
        <f>(AE154-R154)/R154</f>
        <v>6.060606060606049E-2</v>
      </c>
      <c r="AK154" s="5">
        <f>(AF154-S154)/S154</f>
        <v>3.2786885245901669E-2</v>
      </c>
      <c r="AL154" s="5">
        <f>(AG154-T154)/T154</f>
        <v>-1.0362694300518144E-2</v>
      </c>
      <c r="AM154" s="5">
        <f>(AH154-U154)/U154</f>
        <v>-0.20000000000000004</v>
      </c>
      <c r="AN154" s="7">
        <v>0.71399999999999997</v>
      </c>
      <c r="AO154" s="7">
        <v>0.96699999999999997</v>
      </c>
      <c r="AP154" s="7">
        <v>5.3999999999999999E-2</v>
      </c>
      <c r="AQ154" s="7">
        <v>5.3999999999999999E-2</v>
      </c>
      <c r="AR154" s="4">
        <v>0.62</v>
      </c>
      <c r="AS154" s="4">
        <v>0.78100000000000003</v>
      </c>
      <c r="AT154" s="4">
        <v>6.6000000000000003E-2</v>
      </c>
      <c r="AU154" s="4">
        <v>5.6000000000000001E-2</v>
      </c>
      <c r="AV154" s="17">
        <v>0.73</v>
      </c>
      <c r="AW154" s="7">
        <v>0.97299999999999998</v>
      </c>
      <c r="AX154" s="7">
        <v>4.9000000000000002E-2</v>
      </c>
      <c r="AY154" s="7">
        <v>4.8000000000000001E-2</v>
      </c>
      <c r="AZ154" s="7">
        <v>0.89300000000000002</v>
      </c>
      <c r="BA154" s="8">
        <f>(AV154-AN154)/AN154</f>
        <v>2.2408963585434195E-2</v>
      </c>
      <c r="BB154" s="8">
        <f>(AW154-AO154)/AO154</f>
        <v>6.2047569803516086E-3</v>
      </c>
      <c r="BC154" s="8">
        <f>(AX154-AP154)/AP154</f>
        <v>-9.2592592592592546E-2</v>
      </c>
      <c r="BD154" s="8">
        <f>(AY154-AQ154)/AQ154</f>
        <v>-0.11111111111111108</v>
      </c>
      <c r="BE154" s="4">
        <v>0.63600000000000001</v>
      </c>
      <c r="BF154" s="4">
        <v>0.81299999999999994</v>
      </c>
      <c r="BG154" s="4">
        <v>6.0999999999999999E-2</v>
      </c>
      <c r="BH154" s="4">
        <v>5.2999999999999999E-2</v>
      </c>
      <c r="BI154" s="4">
        <v>0.85199999999999998</v>
      </c>
      <c r="BJ154" s="5">
        <f>(BE154-AN154)/AN154</f>
        <v>-0.10924369747899154</v>
      </c>
      <c r="BK154" s="5">
        <f>(BF154-AO154)/AO154</f>
        <v>-0.15925542916235783</v>
      </c>
      <c r="BL154" s="5">
        <f>(BG154-AP154)/AP154</f>
        <v>0.12962962962962962</v>
      </c>
      <c r="BM154" s="5">
        <f>(BH154-AQ154)/AQ154</f>
        <v>-1.8518518518518535E-2</v>
      </c>
      <c r="BN154" s="4">
        <v>0.63200000000000001</v>
      </c>
      <c r="BO154" s="4">
        <v>0.80100000000000005</v>
      </c>
      <c r="BP154" s="4">
        <v>6.3E-2</v>
      </c>
      <c r="BQ154" s="4">
        <v>0.29099999999999998</v>
      </c>
      <c r="BR154" s="5">
        <f>(BN154-AR154)/AR154</f>
        <v>1.9354838709677438E-2</v>
      </c>
      <c r="BS154" s="5">
        <f>(BO154-AS154)/AS154</f>
        <v>2.5608194622279153E-2</v>
      </c>
      <c r="BT154" s="5">
        <f>(BP154-AT154)/AT154</f>
        <v>-4.5454545454545491E-2</v>
      </c>
      <c r="BU154" s="5">
        <f>(BQ154-AU154)/AU154</f>
        <v>4.1964285714285712</v>
      </c>
      <c r="BV154" s="4">
        <f>(BN154-BE154)/BE154</f>
        <v>-6.2893081761006345E-3</v>
      </c>
      <c r="BW154" s="4">
        <f>(BO154-BF154)/BF154</f>
        <v>-1.4760147601475893E-2</v>
      </c>
      <c r="BX154" s="4">
        <f>(BP154-BG154)/BG154</f>
        <v>3.2786885245901669E-2</v>
      </c>
      <c r="BY154" s="4">
        <f>(BQ154-BH154)/BH154</f>
        <v>4.4905660377358494</v>
      </c>
      <c r="BZ154" s="4">
        <v>0.66200000000000003</v>
      </c>
      <c r="CA154" s="4">
        <v>0.84299999999999997</v>
      </c>
      <c r="CB154" s="4">
        <v>5.6000000000000001E-2</v>
      </c>
      <c r="CC154" s="4">
        <v>0.04</v>
      </c>
      <c r="CD154" s="4">
        <f>(BZ154-AR154)/AR154</f>
        <v>6.774193548387103E-2</v>
      </c>
      <c r="CE154" s="4">
        <f>(CA154-AS154)/AS154</f>
        <v>7.9385403329065227E-2</v>
      </c>
      <c r="CF154" s="4">
        <f>(CB154-AT154)/AT154</f>
        <v>-0.15151515151515155</v>
      </c>
      <c r="CG154" s="4">
        <f>(CC154-AU154)/AU154</f>
        <v>-0.2857142857142857</v>
      </c>
      <c r="CH154" s="4">
        <f>(BZ154-BN154)/BN154</f>
        <v>4.7468354430379792E-2</v>
      </c>
      <c r="CI154" s="4">
        <f>(CA154-BO154)/BO154</f>
        <v>5.2434456928838857E-2</v>
      </c>
      <c r="CJ154" s="4">
        <f>(CB154-BP154)/BP154</f>
        <v>-0.1111111111111111</v>
      </c>
      <c r="CK154" s="4">
        <f>(CC154-BQ154)/BQ154</f>
        <v>-0.86254295532646053</v>
      </c>
      <c r="CL154" s="4">
        <v>0.78400000000000003</v>
      </c>
      <c r="CM154" s="4">
        <v>0.193</v>
      </c>
      <c r="CN154" s="4">
        <f>CL154/CM154</f>
        <v>4.062176165803109</v>
      </c>
    </row>
    <row r="155" spans="1:92" x14ac:dyDescent="0.3">
      <c r="A155" s="5" t="s">
        <v>156</v>
      </c>
      <c r="B155" s="13">
        <v>312</v>
      </c>
      <c r="C155" s="13">
        <v>90</v>
      </c>
      <c r="D155" s="13">
        <v>5</v>
      </c>
      <c r="E155" s="13">
        <v>1</v>
      </c>
      <c r="F155" s="12">
        <v>2</v>
      </c>
      <c r="G155" s="12" t="s">
        <v>43</v>
      </c>
      <c r="H155" s="4">
        <v>60.08</v>
      </c>
      <c r="I155" s="4">
        <v>1.85</v>
      </c>
      <c r="J155" s="7">
        <v>65.72</v>
      </c>
      <c r="K155" s="7">
        <v>1.58</v>
      </c>
      <c r="L155" s="5">
        <f>(H155-I155)/(H155+I155)</f>
        <v>0.94025512675601486</v>
      </c>
      <c r="M155" s="5">
        <f>(J155-K155)/(J155+K155)</f>
        <v>0.9530460624071323</v>
      </c>
      <c r="N155" s="4">
        <v>0.67</v>
      </c>
      <c r="O155" s="4">
        <v>0.83199999999999996</v>
      </c>
      <c r="P155" s="4">
        <v>6.6000000000000003E-2</v>
      </c>
      <c r="Q155" s="4">
        <v>0.04</v>
      </c>
      <c r="R155" s="7">
        <v>0.73</v>
      </c>
      <c r="S155" s="7">
        <v>0.41799999999999998</v>
      </c>
      <c r="T155" s="7">
        <v>0.189</v>
      </c>
      <c r="U155" s="7">
        <v>0.03</v>
      </c>
      <c r="V155" s="4">
        <v>0.69</v>
      </c>
      <c r="W155" s="4">
        <v>0.85699999999999998</v>
      </c>
      <c r="X155" s="4">
        <v>6.0999999999999999E-2</v>
      </c>
      <c r="Y155" s="4">
        <v>0.03</v>
      </c>
      <c r="Z155" s="4">
        <v>0.19</v>
      </c>
      <c r="AA155" s="5">
        <f>(V155-N155)/N155</f>
        <v>2.9850746268656577E-2</v>
      </c>
      <c r="AB155" s="5">
        <f>(W155-O155)/O155</f>
        <v>3.0048076923076952E-2</v>
      </c>
      <c r="AC155" s="5">
        <f>(X155-P155)/P155</f>
        <v>-7.5757575757575815E-2</v>
      </c>
      <c r="AD155" s="5">
        <f>(Y155-Q155)/Q155</f>
        <v>-0.25000000000000006</v>
      </c>
      <c r="AE155" s="4">
        <v>0.75</v>
      </c>
      <c r="AF155" s="4">
        <v>0.41699999999999998</v>
      </c>
      <c r="AG155" s="4">
        <v>0.189</v>
      </c>
      <c r="AH155" s="4">
        <v>0.03</v>
      </c>
      <c r="AI155" s="4">
        <v>0.2</v>
      </c>
      <c r="AJ155" s="5">
        <f>(AE155-R155)/R155</f>
        <v>2.7397260273972629E-2</v>
      </c>
      <c r="AK155" s="5">
        <f>(AF155-S155)/S155</f>
        <v>-2.3923444976076576E-3</v>
      </c>
      <c r="AL155" s="5">
        <f>(AG155-T155)/T155</f>
        <v>0</v>
      </c>
      <c r="AM155" s="5">
        <f>(AH155-U155)/U155</f>
        <v>0</v>
      </c>
      <c r="AN155" s="7">
        <v>0.77200000000000002</v>
      </c>
      <c r="AO155" s="7">
        <v>0.98399999999999999</v>
      </c>
      <c r="AP155" s="7">
        <v>4.3999999999999997E-2</v>
      </c>
      <c r="AQ155" s="7">
        <v>3.5000000000000003E-2</v>
      </c>
      <c r="AR155" s="4">
        <v>0.70099999999999996</v>
      </c>
      <c r="AS155" s="4">
        <v>0.84299999999999997</v>
      </c>
      <c r="AT155" s="4">
        <v>5.8999999999999997E-2</v>
      </c>
      <c r="AU155" s="4">
        <v>3.6999999999999998E-2</v>
      </c>
      <c r="AV155" s="7">
        <v>0.78300000000000003</v>
      </c>
      <c r="AW155" s="7">
        <v>0.98499999999999999</v>
      </c>
      <c r="AX155" s="7">
        <v>4.2999999999999997E-2</v>
      </c>
      <c r="AY155" s="7">
        <v>3.4000000000000002E-2</v>
      </c>
      <c r="AZ155" s="7">
        <v>0.96299999999999997</v>
      </c>
      <c r="BA155" s="8">
        <f>(AV155-AN155)/AN155</f>
        <v>1.4248704663212448E-2</v>
      </c>
      <c r="BB155" s="8">
        <f>(AW155-AO155)/AO155</f>
        <v>1.016260162601627E-3</v>
      </c>
      <c r="BC155" s="8">
        <f>(AX155-AP155)/AP155</f>
        <v>-2.2727272727272749E-2</v>
      </c>
      <c r="BD155" s="8">
        <f>(AY155-AQ155)/AQ155</f>
        <v>-2.8571428571428595E-2</v>
      </c>
      <c r="BE155" s="4">
        <v>0.71799999999999997</v>
      </c>
      <c r="BF155" s="4">
        <v>0.85599999999999998</v>
      </c>
      <c r="BG155" s="4">
        <v>5.7000000000000002E-2</v>
      </c>
      <c r="BH155" s="4">
        <v>3.5999999999999997E-2</v>
      </c>
      <c r="BI155" s="4">
        <v>0.94699999999999995</v>
      </c>
      <c r="BJ155" s="5">
        <f>(BE155-AN155)/AN155</f>
        <v>-6.9948186528497464E-2</v>
      </c>
      <c r="BK155" s="5">
        <f>(BF155-AO155)/AO155</f>
        <v>-0.13008130081300814</v>
      </c>
      <c r="BL155" s="5">
        <f>(BG155-AP155)/AP155</f>
        <v>0.29545454545454558</v>
      </c>
      <c r="BM155" s="5">
        <f>(BH155-AQ155)/AQ155</f>
        <v>2.8571428571428397E-2</v>
      </c>
      <c r="BN155" s="4">
        <v>0.71599999999999997</v>
      </c>
      <c r="BO155" s="4">
        <v>0.83699999999999997</v>
      </c>
      <c r="BP155" s="4">
        <v>0.06</v>
      </c>
      <c r="BQ155" s="4">
        <v>0.36199999999999999</v>
      </c>
      <c r="BR155" s="5">
        <f>(BN155-AR155)/AR155</f>
        <v>2.1398002853067068E-2</v>
      </c>
      <c r="BS155" s="5">
        <f>(BO155-AS155)/AS155</f>
        <v>-7.1174377224199354E-3</v>
      </c>
      <c r="BT155" s="5">
        <f>(BP155-AT155)/AT155</f>
        <v>1.6949152542372899E-2</v>
      </c>
      <c r="BU155" s="5">
        <f>(BQ155-AU155)/AU155</f>
        <v>8.7837837837837842</v>
      </c>
      <c r="BV155" s="4">
        <f>(BN155-BE155)/BE155</f>
        <v>-2.7855153203342644E-3</v>
      </c>
      <c r="BW155" s="4">
        <f>(BO155-BF155)/BF155</f>
        <v>-2.219626168224301E-2</v>
      </c>
      <c r="BX155" s="4">
        <f>(BP155-BG155)/BG155</f>
        <v>5.2631578947368342E-2</v>
      </c>
      <c r="BY155" s="4">
        <f>(BQ155-BH155)/BH155</f>
        <v>9.0555555555555571</v>
      </c>
      <c r="BZ155" s="4">
        <v>0.72799999999999998</v>
      </c>
      <c r="CA155" s="4">
        <v>0.86499999999999999</v>
      </c>
      <c r="CB155" s="4">
        <v>5.5E-2</v>
      </c>
      <c r="CC155" s="4">
        <v>3.5999999999999997E-2</v>
      </c>
      <c r="CD155" s="4">
        <f>(BZ155-AR155)/AR155</f>
        <v>3.8516405135520723E-2</v>
      </c>
      <c r="CE155" s="4">
        <f>(CA155-AS155)/AS155</f>
        <v>2.6097271648873096E-2</v>
      </c>
      <c r="CF155" s="4">
        <f>(CB155-AT155)/AT155</f>
        <v>-6.779661016949147E-2</v>
      </c>
      <c r="CG155" s="4">
        <f>(CC155-AU155)/AU155</f>
        <v>-2.7027027027027053E-2</v>
      </c>
      <c r="CH155" s="4">
        <f>(BZ155-BN155)/BN155</f>
        <v>1.6759776536312866E-2</v>
      </c>
      <c r="CI155" s="4">
        <f>(CA155-BO155)/BO155</f>
        <v>3.3452807646356067E-2</v>
      </c>
      <c r="CJ155" s="4">
        <f>(CB155-BP155)/BP155</f>
        <v>-8.3333333333333301E-2</v>
      </c>
      <c r="CK155" s="4">
        <f>(CC155-BQ155)/BQ155</f>
        <v>-0.90055248618784534</v>
      </c>
      <c r="CL155" s="4">
        <v>0.90200000000000002</v>
      </c>
      <c r="CM155" s="4">
        <v>0.10100000000000001</v>
      </c>
      <c r="CN155" s="4">
        <f>CL155/CM155</f>
        <v>8.9306930693069297</v>
      </c>
    </row>
    <row r="156" spans="1:92" x14ac:dyDescent="0.3">
      <c r="A156" s="11" t="s">
        <v>157</v>
      </c>
      <c r="B156" s="13">
        <v>1047</v>
      </c>
      <c r="C156" s="13">
        <v>24</v>
      </c>
      <c r="D156" s="13">
        <v>5</v>
      </c>
      <c r="E156" s="13">
        <v>4</v>
      </c>
      <c r="F156" s="13">
        <v>4</v>
      </c>
      <c r="G156" s="3" t="s">
        <v>9</v>
      </c>
      <c r="H156" s="4">
        <v>7.51</v>
      </c>
      <c r="I156" s="4">
        <v>1.18</v>
      </c>
      <c r="J156" s="4">
        <v>8.6199999999999992</v>
      </c>
      <c r="K156" s="4">
        <v>1.33</v>
      </c>
      <c r="L156" s="5">
        <f>(H156-I156)/(H156+I156)</f>
        <v>0.72842347525891837</v>
      </c>
      <c r="M156" s="5">
        <f>(J156-K156)/(J156+K156)</f>
        <v>0.7326633165829145</v>
      </c>
      <c r="N156" s="4">
        <v>0.31</v>
      </c>
      <c r="O156" s="4">
        <v>0.72899999999999998</v>
      </c>
      <c r="P156" s="4">
        <v>9.5000000000000001E-2</v>
      </c>
      <c r="Q156" s="4">
        <v>7.0000000000000007E-2</v>
      </c>
      <c r="R156" s="4">
        <v>0.36</v>
      </c>
      <c r="S156" s="4">
        <v>0.68600000000000005</v>
      </c>
      <c r="T156" s="4">
        <v>0.11700000000000001</v>
      </c>
      <c r="U156" s="4">
        <v>0.08</v>
      </c>
      <c r="V156" s="4">
        <v>0.43</v>
      </c>
      <c r="W156" s="4">
        <v>0.90100000000000002</v>
      </c>
      <c r="X156" s="4">
        <v>5.7000000000000002E-2</v>
      </c>
      <c r="Y156" s="4">
        <v>0.03</v>
      </c>
      <c r="Z156" s="4">
        <v>0.33500000000000002</v>
      </c>
      <c r="AA156" s="5">
        <f>(V156-N156)/N156</f>
        <v>0.38709677419354838</v>
      </c>
      <c r="AB156" s="5">
        <f>(W156-O156)/O156</f>
        <v>0.23593964334705081</v>
      </c>
      <c r="AC156" s="5">
        <f>(X156-P156)/P156</f>
        <v>-0.39999999999999997</v>
      </c>
      <c r="AD156" s="5">
        <f>(Y156-Q156)/Q156</f>
        <v>-0.57142857142857151</v>
      </c>
      <c r="AE156" s="4">
        <v>0.5</v>
      </c>
      <c r="AF156" s="4">
        <v>0.86299999999999999</v>
      </c>
      <c r="AG156" s="4">
        <v>7.6999999999999999E-2</v>
      </c>
      <c r="AH156" s="4">
        <v>0.03</v>
      </c>
      <c r="AI156" s="4">
        <v>0.312</v>
      </c>
      <c r="AJ156" s="5">
        <f>(AE156-R156)/R156</f>
        <v>0.38888888888888895</v>
      </c>
      <c r="AK156" s="5">
        <f>(AF156-S156)/S156</f>
        <v>0.25801749271137014</v>
      </c>
      <c r="AL156" s="5">
        <f>(AG156-T156)/T156</f>
        <v>-0.34188034188034194</v>
      </c>
      <c r="AM156" s="5">
        <f>(AH156-U156)/U156</f>
        <v>-0.625</v>
      </c>
      <c r="AN156" s="4">
        <v>0.35799999999999998</v>
      </c>
      <c r="AO156" s="4">
        <v>0.85</v>
      </c>
      <c r="AP156" s="4">
        <v>0.115</v>
      </c>
      <c r="AQ156" s="4">
        <v>8.4000000000000005E-2</v>
      </c>
      <c r="AR156" s="4">
        <v>0.27700000000000002</v>
      </c>
      <c r="AS156" s="4">
        <v>0.73199999999999998</v>
      </c>
      <c r="AT156" s="4">
        <v>8.4000000000000005E-2</v>
      </c>
      <c r="AU156" s="4">
        <v>7.1999999999999995E-2</v>
      </c>
      <c r="AV156" s="4">
        <v>0.42799999999999999</v>
      </c>
      <c r="AW156" s="4">
        <v>0.92100000000000004</v>
      </c>
      <c r="AX156" s="4">
        <v>8.4000000000000005E-2</v>
      </c>
      <c r="AY156" s="4">
        <v>6.0999999999999999E-2</v>
      </c>
      <c r="AZ156" s="4">
        <v>0.7</v>
      </c>
      <c r="BA156" s="6">
        <f>(AV156-AN156)/AN156</f>
        <v>0.19553072625698326</v>
      </c>
      <c r="BB156" s="6">
        <f>(AW156-AO156)/AO156</f>
        <v>8.3529411764705963E-2</v>
      </c>
      <c r="BC156" s="6">
        <f>(AX156-AP156)/AP156</f>
        <v>-0.26956521739130435</v>
      </c>
      <c r="BD156" s="6">
        <f>(AY156-AQ156)/AQ156</f>
        <v>-0.27380952380952389</v>
      </c>
      <c r="BE156" s="4">
        <v>0.36699999999999999</v>
      </c>
      <c r="BF156" s="4">
        <v>0.85</v>
      </c>
      <c r="BG156" s="4">
        <v>6.3E-2</v>
      </c>
      <c r="BH156" s="4">
        <v>5.7000000000000002E-2</v>
      </c>
      <c r="BI156" s="4">
        <v>0.68600000000000005</v>
      </c>
      <c r="BJ156" s="5">
        <f>(BE156-AN156)/AN156</f>
        <v>2.5139664804469296E-2</v>
      </c>
      <c r="BK156" s="5">
        <f>(BF156-AO156)/AO156</f>
        <v>0</v>
      </c>
      <c r="BL156" s="5">
        <f>(BG156-AP156)/AP156</f>
        <v>-0.45217391304347826</v>
      </c>
      <c r="BM156" s="5">
        <f>(BH156-AQ156)/AQ156</f>
        <v>-0.32142857142857145</v>
      </c>
      <c r="BN156" s="4">
        <v>0.37</v>
      </c>
      <c r="BO156" s="4">
        <v>0.63700000000000001</v>
      </c>
      <c r="BP156" s="4">
        <v>9.8000000000000004E-2</v>
      </c>
      <c r="BQ156" s="4">
        <v>0.247</v>
      </c>
      <c r="BR156" s="5">
        <f>(BN156-AR156)/AR156</f>
        <v>0.33574007220216595</v>
      </c>
      <c r="BS156" s="5">
        <f>(BO156-AS156)/AS156</f>
        <v>-0.1297814207650273</v>
      </c>
      <c r="BT156" s="5">
        <f>(BP156-AT156)/AT156</f>
        <v>0.16666666666666663</v>
      </c>
      <c r="BU156" s="5">
        <f>(BQ156-AU156)/AU156</f>
        <v>2.4305555555555558</v>
      </c>
      <c r="BV156" s="4">
        <f>(BN156-BE156)/BE156</f>
        <v>8.1743869209809344E-3</v>
      </c>
      <c r="BW156" s="4">
        <f>(BO156-BF156)/BF156</f>
        <v>-0.25058823529411761</v>
      </c>
      <c r="BX156" s="4">
        <f>(BP156-BG156)/BG156</f>
        <v>0.55555555555555558</v>
      </c>
      <c r="BY156" s="4">
        <f>(BQ156-BH156)/BH156</f>
        <v>3.333333333333333</v>
      </c>
      <c r="BZ156" s="4">
        <v>0.40100000000000002</v>
      </c>
      <c r="CA156" s="4">
        <v>0.872</v>
      </c>
      <c r="CB156" s="4">
        <v>5.8000000000000003E-2</v>
      </c>
      <c r="CC156" s="4">
        <v>5.0999999999999997E-2</v>
      </c>
      <c r="CD156" s="4">
        <f>(BZ156-AR156)/AR156</f>
        <v>0.44765342960288806</v>
      </c>
      <c r="CE156" s="4">
        <f>(CA156-AS156)/AS156</f>
        <v>0.19125683060109291</v>
      </c>
      <c r="CF156" s="4">
        <f>(CB156-AT156)/AT156</f>
        <v>-0.30952380952380953</v>
      </c>
      <c r="CG156" s="4">
        <f>(CC156-AU156)/AU156</f>
        <v>-0.29166666666666669</v>
      </c>
      <c r="CH156" s="4">
        <f>(BZ156-BN156)/BN156</f>
        <v>8.3783783783783858E-2</v>
      </c>
      <c r="CI156" s="4">
        <f>(CA156-BO156)/BO156</f>
        <v>0.36891679748822603</v>
      </c>
      <c r="CJ156" s="4">
        <f>(CB156-BP156)/BP156</f>
        <v>-0.40816326530612246</v>
      </c>
      <c r="CK156" s="4">
        <f>(CC156-BQ156)/BQ156</f>
        <v>-0.79352226720647778</v>
      </c>
      <c r="CL156" s="4">
        <v>0.64600000000000002</v>
      </c>
      <c r="CM156" s="4">
        <v>0.38400000000000001</v>
      </c>
      <c r="CN156" s="4">
        <f>CL156/CM156</f>
        <v>1.6822916666666667</v>
      </c>
    </row>
    <row r="157" spans="1:92" x14ac:dyDescent="0.3">
      <c r="A157" s="11" t="s">
        <v>158</v>
      </c>
      <c r="B157" s="13">
        <v>352</v>
      </c>
      <c r="C157" s="13">
        <v>24</v>
      </c>
      <c r="D157" s="13">
        <v>5</v>
      </c>
      <c r="E157" s="13">
        <v>4</v>
      </c>
      <c r="F157" s="13">
        <v>4</v>
      </c>
      <c r="G157" s="3" t="s">
        <v>9</v>
      </c>
      <c r="H157" s="4">
        <v>7.26</v>
      </c>
      <c r="I157" s="4">
        <v>1.01</v>
      </c>
      <c r="J157" s="4">
        <v>8.06</v>
      </c>
      <c r="K157" s="4">
        <v>1.0900000000000001</v>
      </c>
      <c r="L157" s="5">
        <f>(H157-I157)/(H157+I157)</f>
        <v>0.75574365175332536</v>
      </c>
      <c r="M157" s="5">
        <f>(J157-K157)/(J157+K157)</f>
        <v>0.76174863387978142</v>
      </c>
      <c r="N157" s="4">
        <v>0.3</v>
      </c>
      <c r="O157" s="4">
        <v>0.70499999999999996</v>
      </c>
      <c r="P157" s="4">
        <v>9.7000000000000003E-2</v>
      </c>
      <c r="Q157" s="4">
        <v>0.08</v>
      </c>
      <c r="R157" s="4">
        <v>0.34</v>
      </c>
      <c r="S157" s="4">
        <v>0.65300000000000002</v>
      </c>
      <c r="T157" s="4">
        <v>0.11799999999999999</v>
      </c>
      <c r="U157" s="4">
        <v>0.09</v>
      </c>
      <c r="V157" s="4">
        <v>0.44</v>
      </c>
      <c r="W157" s="4">
        <v>0.85899999999999999</v>
      </c>
      <c r="X157" s="4">
        <v>6.6000000000000003E-2</v>
      </c>
      <c r="Y157" s="4">
        <v>0.04</v>
      </c>
      <c r="Z157" s="4">
        <v>0.217</v>
      </c>
      <c r="AA157" s="5">
        <f>(V157-N157)/N157</f>
        <v>0.46666666666666673</v>
      </c>
      <c r="AB157" s="5">
        <f>(W157-O157)/O157</f>
        <v>0.21843971631205678</v>
      </c>
      <c r="AC157" s="5">
        <f>(X157-P157)/P157</f>
        <v>-0.31958762886597936</v>
      </c>
      <c r="AD157" s="5">
        <f>(Y157-Q157)/Q157</f>
        <v>-0.5</v>
      </c>
      <c r="AE157" s="4">
        <v>0.49</v>
      </c>
      <c r="AF157" s="4">
        <v>0.79600000000000004</v>
      </c>
      <c r="AG157" s="4">
        <v>0.09</v>
      </c>
      <c r="AH157" s="4">
        <v>0.04</v>
      </c>
      <c r="AI157" s="4">
        <v>0.223</v>
      </c>
      <c r="AJ157" s="5">
        <f>(AE157-R157)/R157</f>
        <v>0.44117647058823517</v>
      </c>
      <c r="AK157" s="5">
        <f>(AF157-S157)/S157</f>
        <v>0.21898928024502298</v>
      </c>
      <c r="AL157" s="5">
        <f>(AG157-T157)/T157</f>
        <v>-0.23728813559322032</v>
      </c>
      <c r="AM157" s="5">
        <f>(AH157-U157)/U157</f>
        <v>-0.55555555555555558</v>
      </c>
      <c r="AN157" s="7">
        <v>0.38200000000000001</v>
      </c>
      <c r="AO157" s="7">
        <v>0.80200000000000005</v>
      </c>
      <c r="AP157" s="7">
        <v>0.114</v>
      </c>
      <c r="AQ157" s="7">
        <v>8.5999999999999993E-2</v>
      </c>
      <c r="AR157" s="4">
        <v>0.32700000000000001</v>
      </c>
      <c r="AS157" s="4">
        <v>0.70699999999999996</v>
      </c>
      <c r="AT157" s="4">
        <v>9.1999999999999998E-2</v>
      </c>
      <c r="AU157" s="4">
        <v>7.5999999999999998E-2</v>
      </c>
      <c r="AV157" s="4">
        <v>0.47899999999999998</v>
      </c>
      <c r="AW157" s="4">
        <v>0.872</v>
      </c>
      <c r="AX157" s="4">
        <v>9.1999999999999998E-2</v>
      </c>
      <c r="AY157" s="4">
        <v>7.0999999999999994E-2</v>
      </c>
      <c r="AZ157" s="4">
        <v>0.64</v>
      </c>
      <c r="BA157" s="6">
        <f>(AV157-AN157)/AN157</f>
        <v>0.25392670157068054</v>
      </c>
      <c r="BB157" s="6">
        <f>(AW157-AO157)/AO157</f>
        <v>8.728179551122188E-2</v>
      </c>
      <c r="BC157" s="6">
        <f>(AX157-AP157)/AP157</f>
        <v>-0.19298245614035092</v>
      </c>
      <c r="BD157" s="6">
        <f>(AY157-AQ157)/AQ157</f>
        <v>-0.1744186046511628</v>
      </c>
      <c r="BE157" s="4">
        <v>0.40600000000000003</v>
      </c>
      <c r="BF157" s="4">
        <v>0.82899999999999996</v>
      </c>
      <c r="BG157" s="4">
        <v>7.0999999999999994E-2</v>
      </c>
      <c r="BH157" s="4">
        <v>7.3999999999999996E-2</v>
      </c>
      <c r="BI157" s="4">
        <v>0.58399999999999996</v>
      </c>
      <c r="BJ157" s="5">
        <f>(BE157-AN157)/AN157</f>
        <v>6.2827225130890105E-2</v>
      </c>
      <c r="BK157" s="5">
        <f>(BF157-AO157)/AO157</f>
        <v>3.3665835411471209E-2</v>
      </c>
      <c r="BL157" s="5">
        <f>(BG157-AP157)/AP157</f>
        <v>-0.37719298245614041</v>
      </c>
      <c r="BM157" s="5">
        <f>(BH157-AQ157)/AQ157</f>
        <v>-0.1395348837209302</v>
      </c>
      <c r="BN157" s="7">
        <v>0.39800000000000002</v>
      </c>
      <c r="BO157" s="7">
        <v>0.65400000000000003</v>
      </c>
      <c r="BP157" s="7">
        <v>0.10100000000000001</v>
      </c>
      <c r="BQ157" s="7">
        <v>0.23799999999999999</v>
      </c>
      <c r="BR157" s="8">
        <f>(BN157-AR157)/AR157</f>
        <v>0.21712538226299696</v>
      </c>
      <c r="BS157" s="8">
        <f>(BO157-AS157)/AS157</f>
        <v>-7.4964639321074875E-2</v>
      </c>
      <c r="BT157" s="8">
        <f>(BP157-AT157)/AT157</f>
        <v>9.7826086956521827E-2</v>
      </c>
      <c r="BU157" s="8">
        <f>(BQ157-AU157)/AU157</f>
        <v>2.1315789473684208</v>
      </c>
      <c r="BV157" s="7">
        <f>(BN157-BE157)/BE157</f>
        <v>-1.9704433497536963E-2</v>
      </c>
      <c r="BW157" s="7">
        <f>(BO157-BF157)/BF157</f>
        <v>-0.21109770808202646</v>
      </c>
      <c r="BX157" s="7">
        <f>(BP157-BG157)/BG157</f>
        <v>0.42253521126760585</v>
      </c>
      <c r="BY157" s="7">
        <f>(BQ157-BH157)/BH157</f>
        <v>2.2162162162162162</v>
      </c>
      <c r="BZ157" s="7">
        <v>0.41799999999999998</v>
      </c>
      <c r="CA157" s="7">
        <v>0.878</v>
      </c>
      <c r="CB157" s="7">
        <v>0.06</v>
      </c>
      <c r="CC157" s="7">
        <v>5.3999999999999999E-2</v>
      </c>
      <c r="CD157" s="7">
        <f>(BZ157-AR157)/AR157</f>
        <v>0.27828746177370023</v>
      </c>
      <c r="CE157" s="7">
        <f>(CA157-AS157)/AS157</f>
        <v>0.24186704384724195</v>
      </c>
      <c r="CF157" s="7">
        <f>(CB157-AT157)/AT157</f>
        <v>-0.34782608695652173</v>
      </c>
      <c r="CG157" s="7">
        <f>(CC157-AU157)/AU157</f>
        <v>-0.28947368421052633</v>
      </c>
      <c r="CH157" s="4">
        <f>(BZ157-BN157)/BN157</f>
        <v>5.0251256281406941E-2</v>
      </c>
      <c r="CI157" s="4">
        <f>(CA157-BO157)/BO157</f>
        <v>0.34250764525993876</v>
      </c>
      <c r="CJ157" s="4">
        <f>(CB157-BP157)/BP157</f>
        <v>-0.40594059405940602</v>
      </c>
      <c r="CK157" s="4">
        <f>(CC157-BQ157)/BQ157</f>
        <v>-0.77310924369747902</v>
      </c>
      <c r="CL157" s="7">
        <v>0.59499999999999997</v>
      </c>
      <c r="CM157" s="7">
        <v>0.45800000000000002</v>
      </c>
      <c r="CN157" s="7">
        <f>CL157/CM157</f>
        <v>1.2991266375545851</v>
      </c>
    </row>
    <row r="158" spans="1:92" x14ac:dyDescent="0.3">
      <c r="A158" s="11" t="s">
        <v>159</v>
      </c>
      <c r="B158" s="13">
        <v>2252</v>
      </c>
      <c r="C158" s="13">
        <v>27</v>
      </c>
      <c r="D158" s="13">
        <v>5</v>
      </c>
      <c r="E158" s="13">
        <v>3</v>
      </c>
      <c r="F158" s="13">
        <v>3</v>
      </c>
      <c r="G158" s="3" t="s">
        <v>9</v>
      </c>
      <c r="H158" s="4">
        <v>7</v>
      </c>
      <c r="I158" s="4">
        <v>1.59</v>
      </c>
      <c r="J158" s="4">
        <v>8.2100000000000009</v>
      </c>
      <c r="K158" s="4">
        <v>1.85</v>
      </c>
      <c r="L158" s="5">
        <f>(H158-I158)/(H158+I158)</f>
        <v>0.62980209545983701</v>
      </c>
      <c r="M158" s="5">
        <f>(J158-K158)/(J158+K158)</f>
        <v>0.63220675944334004</v>
      </c>
      <c r="N158" s="4">
        <v>0.26</v>
      </c>
      <c r="O158" s="4">
        <v>0.70699999999999996</v>
      </c>
      <c r="P158" s="4">
        <v>8.5000000000000006E-2</v>
      </c>
      <c r="Q158" s="4">
        <v>0.08</v>
      </c>
      <c r="R158" s="4">
        <v>0.3</v>
      </c>
      <c r="S158" s="4">
        <v>0.67300000000000004</v>
      </c>
      <c r="T158" s="4">
        <v>0.10299999999999999</v>
      </c>
      <c r="U158" s="4">
        <v>0.09</v>
      </c>
      <c r="V158" s="4">
        <v>0.36</v>
      </c>
      <c r="W158" s="4">
        <v>0.88500000000000001</v>
      </c>
      <c r="X158" s="4">
        <v>5.2999999999999999E-2</v>
      </c>
      <c r="Y158" s="4">
        <v>0.03</v>
      </c>
      <c r="Z158" s="4">
        <v>0.43</v>
      </c>
      <c r="AA158" s="5">
        <f>(V158-N158)/N158</f>
        <v>0.38461538461538453</v>
      </c>
      <c r="AB158" s="5">
        <f>(W158-O158)/O158</f>
        <v>0.25176803394625186</v>
      </c>
      <c r="AC158" s="5">
        <f>(X158-P158)/P158</f>
        <v>-0.37647058823529417</v>
      </c>
      <c r="AD158" s="5">
        <f>(Y158-Q158)/Q158</f>
        <v>-0.625</v>
      </c>
      <c r="AE158" s="4">
        <v>0.42</v>
      </c>
      <c r="AF158" s="4">
        <v>0.85299999999999998</v>
      </c>
      <c r="AG158" s="4">
        <v>6.9000000000000006E-2</v>
      </c>
      <c r="AH158" s="4">
        <v>0.04</v>
      </c>
      <c r="AI158" s="4">
        <v>0.43</v>
      </c>
      <c r="AJ158" s="5">
        <f>(AE158-R158)/R158</f>
        <v>0.4</v>
      </c>
      <c r="AK158" s="5">
        <f>(AF158-S158)/S158</f>
        <v>0.26745913818722128</v>
      </c>
      <c r="AL158" s="5">
        <f>(AG158-T158)/T158</f>
        <v>-0.33009708737864069</v>
      </c>
      <c r="AM158" s="5">
        <f>(AH158-U158)/U158</f>
        <v>-0.55555555555555558</v>
      </c>
      <c r="AN158" s="4">
        <v>0.28599999999999998</v>
      </c>
      <c r="AO158" s="4">
        <v>0.78500000000000003</v>
      </c>
      <c r="AP158" s="4">
        <v>0.109</v>
      </c>
      <c r="AQ158" s="4">
        <v>8.7999999999999995E-2</v>
      </c>
      <c r="AR158" s="4">
        <v>0.215</v>
      </c>
      <c r="AS158" s="4">
        <v>0.70899999999999996</v>
      </c>
      <c r="AT158" s="4">
        <v>7.6999999999999999E-2</v>
      </c>
      <c r="AU158" s="4">
        <v>7.5999999999999998E-2</v>
      </c>
      <c r="AV158" s="4">
        <v>0.45</v>
      </c>
      <c r="AW158" s="4">
        <v>0.88100000000000001</v>
      </c>
      <c r="AX158" s="4">
        <v>8.1000000000000003E-2</v>
      </c>
      <c r="AY158" s="4">
        <v>6.6000000000000003E-2</v>
      </c>
      <c r="AZ158" s="4">
        <v>0.68</v>
      </c>
      <c r="BA158" s="6">
        <f>(AV158-AN158)/AN158</f>
        <v>0.57342657342657355</v>
      </c>
      <c r="BB158" s="6">
        <f>(AW158-AO158)/AO158</f>
        <v>0.12229299363057321</v>
      </c>
      <c r="BC158" s="6">
        <f>(AX158-AP158)/AP158</f>
        <v>-0.25688073394495409</v>
      </c>
      <c r="BD158" s="6">
        <f>(AY158-AQ158)/AQ158</f>
        <v>-0.24999999999999992</v>
      </c>
      <c r="BE158" s="4">
        <v>0.35799999999999998</v>
      </c>
      <c r="BF158" s="4">
        <v>0.83199999999999996</v>
      </c>
      <c r="BG158" s="4">
        <v>5.8999999999999997E-2</v>
      </c>
      <c r="BH158" s="4">
        <v>0.06</v>
      </c>
      <c r="BI158" s="4">
        <v>0.66100000000000003</v>
      </c>
      <c r="BJ158" s="5">
        <f>(BE158-AN158)/AN158</f>
        <v>0.25174825174825177</v>
      </c>
      <c r="BK158" s="5">
        <f>(BF158-AO158)/AO158</f>
        <v>5.9872611464968063E-2</v>
      </c>
      <c r="BL158" s="5">
        <f>(BG158-AP158)/AP158</f>
        <v>-0.45871559633027525</v>
      </c>
      <c r="BM158" s="5">
        <f>(BH158-AQ158)/AQ158</f>
        <v>-0.31818181818181818</v>
      </c>
      <c r="BN158" s="4">
        <v>0.35899999999999999</v>
      </c>
      <c r="BO158" s="4">
        <v>0.70099999999999996</v>
      </c>
      <c r="BP158" s="4">
        <v>7.8E-2</v>
      </c>
      <c r="BQ158" s="4">
        <v>0.189</v>
      </c>
      <c r="BR158" s="6">
        <f>(BN158-AR158)/AR158</f>
        <v>0.66976744186046511</v>
      </c>
      <c r="BS158" s="6">
        <f>(BO158-AS158)/AS158</f>
        <v>-1.1283497884344157E-2</v>
      </c>
      <c r="BT158" s="6">
        <f>(BP158-AT158)/AT158</f>
        <v>1.2987012987012998E-2</v>
      </c>
      <c r="BU158" s="6">
        <f>(BQ158-AU158)/AU158</f>
        <v>1.486842105263158</v>
      </c>
      <c r="BV158" s="9">
        <f>(BN158-BE158)/BE158</f>
        <v>2.7932960893854776E-3</v>
      </c>
      <c r="BW158" s="9">
        <f>(BO158-BF158)/BF158</f>
        <v>-0.1574519230769231</v>
      </c>
      <c r="BX158" s="9">
        <f>(BP158-BG158)/BG158</f>
        <v>0.32203389830508483</v>
      </c>
      <c r="BY158" s="9">
        <f>(BQ158-BH158)/BH158</f>
        <v>2.1500000000000004</v>
      </c>
      <c r="BZ158" s="4">
        <v>0.35299999999999998</v>
      </c>
      <c r="CA158" s="4">
        <v>0.86</v>
      </c>
      <c r="CB158" s="4">
        <v>5.3999999999999999E-2</v>
      </c>
      <c r="CC158" s="4">
        <v>4.7E-2</v>
      </c>
      <c r="CD158" s="9">
        <f>(BZ158-AR158)/AR158</f>
        <v>0.64186046511627903</v>
      </c>
      <c r="CE158" s="9">
        <f>(CA158-AS158)/AS158</f>
        <v>0.2129760225669958</v>
      </c>
      <c r="CF158" s="9">
        <f>(CB158-AT158)/AT158</f>
        <v>-0.29870129870129869</v>
      </c>
      <c r="CG158" s="9">
        <f>(CC158-AU158)/AU158</f>
        <v>-0.38157894736842102</v>
      </c>
      <c r="CH158" s="4">
        <f>(BZ158-BN158)/BN158</f>
        <v>-1.6713091922005586E-2</v>
      </c>
      <c r="CI158" s="4">
        <f>(CA158-BO158)/BO158</f>
        <v>0.22681883024251076</v>
      </c>
      <c r="CJ158" s="4">
        <f>(CB158-BP158)/BP158</f>
        <v>-0.30769230769230771</v>
      </c>
      <c r="CK158" s="4">
        <f>(CC158-BQ158)/BQ158</f>
        <v>-0.75132275132275139</v>
      </c>
      <c r="CL158" s="4">
        <v>0.66200000000000003</v>
      </c>
      <c r="CM158" s="4">
        <v>0.35199999999999998</v>
      </c>
      <c r="CN158" s="9">
        <f>CL158/CM158</f>
        <v>1.8806818181818183</v>
      </c>
    </row>
    <row r="159" spans="1:92" x14ac:dyDescent="0.3">
      <c r="A159" s="11" t="s">
        <v>160</v>
      </c>
      <c r="B159" s="13">
        <v>525</v>
      </c>
      <c r="C159" s="13">
        <v>30</v>
      </c>
      <c r="D159" s="13">
        <v>4</v>
      </c>
      <c r="E159" s="13">
        <v>3</v>
      </c>
      <c r="F159" s="13">
        <v>3</v>
      </c>
      <c r="G159" s="3" t="s">
        <v>9</v>
      </c>
      <c r="H159" s="4">
        <v>4.57</v>
      </c>
      <c r="I159" s="4">
        <v>2.54</v>
      </c>
      <c r="J159" s="4">
        <v>5.66</v>
      </c>
      <c r="K159" s="4">
        <v>3.02</v>
      </c>
      <c r="L159" s="5">
        <f>(H159-I159)/(H159+I159)</f>
        <v>0.2855133614627286</v>
      </c>
      <c r="M159" s="5">
        <f>(J159-K159)/(J159+K159)</f>
        <v>0.30414746543778803</v>
      </c>
      <c r="N159" s="4">
        <v>0.15</v>
      </c>
      <c r="O159" s="4">
        <v>0.38400000000000001</v>
      </c>
      <c r="P159" s="4">
        <v>0.10199999999999999</v>
      </c>
      <c r="Q159" s="4">
        <v>0.11</v>
      </c>
      <c r="R159" s="4">
        <v>0.19</v>
      </c>
      <c r="S159" s="4">
        <v>0.315</v>
      </c>
      <c r="T159" s="4">
        <v>0.13700000000000001</v>
      </c>
      <c r="U159" s="4">
        <v>0.13</v>
      </c>
      <c r="V159" s="4">
        <v>0.28000000000000003</v>
      </c>
      <c r="W159" s="4">
        <v>0.69199999999999995</v>
      </c>
      <c r="X159" s="4">
        <v>7.1999999999999995E-2</v>
      </c>
      <c r="Y159" s="4">
        <v>0.06</v>
      </c>
      <c r="Z159" s="4">
        <v>0.247</v>
      </c>
      <c r="AA159" s="5">
        <f>(V159-N159)/N159</f>
        <v>0.86666666666666692</v>
      </c>
      <c r="AB159" s="5">
        <f>(W159-O159)/O159</f>
        <v>0.80208333333333315</v>
      </c>
      <c r="AC159" s="5">
        <f>(X159-P159)/P159</f>
        <v>-0.29411764705882354</v>
      </c>
      <c r="AD159" s="5">
        <f>(Y159-Q159)/Q159</f>
        <v>-0.45454545454545459</v>
      </c>
      <c r="AE159" s="4">
        <v>0.35</v>
      </c>
      <c r="AF159" s="4">
        <v>0.56499999999999995</v>
      </c>
      <c r="AG159" s="4">
        <v>0.109</v>
      </c>
      <c r="AH159" s="4">
        <v>7.0000000000000007E-2</v>
      </c>
      <c r="AI159" s="4">
        <v>0.20699999999999999</v>
      </c>
      <c r="AJ159" s="5">
        <f>(AE159-R159)/R159</f>
        <v>0.84210526315789458</v>
      </c>
      <c r="AK159" s="5">
        <f>(AF159-S159)/S159</f>
        <v>0.7936507936507935</v>
      </c>
      <c r="AL159" s="5">
        <f>(AG159-T159)/T159</f>
        <v>-0.20437956204379568</v>
      </c>
      <c r="AM159" s="5">
        <f>(AH159-U159)/U159</f>
        <v>-0.46153846153846151</v>
      </c>
      <c r="AN159" s="4">
        <v>0.20499999999999999</v>
      </c>
      <c r="AO159" s="4">
        <v>0.59</v>
      </c>
      <c r="AP159" s="4">
        <v>0.1</v>
      </c>
      <c r="AQ159" s="4">
        <v>0.13300000000000001</v>
      </c>
      <c r="AR159" s="4">
        <v>0.14599999999999999</v>
      </c>
      <c r="AS159" s="4">
        <v>0.35699999999999998</v>
      </c>
      <c r="AT159" s="4">
        <v>9.9000000000000005E-2</v>
      </c>
      <c r="AU159" s="4">
        <v>0.108</v>
      </c>
      <c r="AV159" s="4">
        <v>0.33300000000000002</v>
      </c>
      <c r="AW159" s="4">
        <v>0.71299999999999997</v>
      </c>
      <c r="AX159" s="4">
        <v>8.4000000000000005E-2</v>
      </c>
      <c r="AY159" s="4">
        <v>9.8000000000000004E-2</v>
      </c>
      <c r="AZ159" s="4">
        <v>0.442</v>
      </c>
      <c r="BA159" s="6">
        <f>(AV159-AN159)/AN159</f>
        <v>0.62439024390243925</v>
      </c>
      <c r="BB159" s="6">
        <f>(AW159-AO159)/AO159</f>
        <v>0.20847457627118646</v>
      </c>
      <c r="BC159" s="6">
        <f>(AX159-AP159)/AP159</f>
        <v>-0.16</v>
      </c>
      <c r="BD159" s="6">
        <f>(AY159-AQ159)/AQ159</f>
        <v>-0.26315789473684209</v>
      </c>
      <c r="BE159" s="4">
        <v>0.23699999999999999</v>
      </c>
      <c r="BF159" s="4">
        <v>0.625</v>
      </c>
      <c r="BG159" s="4">
        <v>7.5999999999999998E-2</v>
      </c>
      <c r="BH159" s="4">
        <v>8.1000000000000003E-2</v>
      </c>
      <c r="BI159" s="4">
        <v>0.439</v>
      </c>
      <c r="BJ159" s="5">
        <f>(BE159-AN159)/AN159</f>
        <v>0.15609756097560976</v>
      </c>
      <c r="BK159" s="5">
        <f>(BF159-AO159)/AO159</f>
        <v>5.9322033898305142E-2</v>
      </c>
      <c r="BL159" s="5">
        <f>(BG159-AP159)/AP159</f>
        <v>-0.24000000000000007</v>
      </c>
      <c r="BM159" s="5">
        <f>(BH159-AQ159)/AQ159</f>
        <v>-0.39097744360902259</v>
      </c>
      <c r="BN159" s="4">
        <v>0.23899999999999999</v>
      </c>
      <c r="BO159" s="4">
        <v>0.56399999999999995</v>
      </c>
      <c r="BP159" s="4">
        <v>8.1000000000000003E-2</v>
      </c>
      <c r="BQ159" s="4">
        <v>0.11700000000000001</v>
      </c>
      <c r="BR159" s="6">
        <f>(BN159-AR159)/AR159</f>
        <v>0.63698630136986301</v>
      </c>
      <c r="BS159" s="6">
        <f>(BO159-AS159)/AS159</f>
        <v>0.57983193277310918</v>
      </c>
      <c r="BT159" s="6">
        <f>(BP159-AT159)/AT159</f>
        <v>-0.18181818181818182</v>
      </c>
      <c r="BU159" s="6">
        <f>(BQ159-AU159)/AU159</f>
        <v>8.3333333333333412E-2</v>
      </c>
      <c r="BV159" s="9">
        <f>(BN159-BE159)/BE159</f>
        <v>8.4388185654008518E-3</v>
      </c>
      <c r="BW159" s="9">
        <f>(BO159-BF159)/BF159</f>
        <v>-9.7600000000000089E-2</v>
      </c>
      <c r="BX159" s="9">
        <f>(BP159-BG159)/BG159</f>
        <v>6.5789473684210592E-2</v>
      </c>
      <c r="BY159" s="9">
        <f>(BQ159-BH159)/BH159</f>
        <v>0.44444444444444448</v>
      </c>
      <c r="BZ159" s="4">
        <v>0.28000000000000003</v>
      </c>
      <c r="CA159" s="4">
        <v>0.67200000000000004</v>
      </c>
      <c r="CB159" s="4">
        <v>7.0999999999999994E-2</v>
      </c>
      <c r="CC159" s="4">
        <v>6.9000000000000006E-2</v>
      </c>
      <c r="CD159" s="9">
        <f>(BZ159-AR159)/AR159</f>
        <v>0.91780821917808253</v>
      </c>
      <c r="CE159" s="9">
        <f>(CA159-AS159)/AS159</f>
        <v>0.88235294117647078</v>
      </c>
      <c r="CF159" s="9">
        <f>(CB159-AT159)/AT159</f>
        <v>-0.28282828282828293</v>
      </c>
      <c r="CG159" s="9">
        <f>(CC159-AU159)/AU159</f>
        <v>-0.36111111111111105</v>
      </c>
      <c r="CH159" s="4">
        <f>(BZ159-BN159)/BN159</f>
        <v>0.17154811715481189</v>
      </c>
      <c r="CI159" s="4">
        <f>(CA159-BO159)/BO159</f>
        <v>0.19148936170212785</v>
      </c>
      <c r="CJ159" s="4">
        <f>(CB159-BP159)/BP159</f>
        <v>-0.12345679012345689</v>
      </c>
      <c r="CK159" s="4">
        <f>(CC159-BQ159)/BQ159</f>
        <v>-0.41025641025641024</v>
      </c>
      <c r="CL159" s="4">
        <v>0.40200000000000002</v>
      </c>
      <c r="CM159" s="4">
        <v>0.58099999999999996</v>
      </c>
      <c r="CN159" s="9">
        <f>CL159/CM159</f>
        <v>0.69191049913941494</v>
      </c>
    </row>
    <row r="160" spans="1:92" x14ac:dyDescent="0.3">
      <c r="A160" s="11" t="s">
        <v>161</v>
      </c>
      <c r="B160" s="13">
        <v>1807</v>
      </c>
      <c r="C160" s="13">
        <v>33</v>
      </c>
      <c r="D160" s="13">
        <v>5</v>
      </c>
      <c r="E160" s="13">
        <v>4</v>
      </c>
      <c r="F160" s="13">
        <v>4</v>
      </c>
      <c r="G160" s="3" t="s">
        <v>9</v>
      </c>
      <c r="H160" s="4">
        <v>8.94</v>
      </c>
      <c r="I160" s="4">
        <v>1.44</v>
      </c>
      <c r="J160" s="4">
        <v>10.49</v>
      </c>
      <c r="K160" s="4">
        <v>1.62</v>
      </c>
      <c r="L160" s="5">
        <f>(H160-I160)/(H160+I160)</f>
        <v>0.7225433526011561</v>
      </c>
      <c r="M160" s="5">
        <f>(J160-K160)/(J160+K160)</f>
        <v>0.7324525185796863</v>
      </c>
      <c r="N160" s="4">
        <v>0.27</v>
      </c>
      <c r="O160" s="4">
        <v>0.65300000000000002</v>
      </c>
      <c r="P160" s="4">
        <v>8.7999999999999995E-2</v>
      </c>
      <c r="Q160" s="4">
        <v>0.08</v>
      </c>
      <c r="R160" s="4">
        <v>0.32</v>
      </c>
      <c r="S160" s="4">
        <v>0.61</v>
      </c>
      <c r="T160" s="4">
        <v>0.108</v>
      </c>
      <c r="U160" s="4">
        <v>0.08</v>
      </c>
      <c r="V160" s="4">
        <v>0.39</v>
      </c>
      <c r="W160" s="4">
        <v>0.84399999999999997</v>
      </c>
      <c r="X160" s="4">
        <v>5.8999999999999997E-2</v>
      </c>
      <c r="Y160" s="4">
        <v>0.04</v>
      </c>
      <c r="Z160" s="4">
        <v>0.34200000000000003</v>
      </c>
      <c r="AA160" s="5">
        <f>(V160-N160)/N160</f>
        <v>0.44444444444444442</v>
      </c>
      <c r="AB160" s="5">
        <f>(W160-O160)/O160</f>
        <v>0.29249617151607954</v>
      </c>
      <c r="AC160" s="5">
        <f>(X160-P160)/P160</f>
        <v>-0.32954545454545453</v>
      </c>
      <c r="AD160" s="5">
        <f>(Y160-Q160)/Q160</f>
        <v>-0.5</v>
      </c>
      <c r="AE160" s="4">
        <v>0.45</v>
      </c>
      <c r="AF160" s="4">
        <v>0.8</v>
      </c>
      <c r="AG160" s="4">
        <v>7.6999999999999999E-2</v>
      </c>
      <c r="AH160" s="4">
        <v>0.04</v>
      </c>
      <c r="AI160" s="4">
        <v>0.33700000000000002</v>
      </c>
      <c r="AJ160" s="5">
        <f>(AE160-R160)/R160</f>
        <v>0.40625</v>
      </c>
      <c r="AK160" s="5">
        <f>(AF160-S160)/S160</f>
        <v>0.3114754098360657</v>
      </c>
      <c r="AL160" s="5">
        <f>(AG160-T160)/T160</f>
        <v>-0.28703703703703703</v>
      </c>
      <c r="AM160" s="5">
        <f>(AH160-U160)/U160</f>
        <v>-0.5</v>
      </c>
      <c r="AN160" s="4">
        <v>0.31900000000000001</v>
      </c>
      <c r="AO160" s="4">
        <v>0.749</v>
      </c>
      <c r="AP160" s="4">
        <v>0.106</v>
      </c>
      <c r="AQ160" s="4">
        <v>8.5000000000000006E-2</v>
      </c>
      <c r="AR160" s="4">
        <v>0.26400000000000001</v>
      </c>
      <c r="AS160" s="4">
        <v>0.65300000000000002</v>
      </c>
      <c r="AT160" s="4">
        <v>7.9000000000000001E-2</v>
      </c>
      <c r="AU160" s="4">
        <v>7.2999999999999995E-2</v>
      </c>
      <c r="AV160" s="4">
        <v>0.39800000000000002</v>
      </c>
      <c r="AW160" s="4">
        <v>0.83399999999999996</v>
      </c>
      <c r="AX160" s="4">
        <v>8.5999999999999993E-2</v>
      </c>
      <c r="AY160" s="4">
        <v>7.0000000000000007E-2</v>
      </c>
      <c r="AZ160" s="4">
        <v>0.72099999999999997</v>
      </c>
      <c r="BA160" s="6">
        <f>(AV160-AN160)/AN160</f>
        <v>0.24764890282131666</v>
      </c>
      <c r="BB160" s="6">
        <f>(AW160-AO160)/AO160</f>
        <v>0.11348464619492653</v>
      </c>
      <c r="BC160" s="6">
        <f>(AX160-AP160)/AP160</f>
        <v>-0.18867924528301891</v>
      </c>
      <c r="BD160" s="6">
        <f>(AY160-AQ160)/AQ160</f>
        <v>-0.1764705882352941</v>
      </c>
      <c r="BE160" s="4">
        <v>0.33300000000000002</v>
      </c>
      <c r="BF160" s="4">
        <v>0.76100000000000001</v>
      </c>
      <c r="BG160" s="4">
        <v>6.5000000000000002E-2</v>
      </c>
      <c r="BH160" s="4">
        <v>6.4000000000000001E-2</v>
      </c>
      <c r="BI160" s="4">
        <v>0.71299999999999997</v>
      </c>
      <c r="BJ160" s="5">
        <f>(BE160-AN160)/AN160</f>
        <v>4.3887147335423232E-2</v>
      </c>
      <c r="BK160" s="5">
        <f>(BF160-AO160)/AO160</f>
        <v>1.6021361815754354E-2</v>
      </c>
      <c r="BL160" s="5">
        <f>(BG160-AP160)/AP160</f>
        <v>-0.38679245283018865</v>
      </c>
      <c r="BM160" s="5">
        <f>(BH160-AQ160)/AQ160</f>
        <v>-0.2470588235294118</v>
      </c>
      <c r="BN160" s="4">
        <v>0.33800000000000002</v>
      </c>
      <c r="BO160" s="4">
        <v>0.62</v>
      </c>
      <c r="BP160" s="4">
        <v>8.2000000000000003E-2</v>
      </c>
      <c r="BQ160" s="4">
        <v>0.215</v>
      </c>
      <c r="BR160" s="6">
        <f>(BN160-AR160)/AR160</f>
        <v>0.28030303030303033</v>
      </c>
      <c r="BS160" s="6">
        <f>(BO160-AS160)/AS160</f>
        <v>-5.0535987748851499E-2</v>
      </c>
      <c r="BT160" s="6">
        <f>(BP160-AT160)/AT160</f>
        <v>3.7974683544303833E-2</v>
      </c>
      <c r="BU160" s="6">
        <f>(BQ160-AU160)/AU160</f>
        <v>1.945205479452055</v>
      </c>
      <c r="BV160" s="9">
        <f>(BN160-BE160)/BE160</f>
        <v>1.5015015015015027E-2</v>
      </c>
      <c r="BW160" s="9">
        <f>(BO160-BF160)/BF160</f>
        <v>-0.18528252299605782</v>
      </c>
      <c r="BX160" s="9">
        <f>(BP160-BG160)/BG160</f>
        <v>0.26153846153846155</v>
      </c>
      <c r="BY160" s="9">
        <f>(BQ160-BH160)/BH160</f>
        <v>2.359375</v>
      </c>
      <c r="BZ160" s="4">
        <v>0.35099999999999998</v>
      </c>
      <c r="CA160" s="4">
        <v>0.79400000000000004</v>
      </c>
      <c r="CB160" s="4">
        <v>6.0999999999999999E-2</v>
      </c>
      <c r="CC160" s="4">
        <v>5.8999999999999997E-2</v>
      </c>
      <c r="CD160" s="9">
        <f>(BZ160-AR160)/AR160</f>
        <v>0.32954545454545442</v>
      </c>
      <c r="CE160" s="9">
        <f>(CA160-AS160)/AS160</f>
        <v>0.21592649310872897</v>
      </c>
      <c r="CF160" s="9">
        <f>(CB160-AT160)/AT160</f>
        <v>-0.22784810126582281</v>
      </c>
      <c r="CG160" s="9">
        <f>(CC160-AU160)/AU160</f>
        <v>-0.19178082191780821</v>
      </c>
      <c r="CH160" s="4">
        <f>(BZ160-BN160)/BN160</f>
        <v>3.8461538461538332E-2</v>
      </c>
      <c r="CI160" s="4">
        <f>(CA160-BO160)/BO160</f>
        <v>0.28064516129032263</v>
      </c>
      <c r="CJ160" s="4">
        <f>(CB160-BP160)/BP160</f>
        <v>-0.25609756097560982</v>
      </c>
      <c r="CK160" s="4">
        <f>(CC160-BQ160)/BQ160</f>
        <v>-0.72558139534883725</v>
      </c>
      <c r="CL160" s="4">
        <v>0.63900000000000001</v>
      </c>
      <c r="CM160" s="4">
        <v>0.373</v>
      </c>
      <c r="CN160" s="9">
        <f>CL160/CM160</f>
        <v>1.7131367292225201</v>
      </c>
    </row>
    <row r="161" spans="1:92" x14ac:dyDescent="0.3">
      <c r="A161" s="11" t="s">
        <v>162</v>
      </c>
      <c r="B161" s="13">
        <v>659</v>
      </c>
      <c r="C161" s="13">
        <v>33</v>
      </c>
      <c r="D161" s="13">
        <v>5</v>
      </c>
      <c r="E161" s="13">
        <v>4</v>
      </c>
      <c r="F161" s="13">
        <v>4</v>
      </c>
      <c r="G161" s="3" t="s">
        <v>9</v>
      </c>
      <c r="H161" s="4">
        <v>7.43</v>
      </c>
      <c r="I161" s="4">
        <v>1.52</v>
      </c>
      <c r="J161" s="4">
        <v>8.66</v>
      </c>
      <c r="K161" s="4">
        <v>1.71</v>
      </c>
      <c r="L161" s="5">
        <f>(H161-I161)/(H161+I161)</f>
        <v>0.66033519553072628</v>
      </c>
      <c r="M161" s="5">
        <f>(J161-K161)/(J161+K161)</f>
        <v>0.67020250723240116</v>
      </c>
      <c r="N161" s="4">
        <v>0.23</v>
      </c>
      <c r="O161" s="4">
        <v>0.57999999999999996</v>
      </c>
      <c r="P161" s="4">
        <v>8.8999999999999996E-2</v>
      </c>
      <c r="Q161" s="4">
        <v>0.08</v>
      </c>
      <c r="R161" s="4">
        <v>0.26</v>
      </c>
      <c r="S161" s="4">
        <v>0.51800000000000002</v>
      </c>
      <c r="T161" s="4">
        <v>0.113</v>
      </c>
      <c r="U161" s="4">
        <v>0.09</v>
      </c>
      <c r="V161" s="4">
        <v>0.35</v>
      </c>
      <c r="W161" s="4">
        <v>0.77800000000000002</v>
      </c>
      <c r="X161" s="4">
        <v>6.5000000000000002E-2</v>
      </c>
      <c r="Y161" s="4">
        <v>0.05</v>
      </c>
      <c r="Z161" s="4">
        <v>0.26700000000000002</v>
      </c>
      <c r="AA161" s="5">
        <f>(V161-N161)/N161</f>
        <v>0.52173913043478248</v>
      </c>
      <c r="AB161" s="5">
        <f>(W161-O161)/O161</f>
        <v>0.34137931034482771</v>
      </c>
      <c r="AC161" s="5">
        <f>(X161-P161)/P161</f>
        <v>-0.26966292134831454</v>
      </c>
      <c r="AD161" s="5">
        <f>(Y161-Q161)/Q161</f>
        <v>-0.375</v>
      </c>
      <c r="AE161" s="4">
        <v>0.4</v>
      </c>
      <c r="AF161" s="4">
        <v>0.69799999999999995</v>
      </c>
      <c r="AG161" s="4">
        <v>8.8999999999999996E-2</v>
      </c>
      <c r="AH161" s="4">
        <v>0.05</v>
      </c>
      <c r="AI161" s="4">
        <v>0.29199999999999998</v>
      </c>
      <c r="AJ161" s="5">
        <f>(AE161-R161)/R161</f>
        <v>0.53846153846153855</v>
      </c>
      <c r="AK161" s="5">
        <f>(AF161-S161)/S161</f>
        <v>0.34749034749034735</v>
      </c>
      <c r="AL161" s="5">
        <f>(AG161-T161)/T161</f>
        <v>-0.2123893805309735</v>
      </c>
      <c r="AM161" s="5">
        <f>(AH161-U161)/U161</f>
        <v>-0.44444444444444442</v>
      </c>
      <c r="AN161" s="4">
        <v>0.252</v>
      </c>
      <c r="AO161" s="4">
        <v>0.72199999999999998</v>
      </c>
      <c r="AP161" s="4">
        <v>0.10199999999999999</v>
      </c>
      <c r="AQ161" s="4">
        <v>9.4E-2</v>
      </c>
      <c r="AR161" s="4">
        <v>0.20100000000000001</v>
      </c>
      <c r="AS161" s="4">
        <v>0.58199999999999996</v>
      </c>
      <c r="AT161" s="4">
        <v>8.1000000000000003E-2</v>
      </c>
      <c r="AU161" s="4">
        <v>8.1000000000000003E-2</v>
      </c>
      <c r="AV161" s="4">
        <v>0.33500000000000002</v>
      </c>
      <c r="AW161" s="4">
        <v>0.79800000000000004</v>
      </c>
      <c r="AX161" s="4">
        <v>8.6999999999999994E-2</v>
      </c>
      <c r="AY161" s="4">
        <v>8.2000000000000003E-2</v>
      </c>
      <c r="AZ161" s="4">
        <v>0.67700000000000005</v>
      </c>
      <c r="BA161" s="6">
        <f>(AV161-AN161)/AN161</f>
        <v>0.32936507936507942</v>
      </c>
      <c r="BB161" s="6">
        <f>(AW161-AO161)/AO161</f>
        <v>0.10526315789473693</v>
      </c>
      <c r="BC161" s="6">
        <f>(AX161-AP161)/AP161</f>
        <v>-0.14705882352941177</v>
      </c>
      <c r="BD161" s="6">
        <f>(AY161-AQ161)/AQ161</f>
        <v>-0.12765957446808507</v>
      </c>
      <c r="BE161" s="4">
        <v>0.27</v>
      </c>
      <c r="BF161" s="4">
        <v>0.68799999999999994</v>
      </c>
      <c r="BG161" s="4">
        <v>7.0000000000000007E-2</v>
      </c>
      <c r="BH161" s="4">
        <v>7.4999999999999997E-2</v>
      </c>
      <c r="BI161" s="4">
        <v>0.65200000000000002</v>
      </c>
      <c r="BJ161" s="5">
        <f>(BE161-AN161)/AN161</f>
        <v>7.1428571428571494E-2</v>
      </c>
      <c r="BK161" s="5">
        <f>(BF161-AO161)/AO161</f>
        <v>-4.7091412742382315E-2</v>
      </c>
      <c r="BL161" s="5">
        <f>(BG161-AP161)/AP161</f>
        <v>-0.31372549019607832</v>
      </c>
      <c r="BM161" s="5">
        <f>(BH161-AQ161)/AQ161</f>
        <v>-0.20212765957446813</v>
      </c>
      <c r="BN161" s="4">
        <v>0.28399999999999997</v>
      </c>
      <c r="BO161" s="4">
        <v>0.56699999999999995</v>
      </c>
      <c r="BP161" s="4">
        <v>8.2000000000000003E-2</v>
      </c>
      <c r="BQ161" s="4">
        <v>0.18099999999999999</v>
      </c>
      <c r="BR161" s="6">
        <f>(BN161-AR161)/AR161</f>
        <v>0.41293532338308436</v>
      </c>
      <c r="BS161" s="6">
        <f>(BO161-AS161)/AS161</f>
        <v>-2.5773195876288683E-2</v>
      </c>
      <c r="BT161" s="6">
        <f>(BP161-AT161)/AT161</f>
        <v>1.2345679012345689E-2</v>
      </c>
      <c r="BU161" s="6">
        <f>(BQ161-AU161)/AU161</f>
        <v>1.2345679012345678</v>
      </c>
      <c r="BV161" s="9">
        <f>(BN161-BE161)/BE161</f>
        <v>5.1851851851851691E-2</v>
      </c>
      <c r="BW161" s="9">
        <f>(BO161-BF161)/BF161</f>
        <v>-0.17587209302325582</v>
      </c>
      <c r="BX161" s="9">
        <f>(BP161-BG161)/BG161</f>
        <v>0.17142857142857137</v>
      </c>
      <c r="BY161" s="9">
        <f>(BQ161-BH161)/BH161</f>
        <v>1.4133333333333333</v>
      </c>
      <c r="BZ161" s="4">
        <v>0.318</v>
      </c>
      <c r="CA161" s="4">
        <v>0.74099999999999999</v>
      </c>
      <c r="CB161" s="4">
        <v>6.3E-2</v>
      </c>
      <c r="CC161" s="4">
        <v>6.3E-2</v>
      </c>
      <c r="CD161" s="9">
        <f>(BZ161-AR161)/AR161</f>
        <v>0.58208955223880587</v>
      </c>
      <c r="CE161" s="9">
        <f>(CA161-AS161)/AS161</f>
        <v>0.27319587628865988</v>
      </c>
      <c r="CF161" s="9">
        <f>(CB161-AT161)/AT161</f>
        <v>-0.22222222222222224</v>
      </c>
      <c r="CG161" s="9">
        <f>(CC161-AU161)/AU161</f>
        <v>-0.22222222222222224</v>
      </c>
      <c r="CH161" s="4">
        <f>(BZ161-BN161)/BN161</f>
        <v>0.11971830985915505</v>
      </c>
      <c r="CI161" s="4">
        <f>(CA161-BO161)/BO161</f>
        <v>0.30687830687830697</v>
      </c>
      <c r="CJ161" s="4">
        <f>(CB161-BP161)/BP161</f>
        <v>-0.23170731707317077</v>
      </c>
      <c r="CK161" s="4">
        <f>(CC161-BQ161)/BQ161</f>
        <v>-0.65193370165745856</v>
      </c>
      <c r="CL161" s="4">
        <v>0.59399999999999997</v>
      </c>
      <c r="CM161" s="4">
        <v>0.42199999999999999</v>
      </c>
      <c r="CN161" s="9">
        <f>CL161/CM161</f>
        <v>1.4075829383886256</v>
      </c>
    </row>
    <row r="162" spans="1:92" x14ac:dyDescent="0.3">
      <c r="A162" s="11" t="s">
        <v>163</v>
      </c>
      <c r="B162" s="13">
        <v>11781</v>
      </c>
      <c r="C162" s="13">
        <v>21</v>
      </c>
      <c r="D162" s="13">
        <v>4</v>
      </c>
      <c r="E162" s="13">
        <v>3</v>
      </c>
      <c r="F162" s="13">
        <v>3</v>
      </c>
      <c r="G162" s="3" t="s">
        <v>9</v>
      </c>
      <c r="H162" s="4">
        <v>3.8</v>
      </c>
      <c r="I162" s="4">
        <v>2.21</v>
      </c>
      <c r="J162" s="4">
        <v>4.6100000000000003</v>
      </c>
      <c r="K162" s="4">
        <v>2.58</v>
      </c>
      <c r="L162" s="5">
        <f>(H162-I162)/(H162+I162)</f>
        <v>0.26455906821963393</v>
      </c>
      <c r="M162" s="5">
        <f>(J162-K162)/(J162+K162)</f>
        <v>0.28233657858136302</v>
      </c>
      <c r="N162" s="4">
        <v>0.18</v>
      </c>
      <c r="O162" s="4">
        <v>0.441</v>
      </c>
      <c r="P162" s="4">
        <v>0.11600000000000001</v>
      </c>
      <c r="Q162" s="4">
        <v>0.12</v>
      </c>
      <c r="R162" s="4">
        <v>0.22</v>
      </c>
      <c r="S162" s="4">
        <v>0.41</v>
      </c>
      <c r="T162" s="4">
        <v>0.14199999999999999</v>
      </c>
      <c r="U162" s="4">
        <v>0.14000000000000001</v>
      </c>
      <c r="V162" s="4">
        <v>0.33</v>
      </c>
      <c r="W162" s="4">
        <v>0.82599999999999996</v>
      </c>
      <c r="X162" s="4">
        <v>6.5000000000000002E-2</v>
      </c>
      <c r="Y162" s="4">
        <v>0.04</v>
      </c>
      <c r="Z162" s="4">
        <v>0.27300000000000002</v>
      </c>
      <c r="AA162" s="5">
        <f>(V162-N162)/N162</f>
        <v>0.83333333333333348</v>
      </c>
      <c r="AB162" s="5">
        <f>(W162-O162)/O162</f>
        <v>0.87301587301587291</v>
      </c>
      <c r="AC162" s="5">
        <f>(X162-P162)/P162</f>
        <v>-0.43965517241379309</v>
      </c>
      <c r="AD162" s="5">
        <f>(Y162-Q162)/Q162</f>
        <v>-0.66666666666666663</v>
      </c>
      <c r="AE162" s="4">
        <v>0.4</v>
      </c>
      <c r="AF162" s="4">
        <v>0.77800000000000002</v>
      </c>
      <c r="AG162" s="4">
        <v>8.6999999999999994E-2</v>
      </c>
      <c r="AH162" s="4">
        <v>0.05</v>
      </c>
      <c r="AI162" s="4">
        <v>0.27300000000000002</v>
      </c>
      <c r="AJ162" s="5">
        <f>(AE162-R162)/R162</f>
        <v>0.81818181818181823</v>
      </c>
      <c r="AK162" s="5">
        <f>(AF162-S162)/S162</f>
        <v>0.89756097560975623</v>
      </c>
      <c r="AL162" s="5">
        <f>(AG162-T162)/T162</f>
        <v>-0.38732394366197181</v>
      </c>
      <c r="AM162" s="5">
        <f>(AH162-U162)/U162</f>
        <v>-0.6428571428571429</v>
      </c>
      <c r="AN162" s="4">
        <v>0.23200000000000001</v>
      </c>
      <c r="AO162" s="4">
        <v>0.56599999999999995</v>
      </c>
      <c r="AP162" s="4">
        <v>0.13500000000000001</v>
      </c>
      <c r="AQ162" s="4">
        <v>0.14000000000000001</v>
      </c>
      <c r="AR162" s="4">
        <v>0.17199999999999999</v>
      </c>
      <c r="AS162" s="4">
        <v>0.124</v>
      </c>
      <c r="AT162" s="4">
        <v>0.13400000000000001</v>
      </c>
      <c r="AU162" s="4">
        <v>0.115</v>
      </c>
      <c r="AV162" s="4">
        <v>0.38700000000000001</v>
      </c>
      <c r="AW162" s="4">
        <v>0.89300000000000002</v>
      </c>
      <c r="AX162" s="4">
        <v>6.7000000000000004E-2</v>
      </c>
      <c r="AY162" s="4">
        <v>6.2E-2</v>
      </c>
      <c r="AZ162" s="4">
        <v>0.40300000000000002</v>
      </c>
      <c r="BA162" s="6">
        <f>(AV162-AN162)/AN162</f>
        <v>0.66810344827586199</v>
      </c>
      <c r="BB162" s="6">
        <f>(AW162-AO162)/AO162</f>
        <v>0.57773851590106029</v>
      </c>
      <c r="BC162" s="6">
        <f>(AX162-AP162)/AP162</f>
        <v>-0.50370370370370365</v>
      </c>
      <c r="BD162" s="6">
        <f>(AY162-AQ162)/AQ162</f>
        <v>-0.55714285714285716</v>
      </c>
      <c r="BE162" s="4">
        <v>0.30199999999999999</v>
      </c>
      <c r="BF162" s="4">
        <v>0.82699999999999996</v>
      </c>
      <c r="BG162" s="4">
        <v>0.06</v>
      </c>
      <c r="BH162" s="4">
        <v>0.05</v>
      </c>
      <c r="BI162" s="4">
        <v>0.39600000000000002</v>
      </c>
      <c r="BJ162" s="5">
        <f>(BE162-AN162)/AN162</f>
        <v>0.30172413793103436</v>
      </c>
      <c r="BK162" s="5">
        <f>(BF162-AO162)/AO162</f>
        <v>0.46113074204947002</v>
      </c>
      <c r="BL162" s="5">
        <f>(BG162-AP162)/AP162</f>
        <v>-0.55555555555555558</v>
      </c>
      <c r="BM162" s="5">
        <f>(BH162-AQ162)/AQ162</f>
        <v>-0.6428571428571429</v>
      </c>
      <c r="BN162" s="4">
        <v>0.30099999999999999</v>
      </c>
      <c r="BO162" s="4">
        <v>0.73799999999999999</v>
      </c>
      <c r="BP162" s="4">
        <v>7.2999999999999995E-2</v>
      </c>
      <c r="BQ162" s="4">
        <v>0.115</v>
      </c>
      <c r="BR162" s="6">
        <f>(BN162-AR162)/AR162</f>
        <v>0.75000000000000011</v>
      </c>
      <c r="BS162" s="6">
        <f>(BO162-AS162)/AS162</f>
        <v>4.9516129032258061</v>
      </c>
      <c r="BT162" s="6">
        <f>(BP162-AT162)/AT162</f>
        <v>-0.45522388059701502</v>
      </c>
      <c r="BU162" s="6">
        <f>(BQ162-AU162)/AU162</f>
        <v>0</v>
      </c>
      <c r="BV162" s="9">
        <f>(BN162-BE162)/BE162</f>
        <v>-3.3112582781456984E-3</v>
      </c>
      <c r="BW162" s="9">
        <f>(BO162-BF162)/BF162</f>
        <v>-0.10761789600967349</v>
      </c>
      <c r="BX162" s="9">
        <f>(BP162-BG162)/BG162</f>
        <v>0.21666666666666665</v>
      </c>
      <c r="BY162" s="9">
        <f>(BQ162-BH162)/BH162</f>
        <v>1.3</v>
      </c>
      <c r="BZ162" s="4">
        <v>0.33800000000000002</v>
      </c>
      <c r="CA162" s="4">
        <v>0.878</v>
      </c>
      <c r="CB162" s="4">
        <v>0.05</v>
      </c>
      <c r="CC162" s="4">
        <v>4.4999999999999998E-2</v>
      </c>
      <c r="CD162" s="9">
        <f>(BZ162-AR162)/AR162</f>
        <v>0.96511627906976771</v>
      </c>
      <c r="CE162" s="9">
        <f>(CA162-AS162)/AS162</f>
        <v>6.080645161290323</v>
      </c>
      <c r="CF162" s="9">
        <f>(CB162-AT162)/AT162</f>
        <v>-0.62686567164179108</v>
      </c>
      <c r="CG162" s="9">
        <f>(CC162-AU162)/AU162</f>
        <v>-0.60869565217391308</v>
      </c>
      <c r="CH162" s="4">
        <f>(BZ162-BN162)/BN162</f>
        <v>0.12292358803986722</v>
      </c>
      <c r="CI162" s="4">
        <f>(CA162-BO162)/BO162</f>
        <v>0.18970189701897022</v>
      </c>
      <c r="CJ162" s="4">
        <f>(CB162-BP162)/BP162</f>
        <v>-0.31506849315068486</v>
      </c>
      <c r="CK162" s="4">
        <f>(CC162-BQ162)/BQ162</f>
        <v>-0.60869565217391308</v>
      </c>
      <c r="CL162" s="4">
        <v>0.39500000000000002</v>
      </c>
      <c r="CM162" s="4">
        <v>0.56899999999999995</v>
      </c>
      <c r="CN162" s="9">
        <f>CL162/CM162</f>
        <v>0.69420035149384896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2024-03-30T14:02:20Z</dcterms:created>
  <dcterms:modified xsi:type="dcterms:W3CDTF">2024-03-30T14:03:17Z</dcterms:modified>
</cp:coreProperties>
</file>