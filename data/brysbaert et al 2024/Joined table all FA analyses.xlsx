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\Documents\Factor analysis Psychologica Belgica\"/>
    </mc:Choice>
  </mc:AlternateContent>
  <bookViews>
    <workbookView xWindow="0" yWindow="0" windowWidth="23040" windowHeight="90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F92" i="1" l="1"/>
  <c r="FF89" i="1"/>
  <c r="FF88" i="1"/>
  <c r="FF87" i="1"/>
  <c r="FF86" i="1"/>
  <c r="FF85" i="1"/>
  <c r="FF84" i="1"/>
  <c r="FF83" i="1"/>
  <c r="FF82" i="1"/>
  <c r="FF77" i="1"/>
  <c r="FF76" i="1"/>
  <c r="FF75" i="1"/>
  <c r="FF74" i="1"/>
  <c r="FF73" i="1"/>
  <c r="FF72" i="1"/>
  <c r="FF71" i="1"/>
  <c r="FF70" i="1"/>
  <c r="FF65" i="1"/>
  <c r="FF64" i="1"/>
  <c r="FF63" i="1"/>
  <c r="FF62" i="1"/>
  <c r="FF56" i="1"/>
  <c r="FF55" i="1"/>
  <c r="FF54" i="1"/>
  <c r="FF53" i="1"/>
  <c r="FF39" i="1"/>
  <c r="FF38" i="1"/>
  <c r="FF37" i="1"/>
  <c r="FF36" i="1"/>
  <c r="FF30" i="1"/>
  <c r="FF29" i="1"/>
  <c r="FF28" i="1"/>
  <c r="FF27" i="1"/>
  <c r="FF13" i="1"/>
  <c r="FF12" i="1"/>
  <c r="FE92" i="1"/>
  <c r="FE89" i="1"/>
  <c r="FE88" i="1"/>
  <c r="FE87" i="1"/>
  <c r="FE86" i="1"/>
  <c r="FE85" i="1"/>
  <c r="FE84" i="1"/>
  <c r="FE83" i="1"/>
  <c r="FE82" i="1"/>
  <c r="FE77" i="1"/>
  <c r="FE76" i="1"/>
  <c r="FE75" i="1"/>
  <c r="FE74" i="1"/>
  <c r="FE73" i="1"/>
  <c r="FE72" i="1"/>
  <c r="FE71" i="1"/>
  <c r="FE70" i="1"/>
  <c r="FE65" i="1"/>
  <c r="FE64" i="1"/>
  <c r="FE63" i="1"/>
  <c r="FE62" i="1"/>
  <c r="FE56" i="1"/>
  <c r="FE55" i="1"/>
  <c r="FE54" i="1"/>
  <c r="FE53" i="1"/>
  <c r="FE39" i="1"/>
  <c r="FE38" i="1"/>
  <c r="FE37" i="1"/>
  <c r="FE36" i="1"/>
  <c r="FE30" i="1"/>
  <c r="FE29" i="1"/>
  <c r="FE28" i="1"/>
  <c r="FE27" i="1"/>
  <c r="FE13" i="1"/>
  <c r="FE12" i="1"/>
  <c r="FD92" i="1"/>
  <c r="FD89" i="1"/>
  <c r="FD88" i="1"/>
  <c r="FD87" i="1"/>
  <c r="FD86" i="1"/>
  <c r="FD85" i="1"/>
  <c r="FD84" i="1"/>
  <c r="FD83" i="1"/>
  <c r="FD82" i="1"/>
  <c r="FD77" i="1"/>
  <c r="FD76" i="1"/>
  <c r="FD75" i="1"/>
  <c r="FD74" i="1"/>
  <c r="FD73" i="1"/>
  <c r="FD72" i="1"/>
  <c r="FD71" i="1"/>
  <c r="FD70" i="1"/>
  <c r="FD65" i="1"/>
  <c r="FD64" i="1"/>
  <c r="FD63" i="1"/>
  <c r="FD62" i="1"/>
  <c r="FD56" i="1"/>
  <c r="FD55" i="1"/>
  <c r="FD54" i="1"/>
  <c r="FD53" i="1"/>
  <c r="FD39" i="1"/>
  <c r="FD38" i="1"/>
  <c r="FD37" i="1"/>
  <c r="FD36" i="1"/>
  <c r="FD30" i="1"/>
  <c r="FD29" i="1"/>
  <c r="FD28" i="1"/>
  <c r="FD27" i="1"/>
  <c r="FD13" i="1"/>
  <c r="FD12" i="1"/>
  <c r="FC92" i="1"/>
  <c r="FC89" i="1"/>
  <c r="FC88" i="1"/>
  <c r="FC87" i="1"/>
  <c r="FC86" i="1"/>
  <c r="FC85" i="1"/>
  <c r="FC84" i="1"/>
  <c r="FC83" i="1"/>
  <c r="FC82" i="1"/>
  <c r="FC77" i="1"/>
  <c r="FC76" i="1"/>
  <c r="FC75" i="1"/>
  <c r="FC74" i="1"/>
  <c r="FC73" i="1"/>
  <c r="FC72" i="1"/>
  <c r="FC71" i="1"/>
  <c r="FC70" i="1"/>
  <c r="FC65" i="1"/>
  <c r="FC64" i="1"/>
  <c r="FC63" i="1"/>
  <c r="FC62" i="1"/>
  <c r="FC56" i="1" l="1"/>
  <c r="FC55" i="1"/>
  <c r="FC54" i="1"/>
  <c r="FC53" i="1"/>
  <c r="FC39" i="1"/>
  <c r="FC38" i="1"/>
  <c r="FC37" i="1"/>
  <c r="FC36" i="1"/>
  <c r="FC30" i="1"/>
  <c r="FC29" i="1"/>
  <c r="FC28" i="1"/>
  <c r="FC27" i="1"/>
  <c r="FC13" i="1"/>
  <c r="FC12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7" i="1"/>
  <c r="B88" i="1"/>
  <c r="B89" i="1"/>
  <c r="B86" i="1"/>
  <c r="FB92" i="1"/>
  <c r="FB85" i="1"/>
  <c r="FB84" i="1"/>
  <c r="FB83" i="1"/>
  <c r="FB82" i="1"/>
  <c r="FB77" i="1"/>
  <c r="FB76" i="1"/>
  <c r="FB75" i="1"/>
  <c r="FB74" i="1"/>
  <c r="FB73" i="1"/>
  <c r="FB72" i="1"/>
  <c r="FB71" i="1"/>
  <c r="FB70" i="1"/>
  <c r="FB65" i="1"/>
  <c r="FB64" i="1"/>
  <c r="FB63" i="1"/>
  <c r="FB62" i="1"/>
  <c r="FB56" i="1"/>
  <c r="FB55" i="1"/>
  <c r="FB54" i="1"/>
  <c r="FB53" i="1"/>
  <c r="FB39" i="1"/>
  <c r="FB38" i="1"/>
  <c r="FB37" i="1"/>
  <c r="FB36" i="1"/>
  <c r="FB30" i="1"/>
  <c r="FB29" i="1"/>
  <c r="FB28" i="1"/>
  <c r="FB27" i="1"/>
  <c r="FB13" i="1"/>
  <c r="FB12" i="1"/>
  <c r="FA92" i="1" l="1"/>
  <c r="FA85" i="1"/>
  <c r="FA84" i="1"/>
  <c r="FA83" i="1"/>
  <c r="FA82" i="1"/>
  <c r="FA77" i="1"/>
  <c r="FA76" i="1"/>
  <c r="FA75" i="1"/>
  <c r="FA74" i="1"/>
  <c r="FA73" i="1"/>
  <c r="FA72" i="1"/>
  <c r="FA71" i="1"/>
  <c r="FA70" i="1"/>
  <c r="FA65" i="1"/>
  <c r="FA64" i="1"/>
  <c r="FA63" i="1"/>
  <c r="FA62" i="1"/>
  <c r="FA56" i="1"/>
  <c r="FA55" i="1"/>
  <c r="FA54" i="1"/>
  <c r="FA53" i="1"/>
  <c r="FA39" i="1"/>
  <c r="FA38" i="1"/>
  <c r="FA37" i="1"/>
  <c r="FA36" i="1"/>
  <c r="FA30" i="1"/>
  <c r="FA29" i="1"/>
  <c r="FA28" i="1"/>
  <c r="FA27" i="1"/>
  <c r="FA13" i="1"/>
  <c r="FA12" i="1"/>
  <c r="EZ92" i="1" l="1"/>
  <c r="EZ85" i="1"/>
  <c r="EZ84" i="1"/>
  <c r="EZ83" i="1"/>
  <c r="EZ82" i="1"/>
  <c r="EZ77" i="1"/>
  <c r="EZ76" i="1"/>
  <c r="EZ75" i="1"/>
  <c r="EZ74" i="1"/>
  <c r="EZ73" i="1"/>
  <c r="EZ72" i="1"/>
  <c r="EZ71" i="1"/>
  <c r="EZ70" i="1"/>
  <c r="EZ65" i="1"/>
  <c r="EZ64" i="1"/>
  <c r="EZ63" i="1"/>
  <c r="EZ62" i="1"/>
  <c r="EZ56" i="1"/>
  <c r="EZ55" i="1"/>
  <c r="EZ54" i="1"/>
  <c r="EZ53" i="1"/>
  <c r="EZ39" i="1"/>
  <c r="EZ38" i="1"/>
  <c r="EZ37" i="1"/>
  <c r="EZ36" i="1"/>
  <c r="EZ30" i="1"/>
  <c r="EZ29" i="1"/>
  <c r="EZ28" i="1"/>
  <c r="EZ27" i="1"/>
  <c r="EZ13" i="1"/>
  <c r="EZ12" i="1"/>
  <c r="BD77" i="1" l="1"/>
  <c r="BD76" i="1"/>
  <c r="BD75" i="1"/>
  <c r="BD65" i="1"/>
  <c r="BD64" i="1"/>
  <c r="BD63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EY85" i="1"/>
  <c r="EY84" i="1"/>
  <c r="EY83" i="1"/>
  <c r="EY82" i="1"/>
  <c r="EY73" i="1"/>
  <c r="EY72" i="1"/>
  <c r="EY71" i="1"/>
  <c r="EY70" i="1"/>
  <c r="EY56" i="1"/>
  <c r="EY55" i="1"/>
  <c r="EY54" i="1"/>
  <c r="EY53" i="1"/>
  <c r="EY92" i="1"/>
  <c r="EX92" i="1"/>
  <c r="EY77" i="1"/>
  <c r="EY76" i="1"/>
  <c r="EY75" i="1"/>
  <c r="EY74" i="1"/>
  <c r="EY65" i="1"/>
  <c r="EY64" i="1"/>
  <c r="EY63" i="1"/>
  <c r="EY62" i="1"/>
  <c r="EX39" i="1"/>
  <c r="EY39" i="1"/>
  <c r="EX38" i="1"/>
  <c r="EY38" i="1"/>
  <c r="EX37" i="1"/>
  <c r="EY37" i="1"/>
  <c r="EX36" i="1"/>
  <c r="EY36" i="1"/>
  <c r="EX30" i="1"/>
  <c r="EY30" i="1"/>
  <c r="EX29" i="1"/>
  <c r="EY29" i="1"/>
  <c r="EX28" i="1"/>
  <c r="EY28" i="1"/>
  <c r="EX27" i="1"/>
  <c r="EY27" i="1"/>
  <c r="EX13" i="1"/>
  <c r="EY13" i="1"/>
  <c r="EX12" i="1"/>
  <c r="EY12" i="1"/>
  <c r="EW92" i="1" l="1"/>
  <c r="EW39" i="1"/>
  <c r="EW38" i="1"/>
  <c r="EW37" i="1"/>
  <c r="EW36" i="1"/>
  <c r="EW30" i="1"/>
  <c r="EW29" i="1"/>
  <c r="EW28" i="1"/>
  <c r="EW27" i="1"/>
  <c r="EW13" i="1"/>
  <c r="EW12" i="1"/>
  <c r="EV92" i="1"/>
  <c r="EV39" i="1"/>
  <c r="EV38" i="1"/>
  <c r="EV37" i="1"/>
  <c r="EV36" i="1"/>
  <c r="EV30" i="1"/>
  <c r="EV29" i="1"/>
  <c r="EV28" i="1"/>
  <c r="EV27" i="1"/>
  <c r="EV13" i="1"/>
  <c r="EV12" i="1"/>
  <c r="EU92" i="1"/>
  <c r="EU39" i="1"/>
  <c r="EU38" i="1"/>
  <c r="EU37" i="1"/>
  <c r="EU36" i="1"/>
  <c r="EU30" i="1"/>
  <c r="EU29" i="1"/>
  <c r="EU28" i="1"/>
  <c r="EU27" i="1"/>
  <c r="EU13" i="1"/>
  <c r="EU12" i="1"/>
  <c r="ET92" i="1"/>
  <c r="ET39" i="1"/>
  <c r="ET38" i="1"/>
  <c r="ET37" i="1"/>
  <c r="ET36" i="1"/>
  <c r="ET30" i="1"/>
  <c r="ET29" i="1"/>
  <c r="ET28" i="1"/>
  <c r="ET27" i="1"/>
  <c r="ET13" i="1"/>
  <c r="ET12" i="1"/>
  <c r="ES92" i="1" l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BO39" i="1" l="1"/>
  <c r="BO38" i="1"/>
  <c r="BO37" i="1"/>
  <c r="BO36" i="1"/>
  <c r="BO30" i="1"/>
  <c r="BO29" i="1"/>
  <c r="BO28" i="1"/>
  <c r="BO27" i="1"/>
  <c r="BO13" i="1"/>
  <c r="BO12" i="1"/>
  <c r="F39" i="1"/>
  <c r="F38" i="1"/>
  <c r="F37" i="1"/>
  <c r="F36" i="1"/>
  <c r="F30" i="1"/>
  <c r="F29" i="1"/>
  <c r="F28" i="1"/>
  <c r="F27" i="1"/>
  <c r="F13" i="1"/>
  <c r="F12" i="1"/>
  <c r="G39" i="1" l="1"/>
  <c r="G38" i="1"/>
  <c r="G37" i="1"/>
  <c r="G36" i="1"/>
  <c r="G30" i="1"/>
  <c r="G29" i="1"/>
  <c r="G28" i="1"/>
  <c r="G27" i="1"/>
  <c r="G13" i="1"/>
  <c r="G12" i="1"/>
  <c r="ED39" i="1" l="1"/>
  <c r="ED38" i="1"/>
  <c r="ED37" i="1"/>
  <c r="ED36" i="1"/>
  <c r="ED13" i="1"/>
  <c r="EC39" i="1"/>
  <c r="EC38" i="1"/>
  <c r="EC37" i="1"/>
  <c r="EC36" i="1"/>
  <c r="EC13" i="1"/>
  <c r="BY39" i="1"/>
  <c r="BY38" i="1"/>
  <c r="BY37" i="1"/>
  <c r="BY36" i="1"/>
  <c r="BY13" i="1"/>
  <c r="BU39" i="1"/>
  <c r="BU38" i="1"/>
  <c r="BU37" i="1"/>
  <c r="BU36" i="1"/>
  <c r="BU13" i="1"/>
  <c r="X39" i="1"/>
  <c r="X38" i="1"/>
  <c r="X37" i="1"/>
  <c r="X36" i="1"/>
  <c r="X30" i="1"/>
  <c r="X29" i="1"/>
  <c r="X28" i="1"/>
  <c r="X27" i="1"/>
  <c r="BS39" i="1" l="1"/>
  <c r="BS38" i="1"/>
  <c r="BS37" i="1"/>
  <c r="BS36" i="1"/>
  <c r="BS30" i="1"/>
  <c r="BS29" i="1"/>
  <c r="BS28" i="1"/>
  <c r="BS27" i="1"/>
  <c r="BR39" i="1"/>
  <c r="BR38" i="1"/>
  <c r="BR37" i="1"/>
  <c r="BR36" i="1"/>
  <c r="BR30" i="1"/>
  <c r="BR29" i="1"/>
  <c r="BR28" i="1"/>
  <c r="BR27" i="1"/>
  <c r="BQ39" i="1"/>
  <c r="BQ38" i="1"/>
  <c r="BQ37" i="1"/>
  <c r="BQ36" i="1"/>
  <c r="BQ30" i="1"/>
  <c r="BQ29" i="1"/>
  <c r="BQ28" i="1"/>
  <c r="BQ27" i="1"/>
  <c r="BP39" i="1"/>
  <c r="BP38" i="1"/>
  <c r="BP37" i="1"/>
  <c r="BP36" i="1"/>
  <c r="BP30" i="1"/>
  <c r="BP29" i="1"/>
  <c r="BP28" i="1"/>
  <c r="BP27" i="1"/>
  <c r="BN39" i="1"/>
  <c r="BN38" i="1"/>
  <c r="BN37" i="1"/>
  <c r="BN36" i="1"/>
  <c r="BN30" i="1"/>
  <c r="BN29" i="1"/>
  <c r="BN28" i="1"/>
  <c r="BN27" i="1"/>
  <c r="BM39" i="1"/>
  <c r="BM38" i="1"/>
  <c r="BM37" i="1"/>
  <c r="BM36" i="1"/>
  <c r="BM30" i="1"/>
  <c r="BM29" i="1"/>
  <c r="BM28" i="1"/>
  <c r="BM27" i="1"/>
  <c r="BL39" i="1"/>
  <c r="BL38" i="1"/>
  <c r="BL37" i="1"/>
  <c r="BL36" i="1"/>
  <c r="BL30" i="1"/>
  <c r="BL29" i="1"/>
  <c r="BL28" i="1"/>
  <c r="BL27" i="1"/>
  <c r="BK39" i="1"/>
  <c r="BK38" i="1"/>
  <c r="BK37" i="1"/>
  <c r="BK36" i="1"/>
  <c r="BK30" i="1"/>
  <c r="BK29" i="1"/>
  <c r="BK28" i="1"/>
  <c r="BK27" i="1"/>
  <c r="BJ39" i="1"/>
  <c r="BJ38" i="1"/>
  <c r="BJ37" i="1"/>
  <c r="BJ36" i="1"/>
  <c r="BJ30" i="1"/>
  <c r="BJ29" i="1"/>
  <c r="BJ28" i="1"/>
  <c r="BJ27" i="1"/>
  <c r="BI39" i="1"/>
  <c r="BI38" i="1"/>
  <c r="BI37" i="1"/>
  <c r="BI36" i="1"/>
  <c r="BI30" i="1"/>
  <c r="BI29" i="1"/>
  <c r="BI28" i="1"/>
  <c r="BI27" i="1"/>
  <c r="BH39" i="1"/>
  <c r="BH38" i="1"/>
  <c r="BH37" i="1"/>
  <c r="BH36" i="1"/>
  <c r="BH30" i="1"/>
  <c r="BH29" i="1"/>
  <c r="BH28" i="1"/>
  <c r="BH27" i="1"/>
  <c r="BG39" i="1"/>
  <c r="BG38" i="1"/>
  <c r="BG37" i="1"/>
  <c r="BG36" i="1"/>
  <c r="BG30" i="1"/>
  <c r="BG29" i="1"/>
  <c r="BG28" i="1"/>
  <c r="BG27" i="1"/>
  <c r="BF39" i="1"/>
  <c r="BF38" i="1"/>
  <c r="BF37" i="1"/>
  <c r="BF36" i="1"/>
  <c r="BF30" i="1"/>
  <c r="BF29" i="1"/>
  <c r="BF28" i="1"/>
  <c r="BF27" i="1"/>
  <c r="BE39" i="1"/>
  <c r="BE38" i="1"/>
  <c r="BE37" i="1"/>
  <c r="BE36" i="1"/>
  <c r="BE30" i="1"/>
  <c r="BE29" i="1"/>
  <c r="BE28" i="1"/>
  <c r="BE27" i="1"/>
  <c r="BD39" i="1"/>
  <c r="BD38" i="1"/>
  <c r="BD37" i="1"/>
  <c r="BD36" i="1"/>
  <c r="BD30" i="1"/>
  <c r="BD29" i="1"/>
  <c r="BD28" i="1"/>
  <c r="BD27" i="1"/>
  <c r="BC39" i="1"/>
  <c r="BC38" i="1"/>
  <c r="BC37" i="1"/>
  <c r="BC36" i="1"/>
  <c r="BC30" i="1"/>
  <c r="BC29" i="1"/>
  <c r="BC28" i="1"/>
  <c r="BC27" i="1"/>
  <c r="BB39" i="1"/>
  <c r="BB38" i="1"/>
  <c r="BB37" i="1"/>
  <c r="BB36" i="1"/>
  <c r="BB30" i="1"/>
  <c r="BB29" i="1"/>
  <c r="BB28" i="1"/>
  <c r="BB27" i="1"/>
  <c r="BA39" i="1"/>
  <c r="BA38" i="1"/>
  <c r="BA37" i="1"/>
  <c r="BA36" i="1"/>
  <c r="BA30" i="1"/>
  <c r="BA29" i="1"/>
  <c r="BA28" i="1"/>
  <c r="BA27" i="1"/>
  <c r="AZ39" i="1"/>
  <c r="AZ38" i="1"/>
  <c r="AZ37" i="1"/>
  <c r="AZ36" i="1"/>
  <c r="AZ30" i="1"/>
  <c r="AZ29" i="1"/>
  <c r="AZ28" i="1"/>
  <c r="AZ27" i="1"/>
  <c r="AY39" i="1"/>
  <c r="AY38" i="1"/>
  <c r="AY37" i="1"/>
  <c r="AY36" i="1"/>
  <c r="AY30" i="1"/>
  <c r="AY29" i="1"/>
  <c r="AY28" i="1"/>
  <c r="AY27" i="1"/>
  <c r="AX39" i="1"/>
  <c r="AX38" i="1"/>
  <c r="AX37" i="1"/>
  <c r="AX36" i="1"/>
  <c r="AX30" i="1"/>
  <c r="AX29" i="1"/>
  <c r="AX28" i="1"/>
  <c r="AX27" i="1"/>
  <c r="AW39" i="1"/>
  <c r="AW38" i="1"/>
  <c r="AW37" i="1"/>
  <c r="AW36" i="1"/>
  <c r="AW30" i="1"/>
  <c r="AW29" i="1"/>
  <c r="AW28" i="1"/>
  <c r="AW27" i="1"/>
  <c r="AV39" i="1"/>
  <c r="AV38" i="1"/>
  <c r="AV37" i="1"/>
  <c r="AV36" i="1"/>
  <c r="AV30" i="1"/>
  <c r="AV29" i="1"/>
  <c r="AV28" i="1"/>
  <c r="AV27" i="1"/>
  <c r="AT39" i="1"/>
  <c r="AT38" i="1"/>
  <c r="AT37" i="1"/>
  <c r="AT36" i="1"/>
  <c r="AT30" i="1"/>
  <c r="AT29" i="1"/>
  <c r="AT28" i="1"/>
  <c r="AT27" i="1"/>
  <c r="AS39" i="1"/>
  <c r="AS38" i="1"/>
  <c r="AS37" i="1"/>
  <c r="AS36" i="1"/>
  <c r="AS30" i="1"/>
  <c r="AS29" i="1"/>
  <c r="AS28" i="1"/>
  <c r="AS27" i="1"/>
  <c r="AR39" i="1"/>
  <c r="AR38" i="1"/>
  <c r="AR37" i="1"/>
  <c r="AR36" i="1"/>
  <c r="AR30" i="1"/>
  <c r="AR29" i="1"/>
  <c r="AR28" i="1"/>
  <c r="AR27" i="1"/>
  <c r="AQ39" i="1"/>
  <c r="AQ38" i="1"/>
  <c r="AQ37" i="1"/>
  <c r="AQ36" i="1"/>
  <c r="AQ30" i="1"/>
  <c r="AQ29" i="1"/>
  <c r="AQ28" i="1"/>
  <c r="AQ27" i="1"/>
  <c r="AP39" i="1"/>
  <c r="AP38" i="1"/>
  <c r="AP37" i="1"/>
  <c r="AP36" i="1"/>
  <c r="AP30" i="1"/>
  <c r="AP29" i="1"/>
  <c r="AP28" i="1"/>
  <c r="AP27" i="1"/>
  <c r="AP13" i="1"/>
  <c r="AP12" i="1"/>
  <c r="AO39" i="1"/>
  <c r="AO38" i="1"/>
  <c r="AO37" i="1"/>
  <c r="AO36" i="1"/>
  <c r="AO30" i="1"/>
  <c r="AO29" i="1"/>
  <c r="AO28" i="1"/>
  <c r="AO27" i="1"/>
  <c r="AN39" i="1"/>
  <c r="AN38" i="1"/>
  <c r="AN37" i="1"/>
  <c r="AN36" i="1"/>
  <c r="AN30" i="1"/>
  <c r="AN29" i="1"/>
  <c r="AN28" i="1"/>
  <c r="AN27" i="1"/>
  <c r="AM39" i="1"/>
  <c r="AM38" i="1"/>
  <c r="AM37" i="1"/>
  <c r="AM36" i="1"/>
  <c r="AM30" i="1"/>
  <c r="AM29" i="1"/>
  <c r="AM28" i="1"/>
  <c r="AM27" i="1"/>
  <c r="AL39" i="1"/>
  <c r="AL38" i="1"/>
  <c r="AL37" i="1"/>
  <c r="AL36" i="1"/>
  <c r="AL30" i="1"/>
  <c r="AL29" i="1"/>
  <c r="AL28" i="1"/>
  <c r="AL27" i="1"/>
  <c r="AK39" i="1"/>
  <c r="AK38" i="1"/>
  <c r="AK37" i="1"/>
  <c r="AK36" i="1"/>
  <c r="AK30" i="1"/>
  <c r="AK29" i="1"/>
  <c r="AK28" i="1"/>
  <c r="AK27" i="1"/>
  <c r="AJ39" i="1"/>
  <c r="AJ38" i="1"/>
  <c r="AJ37" i="1"/>
  <c r="AJ36" i="1"/>
  <c r="AJ30" i="1"/>
  <c r="AJ29" i="1"/>
  <c r="AJ28" i="1"/>
  <c r="AJ27" i="1"/>
  <c r="AI39" i="1"/>
  <c r="AI38" i="1"/>
  <c r="AI37" i="1"/>
  <c r="AI36" i="1"/>
  <c r="AI30" i="1"/>
  <c r="AI29" i="1"/>
  <c r="AI28" i="1"/>
  <c r="AI27" i="1"/>
  <c r="AH39" i="1"/>
  <c r="AH38" i="1"/>
  <c r="AH37" i="1"/>
  <c r="AH36" i="1"/>
  <c r="AH30" i="1"/>
  <c r="AH29" i="1"/>
  <c r="AH28" i="1"/>
  <c r="AH27" i="1"/>
  <c r="AG39" i="1"/>
  <c r="AG38" i="1"/>
  <c r="AG37" i="1"/>
  <c r="AG36" i="1"/>
  <c r="AG30" i="1"/>
  <c r="AG29" i="1"/>
  <c r="AG28" i="1"/>
  <c r="AG27" i="1"/>
  <c r="AF39" i="1"/>
  <c r="AF38" i="1"/>
  <c r="AF37" i="1"/>
  <c r="AF36" i="1"/>
  <c r="AF30" i="1"/>
  <c r="AF29" i="1"/>
  <c r="AF28" i="1"/>
  <c r="AF27" i="1"/>
  <c r="AE39" i="1"/>
  <c r="AE38" i="1"/>
  <c r="AE37" i="1"/>
  <c r="AE36" i="1"/>
  <c r="AE30" i="1"/>
  <c r="AE29" i="1"/>
  <c r="AE28" i="1"/>
  <c r="AE27" i="1"/>
  <c r="AD39" i="1"/>
  <c r="AD38" i="1"/>
  <c r="AD37" i="1"/>
  <c r="AD36" i="1"/>
  <c r="AD30" i="1"/>
  <c r="AD29" i="1"/>
  <c r="AD28" i="1"/>
  <c r="AD27" i="1"/>
  <c r="AC39" i="1"/>
  <c r="AC38" i="1"/>
  <c r="AC37" i="1"/>
  <c r="AC36" i="1"/>
  <c r="AC30" i="1"/>
  <c r="AC29" i="1"/>
  <c r="AC28" i="1"/>
  <c r="AC27" i="1"/>
  <c r="AB39" i="1"/>
  <c r="AB38" i="1"/>
  <c r="AB37" i="1"/>
  <c r="AB36" i="1"/>
  <c r="AB30" i="1"/>
  <c r="AB29" i="1"/>
  <c r="AB28" i="1"/>
  <c r="AB27" i="1"/>
  <c r="AA39" i="1" l="1"/>
  <c r="AA38" i="1"/>
  <c r="AA37" i="1"/>
  <c r="AA36" i="1"/>
  <c r="AA30" i="1"/>
  <c r="AA29" i="1"/>
  <c r="AA28" i="1"/>
  <c r="AA27" i="1"/>
  <c r="Z39" i="1"/>
  <c r="Z38" i="1"/>
  <c r="Z37" i="1"/>
  <c r="Z36" i="1"/>
  <c r="Z30" i="1"/>
  <c r="Z29" i="1"/>
  <c r="Z28" i="1"/>
  <c r="Z27" i="1"/>
  <c r="W39" i="1"/>
  <c r="W38" i="1"/>
  <c r="W37" i="1"/>
  <c r="W36" i="1"/>
  <c r="W30" i="1"/>
  <c r="W29" i="1"/>
  <c r="W28" i="1"/>
  <c r="W27" i="1"/>
  <c r="T39" i="1"/>
  <c r="T38" i="1"/>
  <c r="T37" i="1"/>
  <c r="T36" i="1"/>
  <c r="T30" i="1"/>
  <c r="T29" i="1"/>
  <c r="T28" i="1"/>
  <c r="T27" i="1"/>
  <c r="U39" i="1"/>
  <c r="U38" i="1"/>
  <c r="U37" i="1"/>
  <c r="U36" i="1"/>
  <c r="U30" i="1"/>
  <c r="U29" i="1"/>
  <c r="U28" i="1"/>
  <c r="U27" i="1"/>
  <c r="S39" i="1"/>
  <c r="S38" i="1"/>
  <c r="S37" i="1"/>
  <c r="S36" i="1"/>
  <c r="S30" i="1"/>
  <c r="S29" i="1"/>
  <c r="S28" i="1"/>
  <c r="S27" i="1"/>
  <c r="Y39" i="1"/>
  <c r="Y38" i="1"/>
  <c r="Y37" i="1"/>
  <c r="Y36" i="1"/>
  <c r="Y30" i="1"/>
  <c r="Y29" i="1"/>
  <c r="Y28" i="1"/>
  <c r="Y27" i="1"/>
  <c r="V39" i="1"/>
  <c r="V38" i="1"/>
  <c r="V37" i="1"/>
  <c r="V36" i="1"/>
  <c r="V30" i="1"/>
  <c r="V29" i="1"/>
  <c r="V28" i="1"/>
  <c r="V27" i="1"/>
  <c r="R39" i="1"/>
  <c r="R38" i="1"/>
  <c r="R37" i="1"/>
  <c r="R36" i="1"/>
  <c r="R30" i="1"/>
  <c r="R29" i="1"/>
  <c r="R28" i="1"/>
  <c r="R27" i="1"/>
  <c r="Q39" i="1"/>
  <c r="Q38" i="1"/>
  <c r="Q37" i="1"/>
  <c r="Q36" i="1"/>
  <c r="Q30" i="1"/>
  <c r="Q29" i="1"/>
  <c r="Q28" i="1"/>
  <c r="Q27" i="1"/>
  <c r="P39" i="1"/>
  <c r="P38" i="1"/>
  <c r="P37" i="1"/>
  <c r="P36" i="1"/>
  <c r="P30" i="1"/>
  <c r="P29" i="1"/>
  <c r="P28" i="1"/>
  <c r="P27" i="1"/>
  <c r="AU39" i="1"/>
  <c r="AU38" i="1"/>
  <c r="AU37" i="1"/>
  <c r="AU36" i="1"/>
  <c r="AU30" i="1"/>
  <c r="AU29" i="1"/>
  <c r="AU28" i="1"/>
  <c r="AU27" i="1"/>
  <c r="O39" i="1"/>
  <c r="O38" i="1"/>
  <c r="O37" i="1"/>
  <c r="O36" i="1"/>
  <c r="O30" i="1"/>
  <c r="O29" i="1"/>
  <c r="O28" i="1"/>
  <c r="O27" i="1"/>
  <c r="N39" i="1"/>
  <c r="N38" i="1"/>
  <c r="N37" i="1"/>
  <c r="N36" i="1"/>
  <c r="N30" i="1"/>
  <c r="N29" i="1"/>
  <c r="N28" i="1"/>
  <c r="N27" i="1"/>
  <c r="M39" i="1" l="1"/>
  <c r="M38" i="1"/>
  <c r="M37" i="1"/>
  <c r="M36" i="1"/>
  <c r="M30" i="1"/>
  <c r="M29" i="1"/>
  <c r="M28" i="1"/>
  <c r="M27" i="1"/>
  <c r="L39" i="1"/>
  <c r="L38" i="1"/>
  <c r="L37" i="1"/>
  <c r="L36" i="1"/>
  <c r="L30" i="1"/>
  <c r="L29" i="1"/>
  <c r="L28" i="1"/>
  <c r="L27" i="1"/>
  <c r="K39" i="1"/>
  <c r="K38" i="1"/>
  <c r="K37" i="1"/>
  <c r="K36" i="1"/>
  <c r="K30" i="1"/>
  <c r="K29" i="1"/>
  <c r="K28" i="1"/>
  <c r="K27" i="1"/>
  <c r="I39" i="1"/>
  <c r="I38" i="1"/>
  <c r="I37" i="1"/>
  <c r="I36" i="1"/>
  <c r="I30" i="1"/>
  <c r="I29" i="1"/>
  <c r="I28" i="1"/>
  <c r="I27" i="1"/>
  <c r="I13" i="1"/>
  <c r="I12" i="1"/>
  <c r="J39" i="1"/>
  <c r="J38" i="1"/>
  <c r="J37" i="1"/>
  <c r="J36" i="1"/>
  <c r="J30" i="1"/>
  <c r="J29" i="1"/>
  <c r="J28" i="1"/>
  <c r="J27" i="1"/>
  <c r="H39" i="1"/>
  <c r="H38" i="1"/>
  <c r="H37" i="1"/>
  <c r="H36" i="1"/>
  <c r="H30" i="1"/>
  <c r="H29" i="1"/>
  <c r="H28" i="1"/>
  <c r="H27" i="1"/>
  <c r="E39" i="1"/>
  <c r="E38" i="1"/>
  <c r="E37" i="1"/>
  <c r="E36" i="1"/>
  <c r="E30" i="1"/>
  <c r="E29" i="1"/>
  <c r="E28" i="1"/>
  <c r="E27" i="1"/>
  <c r="D39" i="1"/>
  <c r="D38" i="1"/>
  <c r="D37" i="1"/>
  <c r="D36" i="1"/>
  <c r="D30" i="1"/>
  <c r="D29" i="1"/>
  <c r="D28" i="1"/>
  <c r="D27" i="1"/>
  <c r="D13" i="1"/>
  <c r="D12" i="1"/>
  <c r="C39" i="1"/>
  <c r="C38" i="1"/>
  <c r="C37" i="1"/>
  <c r="C36" i="1"/>
  <c r="C30" i="1"/>
  <c r="C29" i="1"/>
  <c r="C28" i="1"/>
  <c r="C27" i="1"/>
  <c r="C13" i="1"/>
  <c r="C12" i="1"/>
  <c r="B39" i="1"/>
  <c r="B38" i="1"/>
  <c r="B37" i="1"/>
  <c r="B36" i="1"/>
  <c r="B30" i="1"/>
  <c r="B29" i="1"/>
  <c r="B28" i="1"/>
  <c r="B27" i="1"/>
  <c r="ES39" i="1" l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X39" i="1"/>
  <c r="BW39" i="1"/>
  <c r="BV39" i="1"/>
  <c r="BT39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X38" i="1"/>
  <c r="BW38" i="1"/>
  <c r="BV38" i="1"/>
  <c r="BT38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X37" i="1"/>
  <c r="BW37" i="1"/>
  <c r="BV37" i="1"/>
  <c r="BT37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X36" i="1"/>
  <c r="BW36" i="1"/>
  <c r="BV36" i="1"/>
  <c r="BT36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X13" i="1"/>
  <c r="BW13" i="1"/>
  <c r="BV13" i="1"/>
  <c r="BT13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3" i="1" l="1"/>
  <c r="BS12" i="1"/>
  <c r="BR13" i="1" l="1"/>
  <c r="BR12" i="1"/>
  <c r="BQ13" i="1" l="1"/>
  <c r="BQ12" i="1"/>
  <c r="BP13" i="1" l="1"/>
  <c r="BP12" i="1"/>
  <c r="BN13" i="1"/>
  <c r="BN12" i="1"/>
  <c r="BM13" i="1"/>
  <c r="BM12" i="1"/>
  <c r="BL13" i="1"/>
  <c r="BL12" i="1"/>
  <c r="BK13" i="1"/>
  <c r="BK12" i="1"/>
  <c r="BJ13" i="1" l="1"/>
  <c r="BJ12" i="1"/>
  <c r="BI13" i="1"/>
  <c r="BI12" i="1"/>
  <c r="BH13" i="1" l="1"/>
  <c r="BH12" i="1"/>
  <c r="BG13" i="1"/>
  <c r="BG12" i="1"/>
  <c r="BF13" i="1"/>
  <c r="BF12" i="1"/>
  <c r="BE13" i="1"/>
  <c r="BE12" i="1"/>
  <c r="BD13" i="1"/>
  <c r="BD12" i="1"/>
  <c r="BC13" i="1" l="1"/>
  <c r="BC12" i="1"/>
  <c r="BB13" i="1"/>
  <c r="BB12" i="1"/>
  <c r="BA13" i="1"/>
  <c r="BA12" i="1"/>
  <c r="AZ13" i="1" l="1"/>
  <c r="AZ12" i="1"/>
  <c r="AY13" i="1" l="1"/>
  <c r="AY12" i="1"/>
  <c r="AX13" i="1" l="1"/>
  <c r="AX12" i="1"/>
  <c r="AW13" i="1"/>
  <c r="AW12" i="1"/>
  <c r="AV13" i="1"/>
  <c r="AV12" i="1"/>
  <c r="AU13" i="1" l="1"/>
  <c r="AU12" i="1"/>
  <c r="AT13" i="1"/>
  <c r="AT12" i="1"/>
  <c r="AS13" i="1"/>
  <c r="AS12" i="1"/>
  <c r="AR13" i="1"/>
  <c r="AR12" i="1"/>
  <c r="AQ13" i="1"/>
  <c r="AQ12" i="1"/>
  <c r="AO13" i="1"/>
  <c r="AO12" i="1"/>
  <c r="AN13" i="1"/>
  <c r="AN12" i="1"/>
  <c r="AM13" i="1" l="1"/>
  <c r="AM12" i="1"/>
  <c r="AL13" i="1"/>
  <c r="AL12" i="1"/>
  <c r="AK13" i="1"/>
  <c r="AK12" i="1"/>
  <c r="AJ13" i="1" l="1"/>
  <c r="AJ12" i="1"/>
  <c r="AI13" i="1" l="1"/>
  <c r="AI12" i="1"/>
  <c r="AH13" i="1"/>
  <c r="AH12" i="1"/>
  <c r="AG13" i="1"/>
  <c r="AG12" i="1"/>
  <c r="AF13" i="1" l="1"/>
  <c r="AF12" i="1"/>
  <c r="AE13" i="1"/>
  <c r="AE12" i="1"/>
  <c r="AD13" i="1"/>
  <c r="AD12" i="1"/>
  <c r="AC13" i="1" l="1"/>
  <c r="AC12" i="1"/>
  <c r="AB13" i="1" l="1"/>
  <c r="AB12" i="1"/>
  <c r="AA13" i="1" l="1"/>
  <c r="AA12" i="1"/>
  <c r="Z13" i="1" l="1"/>
  <c r="Z12" i="1"/>
  <c r="Y13" i="1"/>
  <c r="Y12" i="1"/>
  <c r="X13" i="1" l="1"/>
  <c r="X12" i="1"/>
  <c r="U13" i="1" l="1"/>
  <c r="W13" i="1"/>
  <c r="W12" i="1"/>
  <c r="V13" i="1"/>
  <c r="V12" i="1"/>
  <c r="U12" i="1"/>
  <c r="T13" i="1"/>
  <c r="T12" i="1"/>
  <c r="S13" i="1" l="1"/>
  <c r="S12" i="1"/>
  <c r="R13" i="1"/>
  <c r="R12" i="1"/>
  <c r="Q13" i="1"/>
  <c r="Q12" i="1"/>
  <c r="P13" i="1"/>
  <c r="P12" i="1"/>
  <c r="O13" i="1" l="1"/>
  <c r="O12" i="1"/>
  <c r="J13" i="1" l="1"/>
  <c r="J12" i="1"/>
  <c r="H13" i="1"/>
  <c r="H12" i="1"/>
  <c r="N13" i="1" l="1"/>
  <c r="N12" i="1"/>
  <c r="M13" i="1" l="1"/>
  <c r="M12" i="1"/>
  <c r="L13" i="1"/>
  <c r="L12" i="1"/>
  <c r="K13" i="1"/>
  <c r="K12" i="1"/>
  <c r="E13" i="1" l="1"/>
  <c r="B13" i="1"/>
  <c r="E12" i="1"/>
  <c r="B12" i="1"/>
</calcChain>
</file>

<file path=xl/sharedStrings.xml><?xml version="1.0" encoding="utf-8"?>
<sst xmlns="http://schemas.openxmlformats.org/spreadsheetml/2006/main" count="414" uniqueCount="256">
  <si>
    <t>Feature</t>
  </si>
  <si>
    <t>Unifactor model %variance explained raw (psych)</t>
  </si>
  <si>
    <t>Unifactor model %variance explained poly (psych)</t>
  </si>
  <si>
    <t>Unifactor model TLI raw (psych)</t>
  </si>
  <si>
    <t>Unifactor model TLI poly (psych)</t>
  </si>
  <si>
    <t>Unifactor model RMSEA raw (psych)</t>
  </si>
  <si>
    <t>Unifactor model RMSEA poly (psych)</t>
  </si>
  <si>
    <t>N participants</t>
  </si>
  <si>
    <t>N items</t>
  </si>
  <si>
    <t>Unifactor model SRMR raw (psych)</t>
  </si>
  <si>
    <t>Unifactor model SRMR poly (psych)</t>
  </si>
  <si>
    <t>Difference eigenvalue1_eigenvalue2 raw relative to sum (psych)</t>
  </si>
  <si>
    <t>Difference eigenvalue1_eigenvalue2 poly relative to sum (psych)</t>
  </si>
  <si>
    <t>Number of factors assumed</t>
  </si>
  <si>
    <t>Type of scale</t>
  </si>
  <si>
    <t>multi</t>
  </si>
  <si>
    <t>HEXACO_Henry</t>
  </si>
  <si>
    <t>RIASEC_openpsychometrics</t>
  </si>
  <si>
    <t>hier</t>
  </si>
  <si>
    <t>STAI-T_Werner</t>
  </si>
  <si>
    <t>QEWV_Ishii</t>
  </si>
  <si>
    <t>STAI-T_Sundelin</t>
  </si>
  <si>
    <t>OCD_Ozcanli</t>
  </si>
  <si>
    <t>DASS-21_Hua-Chen</t>
  </si>
  <si>
    <t>DASS-21_Thiyagarajan</t>
  </si>
  <si>
    <t>Sense_Coherence_Zajenkowska</t>
  </si>
  <si>
    <t>uni</t>
  </si>
  <si>
    <t>TimePer_Akirmak</t>
  </si>
  <si>
    <t>MoralF_Harper</t>
  </si>
  <si>
    <t>PANAS_Diaz_Garcia</t>
  </si>
  <si>
    <t>TimePer_Ceccato</t>
  </si>
  <si>
    <t>MoralF_Zakharin</t>
  </si>
  <si>
    <t>BISBAS_Rutten</t>
  </si>
  <si>
    <t>BISBAS_Molenda</t>
  </si>
  <si>
    <t>BISBAS_Jonker</t>
  </si>
  <si>
    <t>BISBAS_Binter</t>
  </si>
  <si>
    <t>PCL5_Ashbaugh_Eng</t>
  </si>
  <si>
    <t>PCL5_Ashbaugh_Fr</t>
  </si>
  <si>
    <t>PCL5_Orovou</t>
  </si>
  <si>
    <t>RST_PQ_Sözer</t>
  </si>
  <si>
    <t>RST-PQ_Satchell</t>
  </si>
  <si>
    <t>RST-PQ_Nuel</t>
  </si>
  <si>
    <t>perfectionism_Linnett</t>
  </si>
  <si>
    <t>BDI-II_Sandoval</t>
  </si>
  <si>
    <t>BDI-II_García-Batista</t>
  </si>
  <si>
    <t>BDI-II_Rabeya</t>
  </si>
  <si>
    <t>handedness_Dragan</t>
  </si>
  <si>
    <t>OCD_Ignatova</t>
  </si>
  <si>
    <t>TEIQue_Radeva</t>
  </si>
  <si>
    <t>TEIQue_Perez_Diaz</t>
  </si>
  <si>
    <t>TEIQue_Perazzo</t>
  </si>
  <si>
    <t>Optimism_Coelho_UK</t>
  </si>
  <si>
    <t>Optimism_Coelho_BR</t>
  </si>
  <si>
    <t>TIPI_Coelho_UK</t>
  </si>
  <si>
    <t>TIPI_Coelho_BR</t>
  </si>
  <si>
    <t>Hope_Boutilier</t>
  </si>
  <si>
    <t>ICD11_Carnovale</t>
  </si>
  <si>
    <t>beliefs_Barnby</t>
  </si>
  <si>
    <t>SDI2_Jones</t>
  </si>
  <si>
    <t>IPIP_Silvia</t>
  </si>
  <si>
    <t>IRI_Briganti</t>
  </si>
  <si>
    <t>IRI_Martingano</t>
  </si>
  <si>
    <t>FFMQ_Australia</t>
  </si>
  <si>
    <t>FFMQ_Austria</t>
  </si>
  <si>
    <t>FFMQ_Chile</t>
  </si>
  <si>
    <t>FFMQ_China</t>
  </si>
  <si>
    <t>FFMQ_Croatia</t>
  </si>
  <si>
    <t>FFMQ_Germany</t>
  </si>
  <si>
    <t>FFMQ_HongKong</t>
  </si>
  <si>
    <t>FFMQ_India</t>
  </si>
  <si>
    <t>FFMQ_NewZealand</t>
  </si>
  <si>
    <t>FFMQ_Norway</t>
  </si>
  <si>
    <t>FFMQ_Poland</t>
  </si>
  <si>
    <t>FFMQ_Portugal</t>
  </si>
  <si>
    <t>FFMQ_Spain</t>
  </si>
  <si>
    <t>FFMQ_Sweden</t>
  </si>
  <si>
    <t>FFMQ_US</t>
  </si>
  <si>
    <t>UPPS_Wuellhorst</t>
  </si>
  <si>
    <t>UPPS_Billieux</t>
  </si>
  <si>
    <t>UPPS_Eben</t>
  </si>
  <si>
    <t>UPPS_Steiner</t>
  </si>
  <si>
    <t>UPPS_Racine</t>
  </si>
  <si>
    <t>UPPS_Flayelle</t>
  </si>
  <si>
    <t>BIS_Haines</t>
  </si>
  <si>
    <t>BIS_Finley</t>
  </si>
  <si>
    <t>BIS_Meule</t>
  </si>
  <si>
    <t>Covid_percstress_AR</t>
  </si>
  <si>
    <t>Covid_percstress_BG</t>
  </si>
  <si>
    <t>Covid_percstress_DE</t>
  </si>
  <si>
    <t>Covid_percstress_JA</t>
  </si>
  <si>
    <t>Covid_moral_CS</t>
  </si>
  <si>
    <t>Covid_moral_ES-CO</t>
  </si>
  <si>
    <t>Covid_moral_ET</t>
  </si>
  <si>
    <t>Covid_moral_PT</t>
  </si>
  <si>
    <t>Covid_emoregu_EN</t>
  </si>
  <si>
    <t>Covid_emoregu_ES-GU</t>
  </si>
  <si>
    <t>Covid_emoregu_RU</t>
  </si>
  <si>
    <t>Covid_compliance_ES-ES</t>
  </si>
  <si>
    <t>Covid_compliance_FI</t>
  </si>
  <si>
    <t>Covid_compliance_PT-BR</t>
  </si>
  <si>
    <t>Covid_compliance_SK</t>
  </si>
  <si>
    <t>Covid_trust_DA</t>
  </si>
  <si>
    <t>Covid_trust_ES-HN</t>
  </si>
  <si>
    <t>Covid_trust_SV</t>
  </si>
  <si>
    <t>Covid_trust_TR</t>
  </si>
  <si>
    <t>BSC_Paap1.1</t>
  </si>
  <si>
    <t>BSC_Paap1.4</t>
  </si>
  <si>
    <t>BSC_Paap1.5</t>
  </si>
  <si>
    <t>BSC_Paap2</t>
  </si>
  <si>
    <t>BSC_Sjastad1</t>
  </si>
  <si>
    <t>SDO_Roets1</t>
  </si>
  <si>
    <t>SDO_Roets2</t>
  </si>
  <si>
    <t>SDO_Perkins</t>
  </si>
  <si>
    <t>SDO_Simon1</t>
  </si>
  <si>
    <t>SDO_Simon3</t>
  </si>
  <si>
    <t>SDO_Fleeson1</t>
  </si>
  <si>
    <t>SDO_Fleeson2</t>
  </si>
  <si>
    <t>EI_Brienza</t>
  </si>
  <si>
    <t>EI_Robinson</t>
  </si>
  <si>
    <t>IAS_Murphy1</t>
  </si>
  <si>
    <t>IAS_Brand1</t>
  </si>
  <si>
    <t>IAS_Brand2</t>
  </si>
  <si>
    <t>IAS_Brand3</t>
  </si>
  <si>
    <t>IAS_Campos</t>
  </si>
  <si>
    <t>IAS_Todd</t>
  </si>
  <si>
    <t>IAS_Gaggero</t>
  </si>
  <si>
    <t>MAIA_Rogowska</t>
  </si>
  <si>
    <t>MAIA_Desmedt</t>
  </si>
  <si>
    <t>MAIA_Ferentzi</t>
  </si>
  <si>
    <t>MAIA_Reis</t>
  </si>
  <si>
    <t>MAIA_Randelovic</t>
  </si>
  <si>
    <t>N response alternatives</t>
  </si>
  <si>
    <t>Number of factors in CFA</t>
  </si>
  <si>
    <t>Eigenvalue1 EFA raw (psych)</t>
  </si>
  <si>
    <t>Eigenvalue2 EFA raw (psych)</t>
  </si>
  <si>
    <t>Eigenvalue1 EFA poly (psych)</t>
  </si>
  <si>
    <t>Eigenvalue2 EFA poly (psych)</t>
  </si>
  <si>
    <t>EFA model %variance explained raw (psych)</t>
  </si>
  <si>
    <t>EFA model TLI raw (psych)</t>
  </si>
  <si>
    <t>EFA model RMSEA raw (psych)</t>
  </si>
  <si>
    <t>EFA model SRMR raw (psych)</t>
  </si>
  <si>
    <t>EFA model %variance explained poly (psych)</t>
  </si>
  <si>
    <t>EFA model TLI poly (psych)</t>
  </si>
  <si>
    <t>EFA model RMSEA poly (psych)</t>
  </si>
  <si>
    <t>EFA model SRMR poly (psych)</t>
  </si>
  <si>
    <t>% change EFA model vs. unifactorial model %variance explained raw (psych)</t>
  </si>
  <si>
    <t>% change EFA model vs. unifactorial model TLI raw (psych)</t>
  </si>
  <si>
    <t>% change EFA model vs. unifactorial model RMSEA raw (psych)</t>
  </si>
  <si>
    <t>% change EFA model vs. unifactorial model SRMR raw (psych)</t>
  </si>
  <si>
    <t>% change EFA model vs. unifactorial model %variance explained poly (psych)</t>
  </si>
  <si>
    <t>% change EFA model vs. unifactorial model TLI poly (psych)</t>
  </si>
  <si>
    <t>% change EFA model vs. unifactorial model RMSEA poly (psych)</t>
  </si>
  <si>
    <t>% change EFA model vs. unifactorial model SRMR poly (psych)</t>
  </si>
  <si>
    <t>Average absolute correlation factors in model with correlated factors EFA raw (psych)</t>
  </si>
  <si>
    <t>Average absolute correlation factors in model with correlated factors EFA poly (psych)</t>
  </si>
  <si>
    <t>Face_recog_Grabman</t>
  </si>
  <si>
    <t>Face_recog_Norkaer</t>
  </si>
  <si>
    <t>Face_recog_Kramer</t>
  </si>
  <si>
    <t>Face_recog_Estudillo1</t>
  </si>
  <si>
    <t>Face_recog_Estudillo2</t>
  </si>
  <si>
    <t>Face_recog_Dal_Lago</t>
  </si>
  <si>
    <t>BFI_Gallardo_Pujol</t>
  </si>
  <si>
    <t>Big_Five_Mezquita_Eng</t>
  </si>
  <si>
    <t>Big_Five_Mezquita_Sp</t>
  </si>
  <si>
    <t>EI_AES_Anglim</t>
  </si>
  <si>
    <t>BISBAS_Khaliq</t>
  </si>
  <si>
    <t>BDI_II_Smith</t>
  </si>
  <si>
    <t>Perfectionism_Kaçar-Başaran</t>
  </si>
  <si>
    <t>Pers_funct_Natoli</t>
  </si>
  <si>
    <t>persdis_SRP4_Knack</t>
  </si>
  <si>
    <t>persdis_LSRPS_Knack</t>
  </si>
  <si>
    <t>Machia_FFMI_Grabovac</t>
  </si>
  <si>
    <t>BFI_Andrejevic</t>
  </si>
  <si>
    <t>BFI_Vermeiren1</t>
  </si>
  <si>
    <t>BFI_Vermeiren2</t>
  </si>
  <si>
    <t>BFAS_Zajenkowski</t>
  </si>
  <si>
    <t>ECV general over ECV specific</t>
  </si>
  <si>
    <t>BISBAS_Dierickx</t>
  </si>
  <si>
    <t>AES_Rua</t>
  </si>
  <si>
    <t>OCD_Gonzalez</t>
  </si>
  <si>
    <t>HEXACO_Gallagher</t>
  </si>
  <si>
    <t>Sense_Coherence_Lelek</t>
  </si>
  <si>
    <t>STAI-T_Joshi</t>
  </si>
  <si>
    <t>TimePer_Bodecka</t>
  </si>
  <si>
    <t>Perfectionism_MacKinnon</t>
  </si>
  <si>
    <t>Perfectionism_Workye</t>
  </si>
  <si>
    <t>IRI_Stosic</t>
  </si>
  <si>
    <t>UPPS_Zsila</t>
  </si>
  <si>
    <t>Lonely_Lardone</t>
  </si>
  <si>
    <t>Lonely_Weinstein</t>
  </si>
  <si>
    <t>Lonely_Panayiotou</t>
  </si>
  <si>
    <t>Lonely_McDanal</t>
  </si>
  <si>
    <t>Compuls_Muela_gambling</t>
  </si>
  <si>
    <t>Compuls_Muela_gaming</t>
  </si>
  <si>
    <t>Unifactor model ordered %variance explained (lavaan)</t>
  </si>
  <si>
    <t>Unifactor model ordered TLI scaled (lavaan)</t>
  </si>
  <si>
    <t>Unifactor model ordered RMSEA scaled (lavaan)</t>
  </si>
  <si>
    <t>Unifactor model ordered SRMR (lavaan)</t>
  </si>
  <si>
    <t>Unifactor model MLR %variance explained (lavaan)</t>
  </si>
  <si>
    <t>Unifactor model MLR RMSEA scaled (lavaan)</t>
  </si>
  <si>
    <t>Unifactor model MLR SRMR (lavaan)</t>
  </si>
  <si>
    <t>Unifactor model MLR TLI scaled (lavaan)</t>
  </si>
  <si>
    <t>EFA/CFA model ordered %variance explained (lavaan)</t>
  </si>
  <si>
    <t>EFA/CFA model ordered TLI scaled (lavaan)</t>
  </si>
  <si>
    <t>EFA/CFA model ordered RMSEA scaled (lavaan)</t>
  </si>
  <si>
    <t>EFA/CFA model ordered SRMR (lavaan)</t>
  </si>
  <si>
    <t>EFA/CFA model MLR %variance explained (lavaan)</t>
  </si>
  <si>
    <t>EFA/CFA model MLR TLI scaled (lavaan)</t>
  </si>
  <si>
    <t>EFA/CFA model MLR RMSEA scaled (lavaan)</t>
  </si>
  <si>
    <t>EFA/CFA model MLR SRMR (lavaan)</t>
  </si>
  <si>
    <t>% change EFA ordered model vs. unifactorial model %variance explained (lavaan)</t>
  </si>
  <si>
    <t>% change EFA ordered model vs. unifactorial model TLI scaled (lavaan)</t>
  </si>
  <si>
    <t>% change EFA ordered model vs. unifactorial model RMSEA scaled (lavaan)</t>
  </si>
  <si>
    <t>% change EFA ordered model vs. unifactorial model SRMR (lavaan)</t>
  </si>
  <si>
    <t>% change EFA LMR model vs. unifactorial model %variance explained (lavaan)</t>
  </si>
  <si>
    <t>% change EFA LMR model vs. unifactorial model TLI scaled (lavaan)</t>
  </si>
  <si>
    <t>% change EFA LMR model vs. unifactorial model RMSEA scaled (lavaan)</t>
  </si>
  <si>
    <t>% change EFA LMR model vs. unifactorial model SRMR (lavaan)</t>
  </si>
  <si>
    <t>Average absolute correlation factors in ordered model with correlated factors (lavaan)</t>
  </si>
  <si>
    <t>Average absolute correlation factors in MLR model with correlated factors (lavaan)</t>
  </si>
  <si>
    <t>CFA MLR independent factors %variance explained (lavaan)</t>
  </si>
  <si>
    <t>CFA MLR independent factors scaled TLI (lavaan)</t>
  </si>
  <si>
    <t>CFA MLR independent factors scaled RMSEA (lavaan)</t>
  </si>
  <si>
    <t>CFA MLR independent factors scaled SRMR (lavaan)</t>
  </si>
  <si>
    <t>Independent vs Uni MLR TLI scaled (Lavaan)</t>
  </si>
  <si>
    <t>Independent vs Uni MLR scaled RMSEA (Lavaan)</t>
  </si>
  <si>
    <t>Independent vs Uni MLR scaled SRMR (Lavaan)</t>
  </si>
  <si>
    <t>Independent vs EFA MLR %variance (Lavaan)</t>
  </si>
  <si>
    <t>Independent vs EFA MLR TLI scaled (Lavaan)</t>
  </si>
  <si>
    <t>Independent vs EFA MLR scaled RMSEA (Lavaan)</t>
  </si>
  <si>
    <t>Independent vs EFA MLR scaled SRMR (Lavaan)</t>
  </si>
  <si>
    <t>CFA bifactor MLR %variance explained (lavaan)</t>
  </si>
  <si>
    <t>CFA bifactor MLR scaled TLI (lavaan)</t>
  </si>
  <si>
    <t>CFA bifactor MLR scaled RMSEA (lavaan)</t>
  </si>
  <si>
    <t>CFA bifactor MLR scaled SRMR (lavaan)</t>
  </si>
  <si>
    <t>Bifactor vs Uni MLR %variance (Lavaan)</t>
  </si>
  <si>
    <t>Bifactor vs Uni MLR TLI scaled (Lavaan)</t>
  </si>
  <si>
    <t>Bifactor vs Uni MLR scaled RMSEA (Lavaan)</t>
  </si>
  <si>
    <t>Bifactor vs Uni MLR scaled SRMR (Lavaan)</t>
  </si>
  <si>
    <t>Bifactor MLR indices ECV general</t>
  </si>
  <si>
    <t>Bifactor MLR indices average ECV_ss specific factors</t>
  </si>
  <si>
    <t>Independent vs Uni MLR %variance MLR (Lavaan)</t>
  </si>
  <si>
    <t>QoL_Rogers</t>
  </si>
  <si>
    <t>Covid_trust_ZH-T</t>
  </si>
  <si>
    <t>IRI_Bainbridge</t>
  </si>
  <si>
    <t>QoL_McConachie</t>
  </si>
  <si>
    <t>BSC_Sjastad2</t>
  </si>
  <si>
    <t>Dark_triad_Nielsen</t>
  </si>
  <si>
    <t>Bifactor vs CFA MLR %variance (Lavaan)</t>
  </si>
  <si>
    <t>Bifactor vs CFA MLR TLI scaled (Lavaan)</t>
  </si>
  <si>
    <t>Bifactor vs CFA MLR scaled RMSEA (Lavaan)</t>
  </si>
  <si>
    <t>AES_Demetrovics</t>
  </si>
  <si>
    <t>AES_Demetrovics2</t>
  </si>
  <si>
    <t>BIS_Demetrovics2</t>
  </si>
  <si>
    <t>BIS_Demetrovics1</t>
  </si>
  <si>
    <t>Bifactor vs CFA MLR scaled SRMR (Lavaan)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</si>
</sst>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 applyAlignment="1">
      <alignment horizontal="right"/>
    </xf>
    <xf numFmtId="1" fontId="0" fillId="0" borderId="0" xfId="0" applyNumberFormat="1"/>
    <xf numFmtId="164" fontId="0" fillId="0" borderId="0" xfId="0" applyNumberFormat="1" applyFon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164" fontId="0" fillId="0" borderId="0" xfId="0" applyNumberFormat="1" applyFont="1"/>
    <xf numFmtId="164" fontId="2" fillId="0" borderId="0" xfId="0" applyNumberFormat="1" applyFont="1"/>
    <xf numFmtId="0" fontId="0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/>
    <xf numFmtId="164" fontId="0" fillId="0" borderId="0" xfId="0" applyNumberFormat="1" applyFont="1" applyAlignment="1">
      <alignment horizontal="left"/>
    </xf>
    <xf numFmtId="1" fontId="0" fillId="0" borderId="0" xfId="0" applyNumberFormat="1" applyFont="1"/>
    <xf numFmtId="1" fontId="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L92"/>
  <sheetViews>
    <sheetView tabSelected="1" workbookViewId="0">
      <pane xSplit="1" ySplit="1" topLeftCell="FD66" activePane="bottomRight" state="frozen"/>
      <selection pane="topRight" activeCell="B1" sqref="B1"/>
      <selection pane="bottomLeft" activeCell="A2" sqref="A2"/>
      <selection pane="bottomRight" activeCell="FF92" sqref="FF92"/>
    </sheetView>
  </sheetViews>
  <sheetFormatPr defaultRowHeight="14.4" x14ac:dyDescent="0.3"/>
  <cols>
    <col min="1" max="1" width="70.21875" customWidth="1"/>
    <col min="2" max="4" width="17.6640625" customWidth="1"/>
    <col min="5" max="10" width="17.77734375" customWidth="1"/>
    <col min="11" max="11" width="16" customWidth="1"/>
    <col min="12" max="12" width="17.77734375" customWidth="1"/>
    <col min="13" max="13" width="17" customWidth="1"/>
    <col min="14" max="14" width="17.5546875" customWidth="1"/>
    <col min="15" max="15" width="16" customWidth="1"/>
    <col min="16" max="16" width="17.5546875" customWidth="1"/>
    <col min="17" max="17" width="17.33203125" customWidth="1"/>
    <col min="18" max="18" width="17.88671875" customWidth="1"/>
    <col min="19" max="19" width="17.44140625" customWidth="1"/>
    <col min="20" max="20" width="17.77734375" customWidth="1"/>
    <col min="21" max="21" width="17" customWidth="1"/>
    <col min="22" max="22" width="17.88671875" customWidth="1"/>
    <col min="23" max="23" width="17.44140625" customWidth="1"/>
    <col min="24" max="24" width="17.6640625" customWidth="1"/>
    <col min="25" max="25" width="17.44140625" customWidth="1"/>
    <col min="26" max="26" width="17.77734375" customWidth="1"/>
    <col min="27" max="27" width="17.21875" customWidth="1"/>
    <col min="28" max="28" width="17.77734375" customWidth="1"/>
    <col min="29" max="29" width="18.109375" customWidth="1"/>
    <col min="30" max="30" width="17.6640625" customWidth="1"/>
    <col min="31" max="31" width="17.88671875" customWidth="1"/>
    <col min="32" max="32" width="17" customWidth="1"/>
    <col min="33" max="34" width="17.44140625" customWidth="1"/>
    <col min="35" max="35" width="17" customWidth="1"/>
    <col min="36" max="36" width="17.33203125" customWidth="1"/>
    <col min="37" max="37" width="17.88671875" customWidth="1"/>
    <col min="38" max="38" width="17.33203125" customWidth="1"/>
    <col min="39" max="39" width="18" customWidth="1"/>
    <col min="40" max="40" width="17.6640625" customWidth="1"/>
    <col min="41" max="42" width="17.77734375" customWidth="1"/>
    <col min="43" max="43" width="17.5546875" customWidth="1"/>
    <col min="44" max="44" width="16.77734375" customWidth="1"/>
    <col min="45" max="45" width="16.33203125" customWidth="1"/>
    <col min="46" max="46" width="16.77734375" customWidth="1"/>
    <col min="47" max="47" width="17.6640625" customWidth="1"/>
    <col min="48" max="48" width="18.109375" customWidth="1"/>
    <col min="49" max="49" width="17.44140625" customWidth="1"/>
    <col min="50" max="50" width="17.5546875" customWidth="1"/>
    <col min="51" max="51" width="17.77734375" customWidth="1"/>
    <col min="52" max="52" width="16.6640625" customWidth="1"/>
    <col min="53" max="53" width="17.5546875" customWidth="1"/>
    <col min="54" max="54" width="17.77734375" customWidth="1"/>
    <col min="55" max="55" width="16.77734375" customWidth="1"/>
    <col min="56" max="56" width="17.44140625" customWidth="1"/>
    <col min="57" max="57" width="17.6640625" customWidth="1"/>
    <col min="58" max="58" width="17.33203125" customWidth="1"/>
    <col min="59" max="59" width="17.44140625" customWidth="1"/>
    <col min="60" max="60" width="17.6640625" customWidth="1"/>
    <col min="61" max="61" width="17.109375" customWidth="1"/>
    <col min="62" max="63" width="17.44140625" customWidth="1"/>
    <col min="64" max="64" width="17.109375" customWidth="1"/>
    <col min="65" max="65" width="14.33203125" customWidth="1"/>
    <col min="66" max="67" width="17.33203125" customWidth="1"/>
    <col min="68" max="68" width="17.5546875" customWidth="1"/>
    <col min="69" max="69" width="17.21875" customWidth="1"/>
    <col min="70" max="70" width="18" customWidth="1"/>
    <col min="71" max="71" width="17.109375" customWidth="1"/>
    <col min="72" max="73" width="16.77734375" customWidth="1"/>
    <col min="154" max="154" width="17.77734375" customWidth="1"/>
    <col min="155" max="155" width="17.6640625" customWidth="1"/>
    <col min="156" max="156" width="16.77734375" customWidth="1"/>
    <col min="158" max="158" width="13.109375" customWidth="1"/>
    <col min="159" max="159" width="16" customWidth="1"/>
    <col min="161" max="161" width="17.109375" customWidth="1"/>
    <col min="162" max="162" width="17.21875" customWidth="1"/>
  </cols>
  <sheetData>
    <row r="1" spans="1:168" x14ac:dyDescent="0.3">
      <c r="A1" s="2" t="s">
        <v>0</v>
      </c>
      <c r="B1" s="12" t="s">
        <v>161</v>
      </c>
      <c r="C1" s="12" t="s">
        <v>162</v>
      </c>
      <c r="D1" s="12" t="s">
        <v>163</v>
      </c>
      <c r="E1" s="2" t="s">
        <v>173</v>
      </c>
      <c r="F1" s="2" t="s">
        <v>174</v>
      </c>
      <c r="G1" s="2" t="s">
        <v>172</v>
      </c>
      <c r="H1" s="2" t="s">
        <v>16</v>
      </c>
      <c r="I1" s="2" t="s">
        <v>164</v>
      </c>
      <c r="J1" s="2" t="s">
        <v>17</v>
      </c>
      <c r="K1" s="2" t="s">
        <v>21</v>
      </c>
      <c r="L1" s="2" t="s">
        <v>19</v>
      </c>
      <c r="M1" s="2" t="s">
        <v>20</v>
      </c>
      <c r="N1" s="2" t="s">
        <v>22</v>
      </c>
      <c r="O1" s="2" t="s">
        <v>179</v>
      </c>
      <c r="P1" s="2" t="s">
        <v>23</v>
      </c>
      <c r="Q1" s="2" t="s">
        <v>24</v>
      </c>
      <c r="R1" s="2" t="s">
        <v>183</v>
      </c>
      <c r="S1" s="2" t="s">
        <v>25</v>
      </c>
      <c r="T1" s="2" t="s">
        <v>182</v>
      </c>
      <c r="U1" s="2" t="s">
        <v>181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177</v>
      </c>
      <c r="AC1" s="2" t="s">
        <v>165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184</v>
      </c>
      <c r="AN1" s="2" t="s">
        <v>185</v>
      </c>
      <c r="AO1" s="2" t="s">
        <v>42</v>
      </c>
      <c r="AP1" s="2" t="s">
        <v>166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178</v>
      </c>
      <c r="AZ1" s="2" t="s">
        <v>167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168</v>
      </c>
      <c r="BH1" s="2" t="s">
        <v>169</v>
      </c>
      <c r="BI1" s="2" t="s">
        <v>170</v>
      </c>
      <c r="BJ1" s="2" t="s">
        <v>171</v>
      </c>
      <c r="BK1" s="2" t="s">
        <v>57</v>
      </c>
      <c r="BL1" s="2" t="s">
        <v>58</v>
      </c>
      <c r="BM1" s="2" t="s">
        <v>59</v>
      </c>
      <c r="BN1" s="2" t="s">
        <v>180</v>
      </c>
      <c r="BO1" s="2" t="s">
        <v>175</v>
      </c>
      <c r="BP1" s="2" t="s">
        <v>60</v>
      </c>
      <c r="BQ1" s="2" t="s">
        <v>244</v>
      </c>
      <c r="BR1" s="2" t="s">
        <v>61</v>
      </c>
      <c r="BS1" s="2" t="s">
        <v>186</v>
      </c>
      <c r="BT1" s="13" t="s">
        <v>155</v>
      </c>
      <c r="BU1" s="13" t="s">
        <v>156</v>
      </c>
      <c r="BV1" s="13" t="s">
        <v>157</v>
      </c>
      <c r="BW1" s="13" t="s">
        <v>158</v>
      </c>
      <c r="BX1" s="13" t="s">
        <v>159</v>
      </c>
      <c r="BY1" s="13" t="s">
        <v>160</v>
      </c>
      <c r="BZ1" s="13" t="s">
        <v>62</v>
      </c>
      <c r="CA1" s="13" t="s">
        <v>63</v>
      </c>
      <c r="CB1" s="13" t="s">
        <v>64</v>
      </c>
      <c r="CC1" s="13" t="s">
        <v>65</v>
      </c>
      <c r="CD1" s="13" t="s">
        <v>66</v>
      </c>
      <c r="CE1" s="13" t="s">
        <v>67</v>
      </c>
      <c r="CF1" s="13" t="s">
        <v>68</v>
      </c>
      <c r="CG1" s="13" t="s">
        <v>69</v>
      </c>
      <c r="CH1" s="13" t="s">
        <v>70</v>
      </c>
      <c r="CI1" s="13" t="s">
        <v>71</v>
      </c>
      <c r="CJ1" s="13" t="s">
        <v>72</v>
      </c>
      <c r="CK1" s="13" t="s">
        <v>73</v>
      </c>
      <c r="CL1" s="13" t="s">
        <v>74</v>
      </c>
      <c r="CM1" s="13" t="s">
        <v>75</v>
      </c>
      <c r="CN1" s="13" t="s">
        <v>76</v>
      </c>
      <c r="CO1" s="13" t="s">
        <v>77</v>
      </c>
      <c r="CP1" s="13" t="s">
        <v>78</v>
      </c>
      <c r="CQ1" s="13" t="s">
        <v>79</v>
      </c>
      <c r="CR1" s="13" t="s">
        <v>80</v>
      </c>
      <c r="CS1" s="13" t="s">
        <v>81</v>
      </c>
      <c r="CT1" s="13" t="s">
        <v>82</v>
      </c>
      <c r="CU1" s="13" t="s">
        <v>187</v>
      </c>
      <c r="CV1" s="13" t="s">
        <v>83</v>
      </c>
      <c r="CW1" s="13" t="s">
        <v>84</v>
      </c>
      <c r="CX1" s="13" t="s">
        <v>85</v>
      </c>
      <c r="CY1" s="13" t="s">
        <v>86</v>
      </c>
      <c r="CZ1" s="13" t="s">
        <v>87</v>
      </c>
      <c r="DA1" s="13" t="s">
        <v>88</v>
      </c>
      <c r="DB1" s="13" t="s">
        <v>89</v>
      </c>
      <c r="DC1" s="13" t="s">
        <v>90</v>
      </c>
      <c r="DD1" s="13" t="s">
        <v>91</v>
      </c>
      <c r="DE1" s="13" t="s">
        <v>92</v>
      </c>
      <c r="DF1" s="13" t="s">
        <v>93</v>
      </c>
      <c r="DG1" s="13" t="s">
        <v>94</v>
      </c>
      <c r="DH1" s="13" t="s">
        <v>95</v>
      </c>
      <c r="DI1" s="13" t="s">
        <v>96</v>
      </c>
      <c r="DJ1" s="13" t="s">
        <v>97</v>
      </c>
      <c r="DK1" s="13" t="s">
        <v>98</v>
      </c>
      <c r="DL1" s="13" t="s">
        <v>99</v>
      </c>
      <c r="DM1" s="13" t="s">
        <v>100</v>
      </c>
      <c r="DN1" s="13" t="s">
        <v>101</v>
      </c>
      <c r="DO1" s="13" t="s">
        <v>102</v>
      </c>
      <c r="DP1" s="15" t="s">
        <v>103</v>
      </c>
      <c r="DQ1" s="15" t="s">
        <v>104</v>
      </c>
      <c r="DR1" s="15" t="s">
        <v>243</v>
      </c>
      <c r="DS1" s="13" t="s">
        <v>105</v>
      </c>
      <c r="DT1" s="13" t="s">
        <v>106</v>
      </c>
      <c r="DU1" s="13" t="s">
        <v>107</v>
      </c>
      <c r="DV1" s="13" t="s">
        <v>108</v>
      </c>
      <c r="DW1" s="13" t="s">
        <v>109</v>
      </c>
      <c r="DX1" s="13" t="s">
        <v>246</v>
      </c>
      <c r="DY1" s="13" t="s">
        <v>110</v>
      </c>
      <c r="DZ1" s="13" t="s">
        <v>111</v>
      </c>
      <c r="EA1" s="13" t="s">
        <v>112</v>
      </c>
      <c r="EB1" s="13" t="s">
        <v>113</v>
      </c>
      <c r="EC1" s="13" t="s">
        <v>114</v>
      </c>
      <c r="ED1" s="13" t="s">
        <v>115</v>
      </c>
      <c r="EE1" s="13" t="s">
        <v>116</v>
      </c>
      <c r="EF1" s="13" t="s">
        <v>117</v>
      </c>
      <c r="EG1" s="13" t="s">
        <v>118</v>
      </c>
      <c r="EH1" s="13" t="s">
        <v>119</v>
      </c>
      <c r="EI1" s="13" t="s">
        <v>120</v>
      </c>
      <c r="EJ1" s="13" t="s">
        <v>121</v>
      </c>
      <c r="EK1" s="13" t="s">
        <v>122</v>
      </c>
      <c r="EL1" s="13" t="s">
        <v>123</v>
      </c>
      <c r="EM1" s="13" t="s">
        <v>124</v>
      </c>
      <c r="EN1" s="13" t="s">
        <v>125</v>
      </c>
      <c r="EO1" s="13" t="s">
        <v>126</v>
      </c>
      <c r="EP1" s="13" t="s">
        <v>127</v>
      </c>
      <c r="EQ1" s="13" t="s">
        <v>128</v>
      </c>
      <c r="ER1" s="13" t="s">
        <v>129</v>
      </c>
      <c r="ES1" s="13" t="s">
        <v>130</v>
      </c>
      <c r="ET1" s="13" t="s">
        <v>188</v>
      </c>
      <c r="EU1" s="13" t="s">
        <v>189</v>
      </c>
      <c r="EV1" s="13" t="s">
        <v>190</v>
      </c>
      <c r="EW1" s="13" t="s">
        <v>191</v>
      </c>
      <c r="EX1" s="3" t="s">
        <v>193</v>
      </c>
      <c r="EY1" s="3" t="s">
        <v>192</v>
      </c>
      <c r="EZ1" s="13" t="s">
        <v>242</v>
      </c>
      <c r="FA1" s="13" t="s">
        <v>245</v>
      </c>
      <c r="FB1" s="13" t="s">
        <v>247</v>
      </c>
      <c r="FC1" s="13" t="s">
        <v>254</v>
      </c>
      <c r="FD1" s="13" t="s">
        <v>251</v>
      </c>
      <c r="FE1" s="13" t="s">
        <v>252</v>
      </c>
      <c r="FF1" s="13" t="s">
        <v>253</v>
      </c>
    </row>
    <row r="2" spans="1:168" x14ac:dyDescent="0.3">
      <c r="A2" t="s">
        <v>7</v>
      </c>
      <c r="B2">
        <v>1146</v>
      </c>
      <c r="C2">
        <v>1027</v>
      </c>
      <c r="D2">
        <v>1041</v>
      </c>
      <c r="E2">
        <v>195</v>
      </c>
      <c r="F2">
        <v>196</v>
      </c>
      <c r="G2">
        <v>313</v>
      </c>
      <c r="H2">
        <v>416</v>
      </c>
      <c r="I2">
        <v>1370</v>
      </c>
      <c r="J2">
        <v>1000</v>
      </c>
      <c r="K2">
        <v>181</v>
      </c>
      <c r="L2">
        <v>410</v>
      </c>
      <c r="M2">
        <v>1147</v>
      </c>
      <c r="N2">
        <v>502</v>
      </c>
      <c r="O2">
        <v>514</v>
      </c>
      <c r="P2">
        <v>483</v>
      </c>
      <c r="Q2">
        <v>971</v>
      </c>
      <c r="R2">
        <v>720</v>
      </c>
      <c r="S2">
        <v>720</v>
      </c>
      <c r="T2">
        <v>409</v>
      </c>
      <c r="U2">
        <v>326</v>
      </c>
      <c r="V2">
        <v>212</v>
      </c>
      <c r="W2">
        <v>428</v>
      </c>
      <c r="X2">
        <v>595</v>
      </c>
      <c r="Y2">
        <v>3991</v>
      </c>
      <c r="Z2">
        <v>2268</v>
      </c>
      <c r="AA2">
        <v>107</v>
      </c>
      <c r="AB2">
        <v>390</v>
      </c>
      <c r="AC2">
        <v>294</v>
      </c>
      <c r="AD2">
        <v>1048</v>
      </c>
      <c r="AE2">
        <v>601</v>
      </c>
      <c r="AF2">
        <v>902</v>
      </c>
      <c r="AG2">
        <v>837</v>
      </c>
      <c r="AH2">
        <v>262</v>
      </c>
      <c r="AI2">
        <v>469</v>
      </c>
      <c r="AJ2">
        <v>412</v>
      </c>
      <c r="AK2">
        <v>210</v>
      </c>
      <c r="AL2">
        <v>406</v>
      </c>
      <c r="AM2">
        <v>4200</v>
      </c>
      <c r="AN2">
        <v>411</v>
      </c>
      <c r="AO2">
        <v>401</v>
      </c>
      <c r="AP2">
        <v>198</v>
      </c>
      <c r="AQ2">
        <v>270</v>
      </c>
      <c r="AR2">
        <v>1040</v>
      </c>
      <c r="AS2">
        <v>338</v>
      </c>
      <c r="AT2">
        <v>727</v>
      </c>
      <c r="AU2">
        <v>210</v>
      </c>
      <c r="AV2">
        <v>130</v>
      </c>
      <c r="AW2">
        <v>335</v>
      </c>
      <c r="AX2">
        <v>512</v>
      </c>
      <c r="AY2">
        <v>102</v>
      </c>
      <c r="AZ2">
        <v>406</v>
      </c>
      <c r="BA2">
        <v>325</v>
      </c>
      <c r="BB2">
        <v>421</v>
      </c>
      <c r="BC2">
        <v>325</v>
      </c>
      <c r="BD2">
        <v>421</v>
      </c>
      <c r="BE2">
        <v>222</v>
      </c>
      <c r="BF2">
        <v>475</v>
      </c>
      <c r="BG2">
        <v>5583</v>
      </c>
      <c r="BH2">
        <v>357</v>
      </c>
      <c r="BI2">
        <v>373</v>
      </c>
      <c r="BJ2">
        <v>195</v>
      </c>
      <c r="BK2">
        <v>487</v>
      </c>
      <c r="BL2">
        <v>8137</v>
      </c>
      <c r="BM2">
        <v>189</v>
      </c>
      <c r="BN2">
        <v>468</v>
      </c>
      <c r="BO2">
        <v>422</v>
      </c>
      <c r="BP2">
        <v>1973</v>
      </c>
      <c r="BQ2">
        <v>398</v>
      </c>
      <c r="BR2">
        <v>410</v>
      </c>
      <c r="BS2">
        <v>181</v>
      </c>
      <c r="BT2" s="5">
        <v>603</v>
      </c>
      <c r="BU2" s="5">
        <v>119</v>
      </c>
      <c r="BV2" s="5">
        <v>344</v>
      </c>
      <c r="BW2" s="6">
        <v>255</v>
      </c>
      <c r="BX2" s="6">
        <v>85</v>
      </c>
      <c r="BY2" s="5">
        <v>244</v>
      </c>
      <c r="BZ2" s="6">
        <v>165</v>
      </c>
      <c r="CA2" s="6">
        <v>973</v>
      </c>
      <c r="CB2" s="6">
        <v>398</v>
      </c>
      <c r="CC2" s="6">
        <v>215</v>
      </c>
      <c r="CD2" s="6">
        <v>242</v>
      </c>
      <c r="CE2" s="6">
        <v>533</v>
      </c>
      <c r="CF2" s="6">
        <v>367</v>
      </c>
      <c r="CG2" s="6">
        <v>300</v>
      </c>
      <c r="CH2" s="6">
        <v>399</v>
      </c>
      <c r="CI2" s="6">
        <v>224</v>
      </c>
      <c r="CJ2" s="6">
        <v>702</v>
      </c>
      <c r="CK2" s="6">
        <v>251</v>
      </c>
      <c r="CL2" s="6">
        <v>1155</v>
      </c>
      <c r="CM2" s="6">
        <v>495</v>
      </c>
      <c r="CN2" s="6">
        <v>281</v>
      </c>
      <c r="CO2" s="6">
        <v>297</v>
      </c>
      <c r="CP2" s="6">
        <v>18568</v>
      </c>
      <c r="CQ2" s="6">
        <v>399</v>
      </c>
      <c r="CR2" s="6">
        <v>643</v>
      </c>
      <c r="CS2" s="6">
        <v>12389</v>
      </c>
      <c r="CT2" s="6">
        <v>4275</v>
      </c>
      <c r="CU2" s="6">
        <v>15703</v>
      </c>
      <c r="CV2" s="6">
        <v>834</v>
      </c>
      <c r="CW2" s="6">
        <v>322</v>
      </c>
      <c r="CX2" s="6">
        <v>453</v>
      </c>
      <c r="CY2" s="6">
        <v>119</v>
      </c>
      <c r="CZ2" s="6">
        <v>285</v>
      </c>
      <c r="DA2" s="6">
        <v>701</v>
      </c>
      <c r="DB2" s="6">
        <v>2125</v>
      </c>
      <c r="DC2" s="6">
        <v>295</v>
      </c>
      <c r="DD2" s="6">
        <v>463</v>
      </c>
      <c r="DE2" s="6">
        <v>216</v>
      </c>
      <c r="DF2" s="6">
        <v>380</v>
      </c>
      <c r="DG2" s="6">
        <v>1218</v>
      </c>
      <c r="DH2" s="6">
        <v>214</v>
      </c>
      <c r="DI2" s="6">
        <v>2133</v>
      </c>
      <c r="DJ2" s="6">
        <v>586</v>
      </c>
      <c r="DK2" s="6">
        <v>625</v>
      </c>
      <c r="DL2" s="6">
        <v>306</v>
      </c>
      <c r="DM2" s="6">
        <v>228</v>
      </c>
      <c r="DN2" s="6">
        <v>109</v>
      </c>
      <c r="DO2" s="6">
        <v>408</v>
      </c>
      <c r="DP2" s="16">
        <v>153</v>
      </c>
      <c r="DQ2" s="16">
        <v>177</v>
      </c>
      <c r="DR2" s="16">
        <v>263</v>
      </c>
      <c r="DS2" s="6">
        <v>237</v>
      </c>
      <c r="DT2" s="6">
        <v>244</v>
      </c>
      <c r="DU2" s="6">
        <v>249</v>
      </c>
      <c r="DV2" s="6">
        <v>241</v>
      </c>
      <c r="DW2" s="6">
        <v>1102</v>
      </c>
      <c r="DX2" s="6">
        <v>1182</v>
      </c>
      <c r="DY2" s="6">
        <v>254</v>
      </c>
      <c r="DZ2" s="6">
        <v>395</v>
      </c>
      <c r="EA2" s="6">
        <v>302</v>
      </c>
      <c r="EB2" s="6">
        <v>616</v>
      </c>
      <c r="EC2" s="6">
        <v>203</v>
      </c>
      <c r="ED2" s="6">
        <v>250</v>
      </c>
      <c r="EE2" s="6">
        <v>257</v>
      </c>
      <c r="EF2" s="6">
        <v>701</v>
      </c>
      <c r="EG2" s="6">
        <v>148</v>
      </c>
      <c r="EH2" s="6">
        <v>451</v>
      </c>
      <c r="EI2" s="6">
        <v>522</v>
      </c>
      <c r="EJ2" s="6">
        <v>1993</v>
      </c>
      <c r="EK2" s="6">
        <v>642</v>
      </c>
      <c r="EL2" s="6">
        <v>515</v>
      </c>
      <c r="EM2" s="6">
        <v>802</v>
      </c>
      <c r="EN2" s="6">
        <v>814</v>
      </c>
      <c r="EO2" s="6">
        <v>323</v>
      </c>
      <c r="EP2" s="6">
        <v>877</v>
      </c>
      <c r="EQ2" s="6">
        <v>2109</v>
      </c>
      <c r="ER2" s="6">
        <v>189</v>
      </c>
      <c r="ES2" s="6">
        <v>229</v>
      </c>
      <c r="ET2" s="6">
        <v>213</v>
      </c>
      <c r="EU2" s="6">
        <v>817</v>
      </c>
      <c r="EV2" s="6">
        <v>19521</v>
      </c>
      <c r="EW2" s="6">
        <v>2431</v>
      </c>
      <c r="EX2" s="6">
        <v>319</v>
      </c>
      <c r="EY2" s="6">
        <v>312</v>
      </c>
      <c r="EZ2" s="6">
        <v>1047</v>
      </c>
      <c r="FA2" s="6">
        <v>352</v>
      </c>
      <c r="FB2" s="6">
        <v>2252</v>
      </c>
      <c r="FC2" s="6">
        <v>525</v>
      </c>
      <c r="FD2" s="6">
        <v>1807</v>
      </c>
      <c r="FE2" s="6">
        <v>659</v>
      </c>
      <c r="FF2" s="6">
        <v>11781</v>
      </c>
    </row>
    <row r="3" spans="1:168" x14ac:dyDescent="0.3">
      <c r="A3" t="s">
        <v>8</v>
      </c>
      <c r="B3">
        <v>60</v>
      </c>
      <c r="C3">
        <v>50</v>
      </c>
      <c r="D3">
        <v>50</v>
      </c>
      <c r="E3">
        <v>60</v>
      </c>
      <c r="F3">
        <v>60</v>
      </c>
      <c r="G3">
        <v>60</v>
      </c>
      <c r="H3">
        <v>96</v>
      </c>
      <c r="I3">
        <v>33</v>
      </c>
      <c r="J3">
        <v>48</v>
      </c>
      <c r="K3">
        <v>20</v>
      </c>
      <c r="L3">
        <v>20</v>
      </c>
      <c r="M3">
        <v>21</v>
      </c>
      <c r="N3">
        <v>50</v>
      </c>
      <c r="O3">
        <v>18</v>
      </c>
      <c r="P3">
        <v>21</v>
      </c>
      <c r="Q3">
        <v>21</v>
      </c>
      <c r="R3">
        <v>20</v>
      </c>
      <c r="S3">
        <v>29</v>
      </c>
      <c r="T3">
        <v>20</v>
      </c>
      <c r="U3">
        <v>29</v>
      </c>
      <c r="V3">
        <v>56</v>
      </c>
      <c r="W3">
        <v>39</v>
      </c>
      <c r="X3">
        <v>20</v>
      </c>
      <c r="Y3">
        <v>18</v>
      </c>
      <c r="Z3">
        <v>30</v>
      </c>
      <c r="AA3">
        <v>20</v>
      </c>
      <c r="AB3">
        <v>20</v>
      </c>
      <c r="AC3">
        <v>20</v>
      </c>
      <c r="AD3">
        <v>20</v>
      </c>
      <c r="AE3">
        <v>20</v>
      </c>
      <c r="AF3">
        <v>20</v>
      </c>
      <c r="AG3">
        <v>20</v>
      </c>
      <c r="AH3">
        <v>20</v>
      </c>
      <c r="AI3">
        <v>20</v>
      </c>
      <c r="AJ3">
        <v>65</v>
      </c>
      <c r="AK3">
        <v>73</v>
      </c>
      <c r="AL3">
        <v>54</v>
      </c>
      <c r="AM3">
        <v>44</v>
      </c>
      <c r="AN3">
        <v>38</v>
      </c>
      <c r="AO3">
        <v>30</v>
      </c>
      <c r="AP3">
        <v>20</v>
      </c>
      <c r="AQ3">
        <v>21</v>
      </c>
      <c r="AR3">
        <v>21</v>
      </c>
      <c r="AS3">
        <v>21</v>
      </c>
      <c r="AT3">
        <v>10</v>
      </c>
      <c r="AU3">
        <v>18</v>
      </c>
      <c r="AV3">
        <v>30</v>
      </c>
      <c r="AW3">
        <v>30</v>
      </c>
      <c r="AX3">
        <v>30</v>
      </c>
      <c r="AY3">
        <v>33</v>
      </c>
      <c r="AZ3">
        <v>45</v>
      </c>
      <c r="BA3">
        <v>9</v>
      </c>
      <c r="BB3">
        <v>9</v>
      </c>
      <c r="BC3">
        <v>10</v>
      </c>
      <c r="BD3">
        <v>10</v>
      </c>
      <c r="BE3">
        <v>12</v>
      </c>
      <c r="BF3">
        <v>60</v>
      </c>
      <c r="BG3">
        <v>12</v>
      </c>
      <c r="BH3">
        <v>64</v>
      </c>
      <c r="BI3">
        <v>19</v>
      </c>
      <c r="BJ3">
        <v>52</v>
      </c>
      <c r="BK3">
        <v>50</v>
      </c>
      <c r="BL3">
        <v>14</v>
      </c>
      <c r="BM3">
        <v>50</v>
      </c>
      <c r="BN3">
        <v>60</v>
      </c>
      <c r="BO3">
        <v>100</v>
      </c>
      <c r="BP3">
        <v>28</v>
      </c>
      <c r="BQ3">
        <v>16</v>
      </c>
      <c r="BR3">
        <v>28</v>
      </c>
      <c r="BS3">
        <v>28</v>
      </c>
      <c r="BT3" s="5">
        <v>17</v>
      </c>
      <c r="BU3" s="5">
        <v>20</v>
      </c>
      <c r="BV3" s="5">
        <v>20</v>
      </c>
      <c r="BW3" s="6">
        <v>20</v>
      </c>
      <c r="BX3" s="6">
        <v>20</v>
      </c>
      <c r="BY3" s="5">
        <v>20</v>
      </c>
      <c r="BZ3" s="6">
        <v>39</v>
      </c>
      <c r="CA3" s="6">
        <v>39</v>
      </c>
      <c r="CB3" s="6">
        <v>39</v>
      </c>
      <c r="CC3" s="6">
        <v>39</v>
      </c>
      <c r="CD3" s="6">
        <v>39</v>
      </c>
      <c r="CE3" s="6">
        <v>39</v>
      </c>
      <c r="CF3" s="6">
        <v>39</v>
      </c>
      <c r="CG3" s="6">
        <v>39</v>
      </c>
      <c r="CH3" s="6">
        <v>39</v>
      </c>
      <c r="CI3" s="6">
        <v>39</v>
      </c>
      <c r="CJ3" s="6">
        <v>39</v>
      </c>
      <c r="CK3" s="6">
        <v>39</v>
      </c>
      <c r="CL3" s="6">
        <v>39</v>
      </c>
      <c r="CM3" s="6">
        <v>39</v>
      </c>
      <c r="CN3" s="6">
        <v>39</v>
      </c>
      <c r="CO3" s="6">
        <v>59</v>
      </c>
      <c r="CP3" s="6">
        <v>20</v>
      </c>
      <c r="CQ3" s="6">
        <v>20</v>
      </c>
      <c r="CR3" s="6">
        <v>45</v>
      </c>
      <c r="CS3" s="6">
        <v>59</v>
      </c>
      <c r="CT3" s="6">
        <v>20</v>
      </c>
      <c r="CU3" s="6">
        <v>20</v>
      </c>
      <c r="CV3" s="6">
        <v>30</v>
      </c>
      <c r="CW3" s="6">
        <v>30</v>
      </c>
      <c r="CX3" s="6">
        <v>15</v>
      </c>
      <c r="CY3" s="6">
        <v>10</v>
      </c>
      <c r="CZ3" s="6">
        <v>10</v>
      </c>
      <c r="DA3" s="6">
        <v>10</v>
      </c>
      <c r="DB3" s="6">
        <v>10</v>
      </c>
      <c r="DC3" s="6">
        <v>11</v>
      </c>
      <c r="DD3" s="6">
        <v>11</v>
      </c>
      <c r="DE3" s="6">
        <v>11</v>
      </c>
      <c r="DF3" s="6">
        <v>11</v>
      </c>
      <c r="DG3" s="6">
        <v>8</v>
      </c>
      <c r="DH3" s="6">
        <v>8</v>
      </c>
      <c r="DI3" s="6">
        <v>8</v>
      </c>
      <c r="DJ3" s="6">
        <v>8</v>
      </c>
      <c r="DK3" s="6">
        <v>8</v>
      </c>
      <c r="DL3" s="6">
        <v>8</v>
      </c>
      <c r="DM3" s="6">
        <v>8</v>
      </c>
      <c r="DN3" s="6">
        <v>7</v>
      </c>
      <c r="DO3" s="6">
        <v>7</v>
      </c>
      <c r="DP3" s="16">
        <v>7</v>
      </c>
      <c r="DQ3" s="16">
        <v>7</v>
      </c>
      <c r="DR3" s="16">
        <v>7</v>
      </c>
      <c r="DS3" s="6">
        <v>13</v>
      </c>
      <c r="DT3" s="6">
        <v>13</v>
      </c>
      <c r="DU3" s="6">
        <v>13</v>
      </c>
      <c r="DV3" s="6">
        <v>13</v>
      </c>
      <c r="DW3" s="6">
        <v>13</v>
      </c>
      <c r="DX3" s="6">
        <v>13</v>
      </c>
      <c r="DY3" s="6">
        <v>16</v>
      </c>
      <c r="DZ3" s="6">
        <v>16</v>
      </c>
      <c r="EA3" s="6">
        <v>16</v>
      </c>
      <c r="EB3" s="6">
        <v>16</v>
      </c>
      <c r="EC3" s="6">
        <v>16</v>
      </c>
      <c r="ED3" s="6">
        <v>16</v>
      </c>
      <c r="EE3" s="6">
        <v>16</v>
      </c>
      <c r="EF3" s="6">
        <v>16</v>
      </c>
      <c r="EG3" s="6">
        <v>16</v>
      </c>
      <c r="EH3" s="6">
        <v>21</v>
      </c>
      <c r="EI3" s="6">
        <v>21</v>
      </c>
      <c r="EJ3" s="6">
        <v>21</v>
      </c>
      <c r="EK3" s="6">
        <v>21</v>
      </c>
      <c r="EL3" s="6">
        <v>21</v>
      </c>
      <c r="EM3" s="6">
        <v>21</v>
      </c>
      <c r="EN3" s="6">
        <v>21</v>
      </c>
      <c r="EO3" s="6">
        <v>37</v>
      </c>
      <c r="EP3" s="6">
        <v>37</v>
      </c>
      <c r="EQ3" s="6">
        <v>32</v>
      </c>
      <c r="ER3" s="6">
        <v>32</v>
      </c>
      <c r="ES3" s="6">
        <v>37</v>
      </c>
      <c r="ET3" s="6">
        <v>20</v>
      </c>
      <c r="EU3" s="6">
        <v>20</v>
      </c>
      <c r="EV3" s="6">
        <v>20</v>
      </c>
      <c r="EW3" s="6">
        <v>20</v>
      </c>
      <c r="EX3" s="6">
        <v>90</v>
      </c>
      <c r="EY3" s="6">
        <v>90</v>
      </c>
      <c r="EZ3" s="6">
        <v>24</v>
      </c>
      <c r="FA3" s="6">
        <v>24</v>
      </c>
      <c r="FB3" s="6">
        <v>27</v>
      </c>
      <c r="FC3" s="6">
        <v>30</v>
      </c>
      <c r="FD3" s="6">
        <v>33</v>
      </c>
      <c r="FE3" s="6">
        <v>33</v>
      </c>
      <c r="FF3" s="6">
        <v>21</v>
      </c>
    </row>
    <row r="4" spans="1:168" x14ac:dyDescent="0.3">
      <c r="A4" t="s">
        <v>131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6</v>
      </c>
      <c r="K4">
        <v>4</v>
      </c>
      <c r="L4">
        <v>4</v>
      </c>
      <c r="M4">
        <v>5</v>
      </c>
      <c r="N4">
        <v>5</v>
      </c>
      <c r="O4">
        <v>5</v>
      </c>
      <c r="P4">
        <v>4</v>
      </c>
      <c r="Q4">
        <v>4</v>
      </c>
      <c r="R4">
        <v>5</v>
      </c>
      <c r="S4">
        <v>7</v>
      </c>
      <c r="T4">
        <v>4</v>
      </c>
      <c r="U4">
        <v>7</v>
      </c>
      <c r="V4">
        <v>5</v>
      </c>
      <c r="W4">
        <v>6</v>
      </c>
      <c r="X4">
        <v>5</v>
      </c>
      <c r="Y4">
        <v>5</v>
      </c>
      <c r="Z4">
        <v>6</v>
      </c>
      <c r="AA4">
        <v>5</v>
      </c>
      <c r="AB4">
        <v>4</v>
      </c>
      <c r="AC4">
        <v>4</v>
      </c>
      <c r="AD4">
        <v>4</v>
      </c>
      <c r="AE4">
        <v>5</v>
      </c>
      <c r="AF4">
        <v>5</v>
      </c>
      <c r="AG4">
        <v>5</v>
      </c>
      <c r="AH4">
        <v>5</v>
      </c>
      <c r="AI4">
        <v>5</v>
      </c>
      <c r="AJ4">
        <v>4</v>
      </c>
      <c r="AK4">
        <v>4</v>
      </c>
      <c r="AL4">
        <v>4</v>
      </c>
      <c r="AM4">
        <v>5</v>
      </c>
      <c r="AN4">
        <v>5</v>
      </c>
      <c r="AO4">
        <v>5</v>
      </c>
      <c r="AP4">
        <v>4</v>
      </c>
      <c r="AQ4">
        <v>5</v>
      </c>
      <c r="AR4">
        <v>5</v>
      </c>
      <c r="AS4">
        <v>4</v>
      </c>
      <c r="AT4">
        <v>3</v>
      </c>
      <c r="AU4">
        <v>5</v>
      </c>
      <c r="AV4">
        <v>7</v>
      </c>
      <c r="AW4">
        <v>7</v>
      </c>
      <c r="AX4">
        <v>7</v>
      </c>
      <c r="AY4">
        <v>5</v>
      </c>
      <c r="AZ4">
        <v>5</v>
      </c>
      <c r="BA4">
        <v>5</v>
      </c>
      <c r="BB4">
        <v>5</v>
      </c>
      <c r="BC4">
        <v>7</v>
      </c>
      <c r="BD4">
        <v>7</v>
      </c>
      <c r="BE4">
        <v>8</v>
      </c>
      <c r="BF4">
        <v>5</v>
      </c>
      <c r="BG4">
        <v>4</v>
      </c>
      <c r="BH4">
        <v>5</v>
      </c>
      <c r="BI4">
        <v>4</v>
      </c>
      <c r="BJ4">
        <v>5</v>
      </c>
      <c r="BK4">
        <v>11</v>
      </c>
      <c r="BL4">
        <v>10</v>
      </c>
      <c r="BM4">
        <v>5</v>
      </c>
      <c r="BN4">
        <v>5</v>
      </c>
      <c r="BO4">
        <v>5</v>
      </c>
      <c r="BP4">
        <v>5</v>
      </c>
      <c r="BQ4">
        <v>5</v>
      </c>
      <c r="BR4">
        <v>5</v>
      </c>
      <c r="BS4">
        <v>5</v>
      </c>
      <c r="BT4" s="5">
        <v>5</v>
      </c>
      <c r="BU4" s="5">
        <v>5</v>
      </c>
      <c r="BV4" s="5">
        <v>5</v>
      </c>
      <c r="BW4" s="6">
        <v>5</v>
      </c>
      <c r="BX4" s="6">
        <v>5</v>
      </c>
      <c r="BY4" s="5">
        <v>5</v>
      </c>
      <c r="BZ4" s="6">
        <v>5</v>
      </c>
      <c r="CA4" s="6">
        <v>5</v>
      </c>
      <c r="CB4" s="6">
        <v>5</v>
      </c>
      <c r="CC4" s="6">
        <v>5</v>
      </c>
      <c r="CD4" s="6">
        <v>5</v>
      </c>
      <c r="CE4" s="6">
        <v>5</v>
      </c>
      <c r="CF4" s="6">
        <v>5</v>
      </c>
      <c r="CG4" s="6">
        <v>5</v>
      </c>
      <c r="CH4" s="6">
        <v>5</v>
      </c>
      <c r="CI4" s="6">
        <v>5</v>
      </c>
      <c r="CJ4" s="6">
        <v>5</v>
      </c>
      <c r="CK4" s="6">
        <v>5</v>
      </c>
      <c r="CL4" s="6">
        <v>5</v>
      </c>
      <c r="CM4" s="6">
        <v>5</v>
      </c>
      <c r="CN4" s="6">
        <v>5</v>
      </c>
      <c r="CO4" s="6">
        <v>4</v>
      </c>
      <c r="CP4" s="6">
        <v>4</v>
      </c>
      <c r="CQ4" s="6">
        <v>4</v>
      </c>
      <c r="CR4" s="6">
        <v>4</v>
      </c>
      <c r="CS4" s="6">
        <v>4</v>
      </c>
      <c r="CT4" s="6">
        <v>4</v>
      </c>
      <c r="CU4" s="6">
        <v>4</v>
      </c>
      <c r="CV4" s="6">
        <v>4</v>
      </c>
      <c r="CW4" s="6">
        <v>4</v>
      </c>
      <c r="CX4" s="6">
        <v>4</v>
      </c>
      <c r="CY4" s="6">
        <v>5</v>
      </c>
      <c r="CZ4" s="6">
        <v>5</v>
      </c>
      <c r="DA4" s="6">
        <v>5</v>
      </c>
      <c r="DB4" s="6">
        <v>5</v>
      </c>
      <c r="DC4" s="6">
        <v>7</v>
      </c>
      <c r="DD4" s="6">
        <v>7</v>
      </c>
      <c r="DE4" s="6">
        <v>7</v>
      </c>
      <c r="DF4" s="6">
        <v>7</v>
      </c>
      <c r="DG4" s="6">
        <v>7</v>
      </c>
      <c r="DH4" s="6">
        <v>7</v>
      </c>
      <c r="DI4" s="6">
        <v>7</v>
      </c>
      <c r="DJ4" s="6">
        <v>7</v>
      </c>
      <c r="DK4" s="6">
        <v>7</v>
      </c>
      <c r="DL4" s="6">
        <v>7</v>
      </c>
      <c r="DM4" s="6">
        <v>7</v>
      </c>
      <c r="DN4" s="6">
        <v>11</v>
      </c>
      <c r="DO4" s="6">
        <v>11</v>
      </c>
      <c r="DP4" s="16">
        <v>11</v>
      </c>
      <c r="DQ4" s="16">
        <v>11</v>
      </c>
      <c r="DR4" s="16">
        <v>11</v>
      </c>
      <c r="DS4" s="6">
        <v>5</v>
      </c>
      <c r="DT4" s="6">
        <v>5</v>
      </c>
      <c r="DU4" s="6">
        <v>5</v>
      </c>
      <c r="DV4" s="6">
        <v>5</v>
      </c>
      <c r="DW4" s="6">
        <v>7</v>
      </c>
      <c r="DX4" s="6">
        <v>7</v>
      </c>
      <c r="DY4" s="6">
        <v>7</v>
      </c>
      <c r="DZ4" s="6">
        <v>7</v>
      </c>
      <c r="EA4" s="6">
        <v>7</v>
      </c>
      <c r="EB4" s="6">
        <v>7</v>
      </c>
      <c r="EC4" s="6">
        <v>7</v>
      </c>
      <c r="ED4" s="6">
        <v>7</v>
      </c>
      <c r="EE4" s="6">
        <v>7</v>
      </c>
      <c r="EF4" s="6">
        <v>7</v>
      </c>
      <c r="EG4" s="6">
        <v>7</v>
      </c>
      <c r="EH4" s="6">
        <v>5</v>
      </c>
      <c r="EI4" s="6">
        <v>5</v>
      </c>
      <c r="EJ4" s="6">
        <v>5</v>
      </c>
      <c r="EK4" s="6">
        <v>5</v>
      </c>
      <c r="EL4" s="6">
        <v>5</v>
      </c>
      <c r="EM4" s="6">
        <v>5</v>
      </c>
      <c r="EN4" s="6">
        <v>5</v>
      </c>
      <c r="EO4" s="6">
        <v>6</v>
      </c>
      <c r="EP4" s="6">
        <v>6</v>
      </c>
      <c r="EQ4" s="6">
        <v>6</v>
      </c>
      <c r="ER4" s="6">
        <v>6</v>
      </c>
      <c r="ES4" s="6">
        <v>6</v>
      </c>
      <c r="ET4" s="6">
        <v>5</v>
      </c>
      <c r="EU4" s="6">
        <v>7</v>
      </c>
      <c r="EV4" s="6">
        <v>4</v>
      </c>
      <c r="EW4" s="6">
        <v>4</v>
      </c>
      <c r="EX4" s="6">
        <v>5</v>
      </c>
      <c r="EY4" s="6">
        <v>5</v>
      </c>
      <c r="EZ4" s="6">
        <v>5</v>
      </c>
      <c r="FA4" s="6">
        <v>5</v>
      </c>
      <c r="FB4" s="6">
        <v>5</v>
      </c>
      <c r="FC4" s="6">
        <v>4</v>
      </c>
      <c r="FD4" s="6">
        <v>5</v>
      </c>
      <c r="FE4" s="6">
        <v>5</v>
      </c>
      <c r="FF4" s="6">
        <v>4</v>
      </c>
    </row>
    <row r="5" spans="1:168" x14ac:dyDescent="0.3">
      <c r="A5" t="s">
        <v>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6</v>
      </c>
      <c r="I5">
        <v>4</v>
      </c>
      <c r="J5">
        <v>6</v>
      </c>
      <c r="K5">
        <v>1</v>
      </c>
      <c r="L5">
        <v>1</v>
      </c>
      <c r="M5">
        <v>1</v>
      </c>
      <c r="N5">
        <v>2</v>
      </c>
      <c r="O5">
        <v>6</v>
      </c>
      <c r="P5">
        <v>3</v>
      </c>
      <c r="Q5">
        <v>3</v>
      </c>
      <c r="R5">
        <v>5</v>
      </c>
      <c r="S5">
        <v>3</v>
      </c>
      <c r="T5">
        <v>2</v>
      </c>
      <c r="U5">
        <v>3</v>
      </c>
      <c r="V5">
        <v>5</v>
      </c>
      <c r="W5">
        <v>5</v>
      </c>
      <c r="X5">
        <v>2</v>
      </c>
      <c r="Y5">
        <v>5</v>
      </c>
      <c r="Z5">
        <v>5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4</v>
      </c>
      <c r="AH5">
        <v>4</v>
      </c>
      <c r="AI5">
        <v>4</v>
      </c>
      <c r="AJ5">
        <v>6</v>
      </c>
      <c r="AK5">
        <v>7</v>
      </c>
      <c r="AL5">
        <v>6</v>
      </c>
      <c r="AM5">
        <v>3</v>
      </c>
      <c r="AN5">
        <v>3</v>
      </c>
      <c r="AO5">
        <v>3</v>
      </c>
      <c r="AP5">
        <v>1</v>
      </c>
      <c r="AQ5">
        <v>1</v>
      </c>
      <c r="AR5">
        <v>1</v>
      </c>
      <c r="AS5">
        <v>1</v>
      </c>
      <c r="AT5">
        <v>1</v>
      </c>
      <c r="AU5">
        <v>6</v>
      </c>
      <c r="AV5">
        <v>4</v>
      </c>
      <c r="AW5">
        <v>4</v>
      </c>
      <c r="AX5">
        <v>4</v>
      </c>
      <c r="AY5">
        <v>4</v>
      </c>
      <c r="AZ5">
        <v>3</v>
      </c>
      <c r="BA5">
        <v>1</v>
      </c>
      <c r="BB5">
        <v>1</v>
      </c>
      <c r="BC5">
        <v>5</v>
      </c>
      <c r="BD5">
        <v>5</v>
      </c>
      <c r="BE5">
        <v>2</v>
      </c>
      <c r="BF5">
        <v>5</v>
      </c>
      <c r="BG5">
        <v>2</v>
      </c>
      <c r="BH5">
        <v>4</v>
      </c>
      <c r="BI5">
        <v>3</v>
      </c>
      <c r="BJ5">
        <v>5</v>
      </c>
      <c r="BK5">
        <v>5</v>
      </c>
      <c r="BL5">
        <v>2</v>
      </c>
      <c r="BM5">
        <v>5</v>
      </c>
      <c r="BN5">
        <v>6</v>
      </c>
      <c r="BO5">
        <v>5</v>
      </c>
      <c r="BP5">
        <v>4</v>
      </c>
      <c r="BQ5">
        <v>4</v>
      </c>
      <c r="BR5">
        <v>4</v>
      </c>
      <c r="BS5">
        <v>4</v>
      </c>
      <c r="BT5" s="5">
        <v>1</v>
      </c>
      <c r="BU5" s="5">
        <v>1</v>
      </c>
      <c r="BV5" s="5">
        <v>1</v>
      </c>
      <c r="BW5" s="6">
        <v>1</v>
      </c>
      <c r="BX5" s="6">
        <v>1</v>
      </c>
      <c r="BY5" s="5">
        <v>1</v>
      </c>
      <c r="BZ5" s="6">
        <v>5</v>
      </c>
      <c r="CA5" s="6">
        <v>5</v>
      </c>
      <c r="CB5" s="6">
        <v>5</v>
      </c>
      <c r="CC5" s="6">
        <v>5</v>
      </c>
      <c r="CD5" s="6">
        <v>5</v>
      </c>
      <c r="CE5" s="6">
        <v>5</v>
      </c>
      <c r="CF5" s="6">
        <v>5</v>
      </c>
      <c r="CG5" s="6">
        <v>5</v>
      </c>
      <c r="CH5" s="6">
        <v>5</v>
      </c>
      <c r="CI5" s="6">
        <v>5</v>
      </c>
      <c r="CJ5" s="6">
        <v>5</v>
      </c>
      <c r="CK5" s="6">
        <v>5</v>
      </c>
      <c r="CL5" s="6">
        <v>5</v>
      </c>
      <c r="CM5" s="6">
        <v>5</v>
      </c>
      <c r="CN5" s="6">
        <v>5</v>
      </c>
      <c r="CO5" s="6">
        <v>5</v>
      </c>
      <c r="CP5" s="6">
        <v>5</v>
      </c>
      <c r="CQ5" s="6">
        <v>5</v>
      </c>
      <c r="CR5" s="6">
        <v>4</v>
      </c>
      <c r="CS5" s="6">
        <v>5</v>
      </c>
      <c r="CT5" s="6">
        <v>5</v>
      </c>
      <c r="CU5" s="6">
        <v>5</v>
      </c>
      <c r="CV5" s="6">
        <v>3</v>
      </c>
      <c r="CW5" s="6">
        <v>3</v>
      </c>
      <c r="CX5" s="6">
        <v>3</v>
      </c>
      <c r="CY5" s="6">
        <v>1</v>
      </c>
      <c r="CZ5" s="6">
        <v>1</v>
      </c>
      <c r="DA5" s="6">
        <v>1</v>
      </c>
      <c r="DB5" s="6">
        <v>1</v>
      </c>
      <c r="DC5" s="6">
        <v>2</v>
      </c>
      <c r="DD5" s="6">
        <v>2</v>
      </c>
      <c r="DE5" s="6">
        <v>2</v>
      </c>
      <c r="DF5" s="6">
        <v>2</v>
      </c>
      <c r="DG5" s="6">
        <v>2</v>
      </c>
      <c r="DH5" s="6">
        <v>2</v>
      </c>
      <c r="DI5" s="6">
        <v>2</v>
      </c>
      <c r="DJ5" s="6">
        <v>1</v>
      </c>
      <c r="DK5" s="6">
        <v>1</v>
      </c>
      <c r="DL5" s="6">
        <v>1</v>
      </c>
      <c r="DM5" s="6">
        <v>1</v>
      </c>
      <c r="DN5" s="6">
        <v>1</v>
      </c>
      <c r="DO5" s="6">
        <v>1</v>
      </c>
      <c r="DP5" s="16">
        <v>1</v>
      </c>
      <c r="DQ5" s="16">
        <v>1</v>
      </c>
      <c r="DR5" s="16">
        <v>1</v>
      </c>
      <c r="DS5" s="6">
        <v>1</v>
      </c>
      <c r="DT5" s="6">
        <v>1</v>
      </c>
      <c r="DU5" s="6">
        <v>1</v>
      </c>
      <c r="DV5" s="6">
        <v>1</v>
      </c>
      <c r="DW5" s="6">
        <v>1</v>
      </c>
      <c r="DX5" s="6">
        <v>1</v>
      </c>
      <c r="DY5" s="6">
        <v>1</v>
      </c>
      <c r="DZ5" s="6">
        <v>1</v>
      </c>
      <c r="EA5" s="6">
        <v>1</v>
      </c>
      <c r="EB5" s="6">
        <v>1</v>
      </c>
      <c r="EC5" s="6">
        <v>1</v>
      </c>
      <c r="ED5" s="6">
        <v>1</v>
      </c>
      <c r="EE5" s="6">
        <v>1</v>
      </c>
      <c r="EF5" s="6">
        <v>4</v>
      </c>
      <c r="EG5" s="6">
        <v>4</v>
      </c>
      <c r="EH5" s="6">
        <v>1</v>
      </c>
      <c r="EI5" s="6">
        <v>1</v>
      </c>
      <c r="EJ5" s="6">
        <v>1</v>
      </c>
      <c r="EK5" s="6">
        <v>1</v>
      </c>
      <c r="EL5" s="6">
        <v>1</v>
      </c>
      <c r="EM5" s="6">
        <v>1</v>
      </c>
      <c r="EN5" s="6">
        <v>1</v>
      </c>
      <c r="EO5" s="6">
        <v>8</v>
      </c>
      <c r="EP5" s="6">
        <v>8</v>
      </c>
      <c r="EQ5" s="6">
        <v>8</v>
      </c>
      <c r="ER5" s="6">
        <v>8</v>
      </c>
      <c r="ES5" s="6">
        <v>8</v>
      </c>
      <c r="ET5" s="6">
        <v>1</v>
      </c>
      <c r="EU5" s="6">
        <v>1</v>
      </c>
      <c r="EV5" s="6">
        <v>1</v>
      </c>
      <c r="EW5" s="6">
        <v>1</v>
      </c>
      <c r="EX5" s="6">
        <v>1</v>
      </c>
      <c r="EY5" s="6">
        <v>1</v>
      </c>
      <c r="EZ5" s="6">
        <v>4</v>
      </c>
      <c r="FA5" s="6">
        <v>4</v>
      </c>
      <c r="FB5" s="6">
        <v>3</v>
      </c>
      <c r="FC5" s="6">
        <v>3</v>
      </c>
      <c r="FD5" s="6">
        <v>4</v>
      </c>
      <c r="FE5" s="6">
        <v>4</v>
      </c>
      <c r="FF5" s="6">
        <v>3</v>
      </c>
    </row>
    <row r="6" spans="1:168" x14ac:dyDescent="0.3">
      <c r="A6" t="s">
        <v>132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6</v>
      </c>
      <c r="I6">
        <v>4</v>
      </c>
      <c r="J6">
        <v>6</v>
      </c>
      <c r="K6">
        <v>2</v>
      </c>
      <c r="L6">
        <v>2</v>
      </c>
      <c r="M6">
        <v>3</v>
      </c>
      <c r="N6">
        <v>3</v>
      </c>
      <c r="O6">
        <v>6</v>
      </c>
      <c r="P6">
        <v>3</v>
      </c>
      <c r="Q6">
        <v>3</v>
      </c>
      <c r="R6">
        <v>5</v>
      </c>
      <c r="S6">
        <v>3</v>
      </c>
      <c r="T6">
        <v>2</v>
      </c>
      <c r="U6">
        <v>3</v>
      </c>
      <c r="V6">
        <v>5</v>
      </c>
      <c r="W6">
        <v>5</v>
      </c>
      <c r="X6">
        <v>2</v>
      </c>
      <c r="Y6">
        <v>5</v>
      </c>
      <c r="Z6">
        <v>5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6</v>
      </c>
      <c r="AK6">
        <v>7</v>
      </c>
      <c r="AL6">
        <v>6</v>
      </c>
      <c r="AM6">
        <v>3</v>
      </c>
      <c r="AN6">
        <v>3</v>
      </c>
      <c r="AO6">
        <v>3</v>
      </c>
      <c r="AP6">
        <v>2</v>
      </c>
      <c r="AQ6">
        <v>2</v>
      </c>
      <c r="AR6">
        <v>2</v>
      </c>
      <c r="AS6">
        <v>3</v>
      </c>
      <c r="AT6">
        <v>2</v>
      </c>
      <c r="AU6">
        <v>6</v>
      </c>
      <c r="AV6">
        <v>4</v>
      </c>
      <c r="AW6">
        <v>4</v>
      </c>
      <c r="AX6">
        <v>4</v>
      </c>
      <c r="AY6">
        <v>4</v>
      </c>
      <c r="AZ6">
        <v>3</v>
      </c>
      <c r="BA6">
        <v>2</v>
      </c>
      <c r="BB6">
        <v>2</v>
      </c>
      <c r="BC6">
        <v>5</v>
      </c>
      <c r="BD6">
        <v>5</v>
      </c>
      <c r="BE6">
        <v>2</v>
      </c>
      <c r="BF6">
        <v>5</v>
      </c>
      <c r="BG6">
        <v>2</v>
      </c>
      <c r="BH6">
        <v>4</v>
      </c>
      <c r="BI6">
        <v>3</v>
      </c>
      <c r="BJ6">
        <v>3</v>
      </c>
      <c r="BK6">
        <v>5</v>
      </c>
      <c r="BL6">
        <v>2</v>
      </c>
      <c r="BM6">
        <v>5</v>
      </c>
      <c r="BN6">
        <v>6</v>
      </c>
      <c r="BO6">
        <v>5</v>
      </c>
      <c r="BP6">
        <v>4</v>
      </c>
      <c r="BQ6">
        <v>4</v>
      </c>
      <c r="BR6">
        <v>4</v>
      </c>
      <c r="BS6">
        <v>4</v>
      </c>
      <c r="BT6" s="5">
        <v>2</v>
      </c>
      <c r="BU6" s="5">
        <v>2</v>
      </c>
      <c r="BV6" s="5">
        <v>2</v>
      </c>
      <c r="BW6" s="6">
        <v>2</v>
      </c>
      <c r="BX6" s="6">
        <v>2</v>
      </c>
      <c r="BY6" s="5">
        <v>2</v>
      </c>
      <c r="BZ6" s="6">
        <v>5</v>
      </c>
      <c r="CA6" s="6">
        <v>5</v>
      </c>
      <c r="CB6" s="6">
        <v>5</v>
      </c>
      <c r="CC6" s="6">
        <v>5</v>
      </c>
      <c r="CD6" s="6">
        <v>5</v>
      </c>
      <c r="CE6" s="6">
        <v>5</v>
      </c>
      <c r="CF6" s="6">
        <v>5</v>
      </c>
      <c r="CG6" s="6">
        <v>5</v>
      </c>
      <c r="CH6" s="6">
        <v>5</v>
      </c>
      <c r="CI6" s="6">
        <v>5</v>
      </c>
      <c r="CJ6" s="6">
        <v>5</v>
      </c>
      <c r="CK6" s="6">
        <v>5</v>
      </c>
      <c r="CL6" s="6">
        <v>5</v>
      </c>
      <c r="CM6" s="6">
        <v>5</v>
      </c>
      <c r="CN6" s="6">
        <v>5</v>
      </c>
      <c r="CO6" s="6">
        <v>5</v>
      </c>
      <c r="CP6" s="6">
        <v>5</v>
      </c>
      <c r="CQ6" s="6">
        <v>5</v>
      </c>
      <c r="CR6" s="6">
        <v>4</v>
      </c>
      <c r="CS6" s="6">
        <v>5</v>
      </c>
      <c r="CT6" s="6">
        <v>5</v>
      </c>
      <c r="CU6" s="6">
        <v>5</v>
      </c>
      <c r="CV6" s="6">
        <v>3</v>
      </c>
      <c r="CW6" s="6">
        <v>3</v>
      </c>
      <c r="CX6" s="6">
        <v>3</v>
      </c>
      <c r="CY6" s="6">
        <v>1</v>
      </c>
      <c r="CZ6" s="6">
        <v>1</v>
      </c>
      <c r="DA6" s="6">
        <v>1</v>
      </c>
      <c r="DB6" s="6">
        <v>1</v>
      </c>
      <c r="DC6" s="6">
        <v>2</v>
      </c>
      <c r="DD6" s="6">
        <v>2</v>
      </c>
      <c r="DE6" s="6">
        <v>2</v>
      </c>
      <c r="DF6" s="6">
        <v>2</v>
      </c>
      <c r="DG6" s="6">
        <v>2</v>
      </c>
      <c r="DH6" s="6">
        <v>2</v>
      </c>
      <c r="DI6" s="6">
        <v>2</v>
      </c>
      <c r="DJ6" s="6">
        <v>1</v>
      </c>
      <c r="DK6" s="6">
        <v>1</v>
      </c>
      <c r="DL6" s="6">
        <v>1</v>
      </c>
      <c r="DM6" s="6">
        <v>1</v>
      </c>
      <c r="DN6" s="6">
        <v>1</v>
      </c>
      <c r="DO6" s="6">
        <v>1</v>
      </c>
      <c r="DP6" s="16">
        <v>1</v>
      </c>
      <c r="DQ6" s="16">
        <v>1</v>
      </c>
      <c r="DR6" s="16">
        <v>1</v>
      </c>
      <c r="DS6" s="6">
        <v>1</v>
      </c>
      <c r="DT6" s="6">
        <v>1</v>
      </c>
      <c r="DU6" s="6">
        <v>1</v>
      </c>
      <c r="DV6" s="6">
        <v>1</v>
      </c>
      <c r="DW6" s="6">
        <v>1</v>
      </c>
      <c r="DX6" s="6">
        <v>1</v>
      </c>
      <c r="DY6" s="6">
        <v>1</v>
      </c>
      <c r="DZ6" s="6">
        <v>1</v>
      </c>
      <c r="EA6" s="6">
        <v>1</v>
      </c>
      <c r="EB6" s="6">
        <v>1</v>
      </c>
      <c r="EC6" s="6">
        <v>1</v>
      </c>
      <c r="ED6" s="6">
        <v>1</v>
      </c>
      <c r="EE6" s="6">
        <v>1</v>
      </c>
      <c r="EF6" s="6">
        <v>4</v>
      </c>
      <c r="EG6" s="6">
        <v>4</v>
      </c>
      <c r="EH6" s="6">
        <v>3</v>
      </c>
      <c r="EI6" s="6">
        <v>3</v>
      </c>
      <c r="EJ6" s="6">
        <v>3</v>
      </c>
      <c r="EK6" s="6">
        <v>3</v>
      </c>
      <c r="EL6" s="6">
        <v>3</v>
      </c>
      <c r="EM6" s="6">
        <v>3</v>
      </c>
      <c r="EN6" s="6">
        <v>3</v>
      </c>
      <c r="EO6" s="6">
        <v>8</v>
      </c>
      <c r="EP6" s="6">
        <v>8</v>
      </c>
      <c r="EQ6" s="6">
        <v>8</v>
      </c>
      <c r="ER6" s="6">
        <v>8</v>
      </c>
      <c r="ES6" s="6">
        <v>8</v>
      </c>
      <c r="ET6" s="6">
        <v>2</v>
      </c>
      <c r="EU6" s="6">
        <v>2</v>
      </c>
      <c r="EV6" s="6">
        <v>2</v>
      </c>
      <c r="EW6" s="6">
        <v>2</v>
      </c>
      <c r="EX6" s="5">
        <v>2</v>
      </c>
      <c r="EY6" s="5">
        <v>2</v>
      </c>
      <c r="EZ6" s="6">
        <v>4</v>
      </c>
      <c r="FA6" s="6">
        <v>4</v>
      </c>
      <c r="FB6" s="6">
        <v>3</v>
      </c>
      <c r="FC6" s="6">
        <v>3</v>
      </c>
      <c r="FD6" s="6">
        <v>4</v>
      </c>
      <c r="FE6" s="6">
        <v>4</v>
      </c>
      <c r="FF6" s="6">
        <v>3</v>
      </c>
    </row>
    <row r="7" spans="1:168" s="1" customFormat="1" x14ac:dyDescent="0.3">
      <c r="A7" s="2" t="s">
        <v>14</v>
      </c>
      <c r="B7" s="1" t="s">
        <v>15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18</v>
      </c>
      <c r="J7" s="1" t="s">
        <v>15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15</v>
      </c>
      <c r="S7" s="1" t="s">
        <v>18</v>
      </c>
      <c r="T7" s="1" t="s">
        <v>18</v>
      </c>
      <c r="U7" s="1" t="s">
        <v>18</v>
      </c>
      <c r="V7" s="1" t="s">
        <v>15</v>
      </c>
      <c r="W7" s="1" t="s">
        <v>15</v>
      </c>
      <c r="X7" s="1" t="s">
        <v>15</v>
      </c>
      <c r="Y7" s="1" t="s">
        <v>15</v>
      </c>
      <c r="Z7" s="1" t="s">
        <v>15</v>
      </c>
      <c r="AA7" s="1" t="s">
        <v>15</v>
      </c>
      <c r="AB7" s="1" t="s">
        <v>15</v>
      </c>
      <c r="AC7" s="1" t="s">
        <v>15</v>
      </c>
      <c r="AD7" s="1" t="s">
        <v>15</v>
      </c>
      <c r="AE7" s="1" t="s">
        <v>15</v>
      </c>
      <c r="AF7" s="1" t="s">
        <v>15</v>
      </c>
      <c r="AG7" s="1" t="s">
        <v>18</v>
      </c>
      <c r="AH7" s="1" t="s">
        <v>18</v>
      </c>
      <c r="AI7" s="1" t="s">
        <v>18</v>
      </c>
      <c r="AJ7" s="1" t="s">
        <v>15</v>
      </c>
      <c r="AK7" s="1" t="s">
        <v>15</v>
      </c>
      <c r="AL7" s="1" t="s">
        <v>15</v>
      </c>
      <c r="AM7" s="1" t="s">
        <v>15</v>
      </c>
      <c r="AN7" s="1" t="s">
        <v>15</v>
      </c>
      <c r="AO7" s="1" t="s">
        <v>15</v>
      </c>
      <c r="AP7" s="1" t="s">
        <v>26</v>
      </c>
      <c r="AQ7" s="1" t="s">
        <v>26</v>
      </c>
      <c r="AR7" s="1" t="s">
        <v>26</v>
      </c>
      <c r="AS7" s="1" t="s">
        <v>26</v>
      </c>
      <c r="AT7" s="1" t="s">
        <v>26</v>
      </c>
      <c r="AU7" s="1" t="s">
        <v>18</v>
      </c>
      <c r="AV7" s="1" t="s">
        <v>18</v>
      </c>
      <c r="AW7" s="1" t="s">
        <v>18</v>
      </c>
      <c r="AX7" s="1" t="s">
        <v>18</v>
      </c>
      <c r="AY7" s="1" t="s">
        <v>18</v>
      </c>
      <c r="AZ7" s="1" t="s">
        <v>15</v>
      </c>
      <c r="BA7" s="1" t="s">
        <v>26</v>
      </c>
      <c r="BB7" s="1" t="s">
        <v>26</v>
      </c>
      <c r="BC7" s="1" t="s">
        <v>15</v>
      </c>
      <c r="BD7" s="1" t="s">
        <v>15</v>
      </c>
      <c r="BE7" s="1" t="s">
        <v>18</v>
      </c>
      <c r="BF7" s="1" t="s">
        <v>15</v>
      </c>
      <c r="BG7" s="1" t="s">
        <v>18</v>
      </c>
      <c r="BH7" s="1" t="s">
        <v>15</v>
      </c>
      <c r="BI7" s="1" t="s">
        <v>18</v>
      </c>
      <c r="BJ7" s="1" t="s">
        <v>18</v>
      </c>
      <c r="BK7" s="1" t="s">
        <v>15</v>
      </c>
      <c r="BL7" s="1" t="s">
        <v>18</v>
      </c>
      <c r="BM7" s="1" t="s">
        <v>15</v>
      </c>
      <c r="BN7" s="1" t="s">
        <v>15</v>
      </c>
      <c r="BO7" s="1" t="s">
        <v>15</v>
      </c>
      <c r="BP7" s="1" t="s">
        <v>18</v>
      </c>
      <c r="BQ7" s="1" t="s">
        <v>18</v>
      </c>
      <c r="BR7" s="1" t="s">
        <v>18</v>
      </c>
      <c r="BS7" s="1" t="s">
        <v>18</v>
      </c>
      <c r="BT7" s="5" t="s">
        <v>26</v>
      </c>
      <c r="BU7" s="5" t="s">
        <v>26</v>
      </c>
      <c r="BV7" s="5" t="s">
        <v>26</v>
      </c>
      <c r="BW7" s="5" t="s">
        <v>26</v>
      </c>
      <c r="BX7" s="5" t="s">
        <v>26</v>
      </c>
      <c r="BY7" s="5" t="s">
        <v>26</v>
      </c>
      <c r="BZ7" s="5" t="s">
        <v>15</v>
      </c>
      <c r="CA7" s="5" t="s">
        <v>15</v>
      </c>
      <c r="CB7" s="5" t="s">
        <v>15</v>
      </c>
      <c r="CC7" s="5" t="s">
        <v>15</v>
      </c>
      <c r="CD7" s="5" t="s">
        <v>15</v>
      </c>
      <c r="CE7" s="5" t="s">
        <v>15</v>
      </c>
      <c r="CF7" s="5" t="s">
        <v>15</v>
      </c>
      <c r="CG7" s="5" t="s">
        <v>15</v>
      </c>
      <c r="CH7" s="5" t="s">
        <v>15</v>
      </c>
      <c r="CI7" s="5" t="s">
        <v>15</v>
      </c>
      <c r="CJ7" s="5" t="s">
        <v>15</v>
      </c>
      <c r="CK7" s="5" t="s">
        <v>15</v>
      </c>
      <c r="CL7" s="5" t="s">
        <v>15</v>
      </c>
      <c r="CM7" s="5" t="s">
        <v>15</v>
      </c>
      <c r="CN7" s="5" t="s">
        <v>15</v>
      </c>
      <c r="CO7" s="5" t="s">
        <v>18</v>
      </c>
      <c r="CP7" s="5" t="s">
        <v>18</v>
      </c>
      <c r="CQ7" s="5" t="s">
        <v>18</v>
      </c>
      <c r="CR7" s="5" t="s">
        <v>18</v>
      </c>
      <c r="CS7" s="5" t="s">
        <v>18</v>
      </c>
      <c r="CT7" s="5" t="s">
        <v>18</v>
      </c>
      <c r="CU7" s="5" t="s">
        <v>18</v>
      </c>
      <c r="CV7" s="5" t="s">
        <v>18</v>
      </c>
      <c r="CW7" s="5" t="s">
        <v>18</v>
      </c>
      <c r="CX7" s="5" t="s">
        <v>18</v>
      </c>
      <c r="CY7" s="5" t="s">
        <v>26</v>
      </c>
      <c r="CZ7" s="5" t="s">
        <v>26</v>
      </c>
      <c r="DA7" s="5" t="s">
        <v>26</v>
      </c>
      <c r="DB7" s="5" t="s">
        <v>26</v>
      </c>
      <c r="DC7" s="5" t="s">
        <v>18</v>
      </c>
      <c r="DD7" s="5" t="s">
        <v>18</v>
      </c>
      <c r="DE7" s="5" t="s">
        <v>18</v>
      </c>
      <c r="DF7" s="5" t="s">
        <v>18</v>
      </c>
      <c r="DG7" s="5" t="s">
        <v>18</v>
      </c>
      <c r="DH7" s="5" t="s">
        <v>18</v>
      </c>
      <c r="DI7" s="5" t="s">
        <v>18</v>
      </c>
      <c r="DJ7" s="5" t="s">
        <v>26</v>
      </c>
      <c r="DK7" s="5" t="s">
        <v>26</v>
      </c>
      <c r="DL7" s="5" t="s">
        <v>26</v>
      </c>
      <c r="DM7" s="5" t="s">
        <v>26</v>
      </c>
      <c r="DN7" s="5" t="s">
        <v>26</v>
      </c>
      <c r="DO7" s="5" t="s">
        <v>26</v>
      </c>
      <c r="DP7" s="17" t="s">
        <v>26</v>
      </c>
      <c r="DQ7" s="17" t="s">
        <v>26</v>
      </c>
      <c r="DR7" s="17" t="s">
        <v>26</v>
      </c>
      <c r="DS7" s="5" t="s">
        <v>26</v>
      </c>
      <c r="DT7" s="5" t="s">
        <v>26</v>
      </c>
      <c r="DU7" s="5" t="s">
        <v>26</v>
      </c>
      <c r="DV7" s="5" t="s">
        <v>26</v>
      </c>
      <c r="DW7" s="5" t="s">
        <v>26</v>
      </c>
      <c r="DX7" s="5" t="s">
        <v>26</v>
      </c>
      <c r="DY7" s="5" t="s">
        <v>26</v>
      </c>
      <c r="DZ7" s="5" t="s">
        <v>26</v>
      </c>
      <c r="EA7" s="5" t="s">
        <v>26</v>
      </c>
      <c r="EB7" s="5" t="s">
        <v>26</v>
      </c>
      <c r="EC7" s="5" t="s">
        <v>26</v>
      </c>
      <c r="ED7" s="5" t="s">
        <v>26</v>
      </c>
      <c r="EE7" s="5" t="s">
        <v>26</v>
      </c>
      <c r="EF7" s="5" t="s">
        <v>18</v>
      </c>
      <c r="EG7" s="5" t="s">
        <v>18</v>
      </c>
      <c r="EH7" s="5" t="s">
        <v>26</v>
      </c>
      <c r="EI7" s="5" t="s">
        <v>26</v>
      </c>
      <c r="EJ7" s="5" t="s">
        <v>26</v>
      </c>
      <c r="EK7" s="5" t="s">
        <v>26</v>
      </c>
      <c r="EL7" s="5" t="s">
        <v>26</v>
      </c>
      <c r="EM7" s="5" t="s">
        <v>26</v>
      </c>
      <c r="EN7" s="5" t="s">
        <v>26</v>
      </c>
      <c r="EO7" s="1" t="s">
        <v>18</v>
      </c>
      <c r="EP7" s="1" t="s">
        <v>18</v>
      </c>
      <c r="EQ7" s="1" t="s">
        <v>18</v>
      </c>
      <c r="ER7" s="1" t="s">
        <v>18</v>
      </c>
      <c r="ES7" s="1" t="s">
        <v>18</v>
      </c>
      <c r="ET7" s="1" t="s">
        <v>26</v>
      </c>
      <c r="EU7" s="1" t="s">
        <v>26</v>
      </c>
      <c r="EV7" s="1" t="s">
        <v>26</v>
      </c>
      <c r="EW7" s="1" t="s">
        <v>26</v>
      </c>
      <c r="EX7" s="5" t="s">
        <v>26</v>
      </c>
      <c r="EY7" s="5" t="s">
        <v>26</v>
      </c>
      <c r="EZ7" s="1" t="s">
        <v>18</v>
      </c>
      <c r="FA7" s="1" t="s">
        <v>18</v>
      </c>
      <c r="FB7" s="1" t="s">
        <v>18</v>
      </c>
      <c r="FC7" s="1" t="s">
        <v>18</v>
      </c>
      <c r="FD7" s="1" t="s">
        <v>18</v>
      </c>
      <c r="FE7" s="1" t="s">
        <v>18</v>
      </c>
      <c r="FF7" s="1" t="s">
        <v>18</v>
      </c>
    </row>
    <row r="8" spans="1:168" x14ac:dyDescent="0.3">
      <c r="A8" t="s">
        <v>133</v>
      </c>
      <c r="B8" s="4">
        <v>7.64</v>
      </c>
      <c r="C8" s="4">
        <v>8.86</v>
      </c>
      <c r="D8" s="4">
        <v>7.9</v>
      </c>
      <c r="E8" s="4">
        <v>9.9700000000000006</v>
      </c>
      <c r="F8" s="4">
        <v>8.4499999999999993</v>
      </c>
      <c r="G8" s="4">
        <v>8.36</v>
      </c>
      <c r="H8" s="4">
        <v>7.59</v>
      </c>
      <c r="I8" s="4">
        <v>6.34</v>
      </c>
      <c r="J8" s="4">
        <v>9.11</v>
      </c>
      <c r="K8" s="4">
        <v>5.69</v>
      </c>
      <c r="L8" s="4">
        <v>7.41</v>
      </c>
      <c r="M8" s="4">
        <v>4.3099999999999996</v>
      </c>
      <c r="N8" s="4">
        <v>14.8</v>
      </c>
      <c r="O8" s="4">
        <v>3.89</v>
      </c>
      <c r="P8" s="4">
        <v>8.5</v>
      </c>
      <c r="Q8" s="4">
        <v>11.17</v>
      </c>
      <c r="R8" s="4">
        <v>3.38</v>
      </c>
      <c r="S8" s="4">
        <v>7.31</v>
      </c>
      <c r="T8" s="4">
        <v>3.94</v>
      </c>
      <c r="U8" s="4">
        <v>7.72</v>
      </c>
      <c r="V8" s="4">
        <v>6.34</v>
      </c>
      <c r="W8" s="4">
        <v>7.07</v>
      </c>
      <c r="X8" s="4">
        <v>6.19</v>
      </c>
      <c r="Y8" s="4">
        <v>2.96</v>
      </c>
      <c r="Z8" s="4">
        <v>5.41</v>
      </c>
      <c r="AA8" s="4">
        <v>3.51</v>
      </c>
      <c r="AB8" s="4">
        <v>2.84</v>
      </c>
      <c r="AC8" s="4">
        <v>3.76</v>
      </c>
      <c r="AD8" s="4">
        <v>5.07</v>
      </c>
      <c r="AE8" s="4">
        <v>3.18</v>
      </c>
      <c r="AF8" s="4">
        <v>3.34</v>
      </c>
      <c r="AG8" s="4">
        <v>10.050000000000001</v>
      </c>
      <c r="AH8" s="4">
        <v>9.3000000000000007</v>
      </c>
      <c r="AI8" s="4">
        <v>12</v>
      </c>
      <c r="AJ8" s="4">
        <v>10.5</v>
      </c>
      <c r="AK8" s="4">
        <v>12.24</v>
      </c>
      <c r="AL8" s="4">
        <v>7.27</v>
      </c>
      <c r="AM8" s="4">
        <v>14.6</v>
      </c>
      <c r="AN8" s="4">
        <v>13.17</v>
      </c>
      <c r="AO8" s="4">
        <v>12.96</v>
      </c>
      <c r="AP8">
        <v>7.74</v>
      </c>
      <c r="AQ8" s="4">
        <v>6.98</v>
      </c>
      <c r="AR8" s="4">
        <v>6.03</v>
      </c>
      <c r="AS8" s="4">
        <v>5.73</v>
      </c>
      <c r="AT8" s="4">
        <v>4.3899999999999997</v>
      </c>
      <c r="AU8" s="4">
        <v>5.46</v>
      </c>
      <c r="AV8" s="10">
        <v>6.79</v>
      </c>
      <c r="AW8" s="4">
        <v>6.53</v>
      </c>
      <c r="AX8" s="4">
        <v>6.91</v>
      </c>
      <c r="AY8" s="4">
        <v>9.33</v>
      </c>
      <c r="AZ8" s="4">
        <v>16.45</v>
      </c>
      <c r="BA8" s="4">
        <v>5.54</v>
      </c>
      <c r="BB8" s="4">
        <v>3.75</v>
      </c>
      <c r="BC8" s="4">
        <v>1.98</v>
      </c>
      <c r="BD8" s="4">
        <v>1.34</v>
      </c>
      <c r="BE8" s="4">
        <v>4.71</v>
      </c>
      <c r="BF8" s="4">
        <v>6.51</v>
      </c>
      <c r="BG8" s="4">
        <v>5.32</v>
      </c>
      <c r="BH8" s="4">
        <v>12.22</v>
      </c>
      <c r="BI8" s="4">
        <v>5.42</v>
      </c>
      <c r="BJ8" s="4">
        <v>6.11</v>
      </c>
      <c r="BK8" s="4">
        <v>9.56</v>
      </c>
      <c r="BL8" s="4">
        <v>5.45</v>
      </c>
      <c r="BM8" s="4">
        <v>6.78</v>
      </c>
      <c r="BN8" s="4">
        <v>10</v>
      </c>
      <c r="BO8" s="4">
        <v>10.29</v>
      </c>
      <c r="BP8" s="4">
        <v>3.79</v>
      </c>
      <c r="BQ8" s="4">
        <v>3.54</v>
      </c>
      <c r="BR8" s="4">
        <v>5.93</v>
      </c>
      <c r="BS8" s="4">
        <v>5.68</v>
      </c>
      <c r="BT8" s="3">
        <v>5.44</v>
      </c>
      <c r="BU8" s="3">
        <v>6.98</v>
      </c>
      <c r="BV8" s="3">
        <v>9.68</v>
      </c>
      <c r="BW8" s="4">
        <v>6.3</v>
      </c>
      <c r="BX8" s="4">
        <v>6.54</v>
      </c>
      <c r="BY8" s="3">
        <v>6.34</v>
      </c>
      <c r="BZ8" s="4">
        <v>6.51</v>
      </c>
      <c r="CA8" s="4">
        <v>6</v>
      </c>
      <c r="CB8" s="4">
        <v>5.44</v>
      </c>
      <c r="CC8" s="4">
        <v>7.11</v>
      </c>
      <c r="CD8" s="4">
        <v>6.26</v>
      </c>
      <c r="CE8" s="4">
        <v>7.65</v>
      </c>
      <c r="CF8" s="4">
        <v>5.6</v>
      </c>
      <c r="CG8" s="4">
        <v>5.71</v>
      </c>
      <c r="CH8" s="4">
        <v>8.39</v>
      </c>
      <c r="CI8" s="4">
        <v>7.95</v>
      </c>
      <c r="CJ8" s="4">
        <v>4.63</v>
      </c>
      <c r="CK8" s="4">
        <v>8.18</v>
      </c>
      <c r="CL8" s="4">
        <v>8.6999999999999993</v>
      </c>
      <c r="CM8" s="4">
        <v>6.87</v>
      </c>
      <c r="CN8" s="4">
        <v>10.65</v>
      </c>
      <c r="CO8" s="4">
        <v>12.63</v>
      </c>
      <c r="CP8" s="4">
        <v>4.3</v>
      </c>
      <c r="CQ8" s="4">
        <v>3.64</v>
      </c>
      <c r="CR8" s="4">
        <v>11.36</v>
      </c>
      <c r="CS8" s="4">
        <v>14.93</v>
      </c>
      <c r="CT8" s="4">
        <v>4.37</v>
      </c>
      <c r="CU8" s="4">
        <v>4.91</v>
      </c>
      <c r="CV8" s="4">
        <v>7.24</v>
      </c>
      <c r="CW8" s="4">
        <v>4.67</v>
      </c>
      <c r="CX8" s="4">
        <v>3.69</v>
      </c>
      <c r="CY8" s="4">
        <v>4.1100000000000003</v>
      </c>
      <c r="CZ8" s="4">
        <v>4.3899999999999997</v>
      </c>
      <c r="DA8" s="4">
        <v>4.82</v>
      </c>
      <c r="DB8" s="4">
        <v>3.65</v>
      </c>
      <c r="DC8" s="4">
        <v>2.39</v>
      </c>
      <c r="DD8" s="4">
        <v>2.0499999999999998</v>
      </c>
      <c r="DE8" s="4">
        <v>1.94</v>
      </c>
      <c r="DF8" s="4">
        <v>1.98</v>
      </c>
      <c r="DG8" s="4">
        <v>2.1</v>
      </c>
      <c r="DH8" s="4">
        <v>1.89</v>
      </c>
      <c r="DI8" s="4">
        <v>2.54</v>
      </c>
      <c r="DJ8" s="4">
        <v>2.93</v>
      </c>
      <c r="DK8" s="4">
        <v>2.99</v>
      </c>
      <c r="DL8" s="4">
        <v>2.36</v>
      </c>
      <c r="DM8" s="4">
        <v>2.99</v>
      </c>
      <c r="DN8" s="4">
        <v>3.38</v>
      </c>
      <c r="DO8" s="4">
        <v>3.6</v>
      </c>
      <c r="DP8" s="10">
        <v>3.8</v>
      </c>
      <c r="DQ8" s="10">
        <v>3.35</v>
      </c>
      <c r="DR8" s="10">
        <v>3.84</v>
      </c>
      <c r="DS8" s="4">
        <v>4.74</v>
      </c>
      <c r="DT8" s="4">
        <v>4.1900000000000004</v>
      </c>
      <c r="DU8" s="4">
        <v>2.33</v>
      </c>
      <c r="DV8" s="4">
        <v>5.16</v>
      </c>
      <c r="DW8" s="4">
        <v>5.66</v>
      </c>
      <c r="DX8" s="4">
        <v>5.63</v>
      </c>
      <c r="DY8" s="4">
        <v>9.23</v>
      </c>
      <c r="DZ8" s="4">
        <v>9.56</v>
      </c>
      <c r="EA8" s="4">
        <v>8.7200000000000006</v>
      </c>
      <c r="EB8" s="4">
        <v>7.5</v>
      </c>
      <c r="EC8" s="4">
        <v>6.73</v>
      </c>
      <c r="ED8" s="10">
        <v>9.25</v>
      </c>
      <c r="EE8" s="4">
        <v>9.07</v>
      </c>
      <c r="EF8" s="4">
        <v>6.52</v>
      </c>
      <c r="EG8" s="4">
        <v>6.6</v>
      </c>
      <c r="EH8" s="4">
        <v>5.58</v>
      </c>
      <c r="EI8" s="4">
        <v>5.2</v>
      </c>
      <c r="EJ8" s="4">
        <v>5.78</v>
      </c>
      <c r="EK8" s="4">
        <v>4.71</v>
      </c>
      <c r="EL8" s="4">
        <v>6.77</v>
      </c>
      <c r="EM8" s="4">
        <v>5.95</v>
      </c>
      <c r="EN8" s="4">
        <v>5.48</v>
      </c>
      <c r="EO8" s="4">
        <v>11.48</v>
      </c>
      <c r="EP8" s="4">
        <v>11.42</v>
      </c>
      <c r="EQ8" s="4">
        <v>10.19</v>
      </c>
      <c r="ER8" s="4">
        <v>12.75</v>
      </c>
      <c r="ES8" s="4">
        <v>7.6</v>
      </c>
      <c r="ET8" s="4">
        <v>4.67</v>
      </c>
      <c r="EU8" s="4">
        <v>13.09</v>
      </c>
      <c r="EV8" s="4">
        <v>8.76</v>
      </c>
      <c r="EW8" s="4">
        <v>7.19</v>
      </c>
      <c r="EX8" s="4">
        <v>52.96</v>
      </c>
      <c r="EY8" s="4">
        <v>60.08</v>
      </c>
      <c r="EZ8" s="4">
        <v>7.51</v>
      </c>
      <c r="FA8" s="4">
        <v>7.26</v>
      </c>
      <c r="FB8" s="4">
        <v>7</v>
      </c>
      <c r="FC8" s="4">
        <v>4.57</v>
      </c>
      <c r="FD8" s="4">
        <v>8.94</v>
      </c>
      <c r="FE8" s="4">
        <v>7.43</v>
      </c>
      <c r="FF8" s="4">
        <v>3.8</v>
      </c>
      <c r="FG8" s="4"/>
      <c r="FH8" s="4"/>
      <c r="FI8" s="4"/>
    </row>
    <row r="9" spans="1:168" x14ac:dyDescent="0.3">
      <c r="A9" t="s">
        <v>134</v>
      </c>
      <c r="B9" s="4">
        <v>4.43</v>
      </c>
      <c r="C9" s="4">
        <v>4.92</v>
      </c>
      <c r="D9" s="4">
        <v>3.86</v>
      </c>
      <c r="E9" s="4">
        <v>4.8</v>
      </c>
      <c r="F9" s="4">
        <v>4.4400000000000004</v>
      </c>
      <c r="G9" s="4">
        <v>4.59</v>
      </c>
      <c r="H9" s="4">
        <v>5.96</v>
      </c>
      <c r="I9" s="4">
        <v>1.87</v>
      </c>
      <c r="J9" s="4">
        <v>4.51</v>
      </c>
      <c r="K9" s="4">
        <v>0.82</v>
      </c>
      <c r="L9" s="4">
        <v>1.1000000000000001</v>
      </c>
      <c r="M9" s="4">
        <v>1.1499999999999999</v>
      </c>
      <c r="N9" s="4">
        <v>3.5</v>
      </c>
      <c r="O9" s="4">
        <v>0.78</v>
      </c>
      <c r="P9" s="4">
        <v>0.59</v>
      </c>
      <c r="Q9" s="4">
        <v>0.67</v>
      </c>
      <c r="R9" s="4">
        <v>2.62</v>
      </c>
      <c r="S9" s="4">
        <v>2.4</v>
      </c>
      <c r="T9" s="4">
        <v>0.95</v>
      </c>
      <c r="U9" s="4">
        <v>1.91</v>
      </c>
      <c r="V9" s="4">
        <v>4.1900000000000004</v>
      </c>
      <c r="W9" s="4">
        <v>3.33</v>
      </c>
      <c r="X9" s="4">
        <v>2.86</v>
      </c>
      <c r="Y9" s="4">
        <v>1.34</v>
      </c>
      <c r="Z9" s="4">
        <v>3.09</v>
      </c>
      <c r="AA9" s="4">
        <v>2.4300000000000002</v>
      </c>
      <c r="AB9" s="4">
        <v>2.4500000000000002</v>
      </c>
      <c r="AC9" s="4">
        <v>2.38</v>
      </c>
      <c r="AD9" s="4">
        <v>2.5299999999999998</v>
      </c>
      <c r="AE9" s="4">
        <v>2.5499999999999998</v>
      </c>
      <c r="AF9" s="4">
        <v>2.29</v>
      </c>
      <c r="AG9" s="4">
        <v>0.69</v>
      </c>
      <c r="AH9" s="4">
        <v>0.82</v>
      </c>
      <c r="AI9" s="4">
        <v>0.5</v>
      </c>
      <c r="AJ9" s="4">
        <v>5.94</v>
      </c>
      <c r="AK9" s="4">
        <v>7.6</v>
      </c>
      <c r="AL9" s="4">
        <v>4.3</v>
      </c>
      <c r="AM9" s="4">
        <v>5.64</v>
      </c>
      <c r="AN9" s="4">
        <v>2.97</v>
      </c>
      <c r="AO9" s="4">
        <v>2.31</v>
      </c>
      <c r="AP9">
        <v>0.62</v>
      </c>
      <c r="AQ9" s="4">
        <v>0.82</v>
      </c>
      <c r="AR9" s="4">
        <v>0.67</v>
      </c>
      <c r="AS9" s="4">
        <v>2.4700000000000002</v>
      </c>
      <c r="AT9" s="4">
        <v>0.59</v>
      </c>
      <c r="AU9" s="4">
        <v>1.27</v>
      </c>
      <c r="AV9" s="10">
        <v>1.44</v>
      </c>
      <c r="AW9" s="4">
        <v>2.1</v>
      </c>
      <c r="AX9" s="4">
        <v>1.3</v>
      </c>
      <c r="AY9" s="4">
        <v>2</v>
      </c>
      <c r="AZ9" s="4">
        <v>3.4</v>
      </c>
      <c r="BA9" s="4">
        <v>0.56999999999999995</v>
      </c>
      <c r="BB9" s="4">
        <v>0.53</v>
      </c>
      <c r="BC9" s="4">
        <v>0.98</v>
      </c>
      <c r="BD9" s="4">
        <v>0.78</v>
      </c>
      <c r="BE9" s="4">
        <v>0.69</v>
      </c>
      <c r="BF9" s="4">
        <v>4.38</v>
      </c>
      <c r="BG9" s="4">
        <v>0.54</v>
      </c>
      <c r="BH9" s="4">
        <v>2.68</v>
      </c>
      <c r="BI9" s="4">
        <v>0.92</v>
      </c>
      <c r="BJ9" s="4">
        <v>4.5</v>
      </c>
      <c r="BK9" s="4">
        <v>3.08</v>
      </c>
      <c r="BL9" s="4">
        <v>1.62</v>
      </c>
      <c r="BM9" s="4">
        <v>4.6500000000000004</v>
      </c>
      <c r="BN9" s="4">
        <v>4.0999999999999996</v>
      </c>
      <c r="BO9" s="4">
        <v>8.75</v>
      </c>
      <c r="BP9" s="4">
        <v>1.93</v>
      </c>
      <c r="BQ9" s="4">
        <v>1.1200000000000001</v>
      </c>
      <c r="BR9" s="4">
        <v>2.68</v>
      </c>
      <c r="BS9" s="4">
        <v>2.79</v>
      </c>
      <c r="BT9" s="3">
        <v>0.78</v>
      </c>
      <c r="BU9" s="3">
        <v>1.03</v>
      </c>
      <c r="BV9" s="3">
        <v>1.68</v>
      </c>
      <c r="BW9" s="4">
        <v>0.62</v>
      </c>
      <c r="BX9" s="4">
        <v>0.85</v>
      </c>
      <c r="BY9" s="3">
        <v>0.85</v>
      </c>
      <c r="BZ9" s="4">
        <v>3.91</v>
      </c>
      <c r="CA9" s="4">
        <v>3.8</v>
      </c>
      <c r="CB9" s="4">
        <v>3.44</v>
      </c>
      <c r="CC9" s="4">
        <v>4.55</v>
      </c>
      <c r="CD9" s="4">
        <v>3.53</v>
      </c>
      <c r="CE9" s="4">
        <v>2.67</v>
      </c>
      <c r="CF9" s="4">
        <v>3.76</v>
      </c>
      <c r="CG9" s="4">
        <v>3.35</v>
      </c>
      <c r="CH9" s="4">
        <v>3.79</v>
      </c>
      <c r="CI9" s="4">
        <v>5.22</v>
      </c>
      <c r="CJ9" s="4">
        <v>2.2999999999999998</v>
      </c>
      <c r="CK9" s="4">
        <v>3.61</v>
      </c>
      <c r="CL9" s="4">
        <v>4.1500000000000004</v>
      </c>
      <c r="CM9" s="4">
        <v>4.13</v>
      </c>
      <c r="CN9" s="4">
        <v>5.59</v>
      </c>
      <c r="CO9" s="4">
        <v>5.89</v>
      </c>
      <c r="CP9" s="4">
        <v>2.5</v>
      </c>
      <c r="CQ9" s="4">
        <v>1.61</v>
      </c>
      <c r="CR9" s="4">
        <v>6.02</v>
      </c>
      <c r="CS9" s="4">
        <v>5.7</v>
      </c>
      <c r="CT9" s="4">
        <v>2.44</v>
      </c>
      <c r="CU9" s="4">
        <v>2.4500000000000002</v>
      </c>
      <c r="CV9" s="4">
        <v>2.23</v>
      </c>
      <c r="CW9" s="4">
        <v>2.0099999999999998</v>
      </c>
      <c r="CX9" s="4">
        <v>1.24</v>
      </c>
      <c r="CY9" s="4">
        <v>0.6</v>
      </c>
      <c r="CZ9" s="4">
        <v>0.73</v>
      </c>
      <c r="DA9" s="4">
        <v>0.39</v>
      </c>
      <c r="DB9" s="4">
        <v>0.99</v>
      </c>
      <c r="DC9" s="4">
        <v>0.98</v>
      </c>
      <c r="DD9" s="4">
        <v>1.05</v>
      </c>
      <c r="DE9" s="4">
        <v>0.86</v>
      </c>
      <c r="DF9" s="4">
        <v>0.93</v>
      </c>
      <c r="DG9" s="4">
        <v>0.96</v>
      </c>
      <c r="DH9" s="4">
        <v>0.87</v>
      </c>
      <c r="DI9" s="4">
        <v>0.59</v>
      </c>
      <c r="DJ9" s="4">
        <v>0.47</v>
      </c>
      <c r="DK9" s="4">
        <v>0.55000000000000004</v>
      </c>
      <c r="DL9" s="4">
        <v>0.5</v>
      </c>
      <c r="DM9" s="4">
        <v>0.55000000000000004</v>
      </c>
      <c r="DN9" s="4">
        <v>0.59</v>
      </c>
      <c r="DO9" s="4">
        <v>0.47</v>
      </c>
      <c r="DP9" s="10">
        <v>0.3</v>
      </c>
      <c r="DQ9" s="10">
        <v>0.5</v>
      </c>
      <c r="DR9" s="10">
        <v>0.92</v>
      </c>
      <c r="DS9" s="4">
        <v>1.17</v>
      </c>
      <c r="DT9" s="4">
        <v>1.34</v>
      </c>
      <c r="DU9" s="4">
        <v>1.23</v>
      </c>
      <c r="DV9" s="4">
        <v>0.84</v>
      </c>
      <c r="DW9" s="4">
        <v>1.08</v>
      </c>
      <c r="DX9" s="4">
        <v>1.7</v>
      </c>
      <c r="DY9" s="4">
        <v>2.57</v>
      </c>
      <c r="DZ9" s="4">
        <v>1.65</v>
      </c>
      <c r="EA9" s="4">
        <v>1.1200000000000001</v>
      </c>
      <c r="EB9" s="4">
        <v>2.0699999999999998</v>
      </c>
      <c r="EC9" s="4">
        <v>1.58</v>
      </c>
      <c r="ED9" s="10">
        <v>1.69</v>
      </c>
      <c r="EE9" s="4">
        <v>1.93</v>
      </c>
      <c r="EF9" s="4">
        <v>1.57</v>
      </c>
      <c r="EG9" s="4">
        <v>1.48</v>
      </c>
      <c r="EH9" s="4">
        <v>0.86</v>
      </c>
      <c r="EI9" s="4">
        <v>0.88</v>
      </c>
      <c r="EJ9" s="4">
        <v>0.55000000000000004</v>
      </c>
      <c r="EK9" s="4">
        <v>0.94</v>
      </c>
      <c r="EL9" s="4">
        <v>0.97</v>
      </c>
      <c r="EM9" s="4">
        <v>0.86</v>
      </c>
      <c r="EN9" s="4">
        <v>0.78</v>
      </c>
      <c r="EO9" s="4">
        <v>3.08</v>
      </c>
      <c r="EP9" s="4">
        <v>2.5099999999999998</v>
      </c>
      <c r="EQ9" s="4">
        <v>2.0699999999999998</v>
      </c>
      <c r="ER9" s="4">
        <v>1.95</v>
      </c>
      <c r="ES9" s="4">
        <v>2.86</v>
      </c>
      <c r="ET9" s="4">
        <v>1.83</v>
      </c>
      <c r="EU9" s="4">
        <v>0.57999999999999996</v>
      </c>
      <c r="EV9" s="4">
        <v>0.69</v>
      </c>
      <c r="EW9" s="4">
        <v>0.91</v>
      </c>
      <c r="EX9" s="4">
        <v>3.61</v>
      </c>
      <c r="EY9" s="4">
        <v>1.85</v>
      </c>
      <c r="EZ9" s="4">
        <v>1.18</v>
      </c>
      <c r="FA9" s="4">
        <v>1.01</v>
      </c>
      <c r="FB9" s="4">
        <v>1.59</v>
      </c>
      <c r="FC9" s="4">
        <v>2.54</v>
      </c>
      <c r="FD9" s="4">
        <v>1.44</v>
      </c>
      <c r="FE9" s="4">
        <v>1.52</v>
      </c>
      <c r="FF9" s="4">
        <v>2.21</v>
      </c>
      <c r="FG9" s="4"/>
      <c r="FH9" s="4"/>
      <c r="FI9" s="4"/>
    </row>
    <row r="10" spans="1:168" x14ac:dyDescent="0.3">
      <c r="A10" t="s">
        <v>135</v>
      </c>
      <c r="B10" s="4">
        <v>8.94</v>
      </c>
      <c r="C10" s="4">
        <v>10.42</v>
      </c>
      <c r="D10" s="4">
        <v>8.26</v>
      </c>
      <c r="E10" s="8">
        <v>11.53</v>
      </c>
      <c r="F10" s="8">
        <v>9.65</v>
      </c>
      <c r="G10" s="4">
        <v>9.69</v>
      </c>
      <c r="H10" s="4">
        <v>8.7799999999999994</v>
      </c>
      <c r="I10" s="4">
        <v>8.24</v>
      </c>
      <c r="J10" s="4">
        <v>10.83</v>
      </c>
      <c r="K10" s="4">
        <v>6.99</v>
      </c>
      <c r="L10" s="4">
        <v>9.06</v>
      </c>
      <c r="M10" s="4">
        <v>5.01</v>
      </c>
      <c r="N10" s="4">
        <v>19.02</v>
      </c>
      <c r="O10" s="4">
        <v>4.7300000000000004</v>
      </c>
      <c r="P10" s="4">
        <v>10.45</v>
      </c>
      <c r="Q10" s="4">
        <v>12.74</v>
      </c>
      <c r="R10" s="4">
        <v>3.95</v>
      </c>
      <c r="S10" s="4">
        <v>7.88</v>
      </c>
      <c r="T10" s="4">
        <v>4.6900000000000004</v>
      </c>
      <c r="U10" s="4">
        <v>8.4700000000000006</v>
      </c>
      <c r="V10" s="4">
        <v>7.06</v>
      </c>
      <c r="W10" s="4">
        <v>8.02</v>
      </c>
      <c r="X10" s="4">
        <v>7.12</v>
      </c>
      <c r="Y10" s="4">
        <v>3.47</v>
      </c>
      <c r="Z10" s="4">
        <v>5.93</v>
      </c>
      <c r="AA10" s="4">
        <v>4.47</v>
      </c>
      <c r="AB10" s="8">
        <v>3.42</v>
      </c>
      <c r="AC10" s="4">
        <v>4.67</v>
      </c>
      <c r="AD10" s="4">
        <v>6.01</v>
      </c>
      <c r="AE10" s="4">
        <v>4.04</v>
      </c>
      <c r="AF10" s="8">
        <v>4.0599999999999996</v>
      </c>
      <c r="AG10" s="4">
        <v>11.76</v>
      </c>
      <c r="AH10" s="4">
        <v>11.14</v>
      </c>
      <c r="AI10" s="4">
        <v>15.23</v>
      </c>
      <c r="AJ10" s="4">
        <v>12.25</v>
      </c>
      <c r="AK10" s="8">
        <v>14.15</v>
      </c>
      <c r="AL10" s="4">
        <v>8.5299999999999994</v>
      </c>
      <c r="AM10" s="8">
        <v>17.39</v>
      </c>
      <c r="AN10" s="4">
        <v>14.97</v>
      </c>
      <c r="AO10" s="4">
        <v>14.55</v>
      </c>
      <c r="AP10" s="4">
        <v>9.1300000000000008</v>
      </c>
      <c r="AQ10" s="10">
        <v>9.34</v>
      </c>
      <c r="AR10" s="4">
        <v>8.3699999999999992</v>
      </c>
      <c r="AS10" s="4">
        <v>6.56</v>
      </c>
      <c r="AT10" s="4">
        <v>5.92</v>
      </c>
      <c r="AU10" s="4">
        <v>6.91</v>
      </c>
      <c r="AV10" s="10">
        <v>7.84</v>
      </c>
      <c r="AW10" s="4">
        <v>7.88</v>
      </c>
      <c r="AX10" s="4">
        <v>7.82</v>
      </c>
      <c r="AY10" s="8">
        <v>10.7</v>
      </c>
      <c r="AZ10" s="4">
        <v>18.57</v>
      </c>
      <c r="BA10" s="4">
        <v>6.18</v>
      </c>
      <c r="BB10" s="4">
        <v>4.34</v>
      </c>
      <c r="BC10" s="4">
        <v>2.11</v>
      </c>
      <c r="BD10" s="4">
        <v>1.53</v>
      </c>
      <c r="BE10" s="4">
        <v>4.9400000000000004</v>
      </c>
      <c r="BF10" s="4">
        <v>7.63</v>
      </c>
      <c r="BG10" s="4">
        <v>6.38</v>
      </c>
      <c r="BH10" s="4">
        <v>16.690000000000001</v>
      </c>
      <c r="BI10" s="4">
        <v>7.06</v>
      </c>
      <c r="BJ10" s="8">
        <v>6.11</v>
      </c>
      <c r="BK10" s="8">
        <v>11.6</v>
      </c>
      <c r="BL10" s="8">
        <v>5.69</v>
      </c>
      <c r="BM10" s="8">
        <v>7.72</v>
      </c>
      <c r="BN10" s="4">
        <v>11.85</v>
      </c>
      <c r="BO10" s="4">
        <v>11.5</v>
      </c>
      <c r="BP10" s="4">
        <v>4.4400000000000004</v>
      </c>
      <c r="BQ10" s="4">
        <v>4.3</v>
      </c>
      <c r="BR10" s="4">
        <v>7.04</v>
      </c>
      <c r="BS10" s="10">
        <v>6.31</v>
      </c>
      <c r="BT10" s="3">
        <v>6.73</v>
      </c>
      <c r="BU10" s="9">
        <v>8.64</v>
      </c>
      <c r="BV10" s="3">
        <v>10.37</v>
      </c>
      <c r="BW10" s="4">
        <v>7.32</v>
      </c>
      <c r="BX10" s="4">
        <v>7.43</v>
      </c>
      <c r="BY10" s="9">
        <v>8.0500000000000007</v>
      </c>
      <c r="BZ10" s="4">
        <v>7.47</v>
      </c>
      <c r="CA10" s="4">
        <v>6.77</v>
      </c>
      <c r="CB10" s="4">
        <v>6.03</v>
      </c>
      <c r="CC10" s="4">
        <v>7.91</v>
      </c>
      <c r="CD10" s="4">
        <v>7.03</v>
      </c>
      <c r="CE10" s="4">
        <v>8.64</v>
      </c>
      <c r="CF10" s="4">
        <v>6.34</v>
      </c>
      <c r="CG10" s="4">
        <v>6.47</v>
      </c>
      <c r="CH10" s="4">
        <v>9.2799999999999994</v>
      </c>
      <c r="CI10" s="4">
        <v>9.0299999999999994</v>
      </c>
      <c r="CJ10" s="4">
        <v>5.1100000000000003</v>
      </c>
      <c r="CK10" s="4">
        <v>9.35</v>
      </c>
      <c r="CL10" s="4">
        <v>9.7200000000000006</v>
      </c>
      <c r="CM10" s="4">
        <v>7.71</v>
      </c>
      <c r="CN10" s="4">
        <v>12.07</v>
      </c>
      <c r="CO10" s="8">
        <v>15.24</v>
      </c>
      <c r="CP10" s="4">
        <v>5.05</v>
      </c>
      <c r="CQ10" s="4">
        <v>4.3600000000000003</v>
      </c>
      <c r="CR10" s="4">
        <v>13.67</v>
      </c>
      <c r="CS10" s="8">
        <v>17.71</v>
      </c>
      <c r="CT10" s="4">
        <v>5.0999999999999996</v>
      </c>
      <c r="CU10" s="4">
        <v>5.74</v>
      </c>
      <c r="CV10" s="4">
        <v>8.5</v>
      </c>
      <c r="CW10" s="10">
        <v>5.46</v>
      </c>
      <c r="CX10" s="4">
        <v>4.24</v>
      </c>
      <c r="CY10" s="4">
        <v>4.6100000000000003</v>
      </c>
      <c r="CZ10" s="4">
        <v>4.8899999999999997</v>
      </c>
      <c r="DA10" s="4">
        <v>5.44</v>
      </c>
      <c r="DB10" s="4">
        <v>4.05</v>
      </c>
      <c r="DC10" s="4">
        <v>2.7</v>
      </c>
      <c r="DD10" s="4">
        <v>2.91</v>
      </c>
      <c r="DE10" s="4">
        <v>2.35</v>
      </c>
      <c r="DF10" s="4">
        <v>2.44</v>
      </c>
      <c r="DG10" s="4">
        <v>2.65</v>
      </c>
      <c r="DH10" s="4">
        <v>2.36</v>
      </c>
      <c r="DI10" s="4">
        <v>3.07</v>
      </c>
      <c r="DJ10" s="4">
        <v>3.84</v>
      </c>
      <c r="DK10" s="4">
        <v>3.72</v>
      </c>
      <c r="DL10" s="4">
        <v>3.29</v>
      </c>
      <c r="DM10" s="4">
        <v>3.58</v>
      </c>
      <c r="DN10" s="10">
        <v>3.55</v>
      </c>
      <c r="DO10" s="10">
        <v>4.0199999999999996</v>
      </c>
      <c r="DP10" s="10">
        <v>3.82</v>
      </c>
      <c r="DQ10" s="10">
        <v>3.63</v>
      </c>
      <c r="DR10" s="10">
        <v>3.61</v>
      </c>
      <c r="DS10" s="4">
        <v>5.3</v>
      </c>
      <c r="DT10" s="4">
        <v>4.62</v>
      </c>
      <c r="DU10" s="4">
        <v>2.77</v>
      </c>
      <c r="DV10" s="4">
        <v>5.83</v>
      </c>
      <c r="DW10" s="4">
        <v>6.25</v>
      </c>
      <c r="DX10" s="4">
        <v>6.01</v>
      </c>
      <c r="DY10" s="4">
        <v>11.03</v>
      </c>
      <c r="DZ10" s="4">
        <v>11.09</v>
      </c>
      <c r="EA10" s="4">
        <v>10.57</v>
      </c>
      <c r="EB10" s="6">
        <v>9.83</v>
      </c>
      <c r="EC10" s="8">
        <v>9.51</v>
      </c>
      <c r="ED10" s="10">
        <v>10.69</v>
      </c>
      <c r="EE10" s="4">
        <v>10.89</v>
      </c>
      <c r="EF10" s="4">
        <v>7.28</v>
      </c>
      <c r="EG10" s="4">
        <v>7</v>
      </c>
      <c r="EH10" s="4">
        <v>7.02</v>
      </c>
      <c r="EI10" s="4">
        <v>6.86</v>
      </c>
      <c r="EJ10" s="4">
        <v>7.23</v>
      </c>
      <c r="EK10" s="4">
        <v>5.76</v>
      </c>
      <c r="EL10" s="4">
        <v>8.74</v>
      </c>
      <c r="EM10" s="4">
        <v>7.29</v>
      </c>
      <c r="EN10" s="4">
        <v>6.86</v>
      </c>
      <c r="EO10" s="4">
        <v>12.02</v>
      </c>
      <c r="EP10" s="4">
        <v>12.35</v>
      </c>
      <c r="EQ10" s="4">
        <v>11.13</v>
      </c>
      <c r="ER10" s="4">
        <v>13.79</v>
      </c>
      <c r="ES10" s="4">
        <v>8.42</v>
      </c>
      <c r="ET10" s="4">
        <v>5.98</v>
      </c>
      <c r="EU10" s="4">
        <v>14.39</v>
      </c>
      <c r="EV10" s="4">
        <v>10.49</v>
      </c>
      <c r="EW10" s="4">
        <v>8.65</v>
      </c>
      <c r="EX10" s="8">
        <v>59.49</v>
      </c>
      <c r="EY10" s="8">
        <v>65.72</v>
      </c>
      <c r="EZ10" s="4">
        <v>8.6199999999999992</v>
      </c>
      <c r="FA10" s="4">
        <v>8.06</v>
      </c>
      <c r="FB10" s="4">
        <v>8.2100000000000009</v>
      </c>
      <c r="FC10" s="4">
        <v>5.66</v>
      </c>
      <c r="FD10" s="4">
        <v>10.49</v>
      </c>
      <c r="FE10" s="4">
        <v>8.66</v>
      </c>
      <c r="FF10" s="4">
        <v>4.6100000000000003</v>
      </c>
      <c r="FG10" s="4"/>
      <c r="FH10" s="4"/>
      <c r="FI10" s="4"/>
    </row>
    <row r="11" spans="1:168" x14ac:dyDescent="0.3">
      <c r="A11" t="s">
        <v>136</v>
      </c>
      <c r="B11" s="4">
        <v>5.31</v>
      </c>
      <c r="C11" s="4">
        <v>5.56</v>
      </c>
      <c r="D11" s="4">
        <v>4.46</v>
      </c>
      <c r="E11" s="8">
        <v>5.71</v>
      </c>
      <c r="F11" s="8">
        <v>5.29</v>
      </c>
      <c r="G11" s="4">
        <v>5.31</v>
      </c>
      <c r="H11" s="4">
        <v>7</v>
      </c>
      <c r="I11" s="4">
        <v>2.16</v>
      </c>
      <c r="J11" s="4">
        <v>4.8899999999999997</v>
      </c>
      <c r="K11" s="4">
        <v>0.99</v>
      </c>
      <c r="L11" s="4">
        <v>1.28</v>
      </c>
      <c r="M11" s="4">
        <v>1.37</v>
      </c>
      <c r="N11" s="4">
        <v>3.84</v>
      </c>
      <c r="O11" s="4">
        <v>0.85</v>
      </c>
      <c r="P11" s="4">
        <v>0.68</v>
      </c>
      <c r="Q11" s="4">
        <v>0.7</v>
      </c>
      <c r="R11" s="4">
        <v>2.62</v>
      </c>
      <c r="S11" s="4">
        <v>2.56</v>
      </c>
      <c r="T11" s="4">
        <v>1.1200000000000001</v>
      </c>
      <c r="U11" s="4">
        <v>2.0099999999999998</v>
      </c>
      <c r="V11" s="4">
        <v>4.7300000000000004</v>
      </c>
      <c r="W11" s="4">
        <v>3.73</v>
      </c>
      <c r="X11" s="4">
        <v>3.1</v>
      </c>
      <c r="Y11" s="4">
        <v>1.59</v>
      </c>
      <c r="Z11" s="4">
        <v>3.58</v>
      </c>
      <c r="AA11" s="4">
        <v>2.99</v>
      </c>
      <c r="AB11" s="8">
        <v>3.01</v>
      </c>
      <c r="AC11" s="4">
        <v>2.95</v>
      </c>
      <c r="AD11" s="4">
        <v>2.97</v>
      </c>
      <c r="AE11" s="4">
        <v>3.11</v>
      </c>
      <c r="AF11" s="8">
        <v>2.76</v>
      </c>
      <c r="AG11" s="4">
        <v>0.67</v>
      </c>
      <c r="AH11" s="4">
        <v>0.82</v>
      </c>
      <c r="AI11" s="4">
        <v>0.36</v>
      </c>
      <c r="AJ11" s="4">
        <v>7.11</v>
      </c>
      <c r="AK11" s="8">
        <v>8.91</v>
      </c>
      <c r="AL11" s="4">
        <v>5.23</v>
      </c>
      <c r="AM11" s="8">
        <v>6.68</v>
      </c>
      <c r="AN11" s="4">
        <v>3.24</v>
      </c>
      <c r="AO11" s="4">
        <v>2.5099999999999998</v>
      </c>
      <c r="AP11" s="4">
        <v>0.77</v>
      </c>
      <c r="AQ11" s="10">
        <v>1.04</v>
      </c>
      <c r="AR11" s="4">
        <v>0.86</v>
      </c>
      <c r="AS11" s="4">
        <v>2.97</v>
      </c>
      <c r="AT11" s="4">
        <v>0.52</v>
      </c>
      <c r="AU11" s="4">
        <v>1.42</v>
      </c>
      <c r="AV11" s="10">
        <v>1.61</v>
      </c>
      <c r="AW11" s="4">
        <v>0.2019</v>
      </c>
      <c r="AX11" s="4">
        <v>1.47</v>
      </c>
      <c r="AY11" s="8">
        <v>2.13</v>
      </c>
      <c r="AZ11" s="4">
        <v>3.69</v>
      </c>
      <c r="BA11" s="4">
        <v>0.37</v>
      </c>
      <c r="BB11" s="4">
        <v>0.43</v>
      </c>
      <c r="BC11" s="4">
        <v>1.07</v>
      </c>
      <c r="BD11" s="4">
        <v>0.88</v>
      </c>
      <c r="BE11" s="4">
        <v>0.76</v>
      </c>
      <c r="BF11" s="4">
        <v>5.03</v>
      </c>
      <c r="BG11" s="4">
        <v>0.57999999999999996</v>
      </c>
      <c r="BH11" s="4">
        <v>3.2</v>
      </c>
      <c r="BI11" s="4">
        <v>1.1000000000000001</v>
      </c>
      <c r="BJ11" s="8">
        <v>4.5</v>
      </c>
      <c r="BK11" s="8">
        <v>4.21</v>
      </c>
      <c r="BL11" s="8">
        <v>1.61</v>
      </c>
      <c r="BM11" s="8">
        <v>5.3</v>
      </c>
      <c r="BN11" s="4">
        <v>4.99</v>
      </c>
      <c r="BO11" s="4">
        <v>10.26</v>
      </c>
      <c r="BP11" s="4">
        <v>2.2799999999999998</v>
      </c>
      <c r="BQ11" s="4">
        <v>1.32</v>
      </c>
      <c r="BR11" s="4">
        <v>3.02</v>
      </c>
      <c r="BS11" s="10">
        <v>3.21</v>
      </c>
      <c r="BT11" s="3">
        <v>0.94</v>
      </c>
      <c r="BU11" s="9">
        <v>1.21</v>
      </c>
      <c r="BV11" s="3">
        <v>1.97</v>
      </c>
      <c r="BW11" s="4">
        <v>0.76</v>
      </c>
      <c r="BX11" s="4">
        <v>1</v>
      </c>
      <c r="BY11" s="9">
        <v>1.07</v>
      </c>
      <c r="BZ11" s="4">
        <v>4.4000000000000004</v>
      </c>
      <c r="CA11" s="4">
        <v>4.28</v>
      </c>
      <c r="CB11" s="4">
        <v>3.9</v>
      </c>
      <c r="CC11" s="4">
        <v>5.05</v>
      </c>
      <c r="CD11" s="4">
        <v>4</v>
      </c>
      <c r="CE11" s="4">
        <v>3.06</v>
      </c>
      <c r="CF11" s="4">
        <v>4.2699999999999996</v>
      </c>
      <c r="CG11" s="4">
        <v>3.9</v>
      </c>
      <c r="CH11" s="4">
        <v>4.17</v>
      </c>
      <c r="CI11" s="4">
        <v>5.82</v>
      </c>
      <c r="CJ11" s="4">
        <v>2.56</v>
      </c>
      <c r="CK11" s="4">
        <v>3.97</v>
      </c>
      <c r="CL11" s="4">
        <v>4.72</v>
      </c>
      <c r="CM11" s="4">
        <v>4.59</v>
      </c>
      <c r="CN11" s="4">
        <v>6.18</v>
      </c>
      <c r="CO11" s="8">
        <v>6.91</v>
      </c>
      <c r="CP11" s="4">
        <v>2.91</v>
      </c>
      <c r="CQ11" s="4">
        <v>1.95</v>
      </c>
      <c r="CR11" s="4">
        <v>7.08</v>
      </c>
      <c r="CS11" s="8">
        <v>6.67</v>
      </c>
      <c r="CT11" s="4">
        <v>2.84</v>
      </c>
      <c r="CU11" s="4">
        <v>2.88</v>
      </c>
      <c r="CV11" s="4">
        <v>2.5499999999999998</v>
      </c>
      <c r="CW11" s="10">
        <v>2.38</v>
      </c>
      <c r="CX11" s="4">
        <v>1.42</v>
      </c>
      <c r="CY11" s="4">
        <v>0.68</v>
      </c>
      <c r="CZ11" s="4">
        <v>0.79</v>
      </c>
      <c r="DA11" s="4">
        <v>0.41</v>
      </c>
      <c r="DB11" s="4">
        <v>1.1000000000000001</v>
      </c>
      <c r="DC11" s="4">
        <v>1.07</v>
      </c>
      <c r="DD11" s="4">
        <v>1.31</v>
      </c>
      <c r="DE11" s="4">
        <v>0.91</v>
      </c>
      <c r="DF11" s="4">
        <v>1.23</v>
      </c>
      <c r="DG11" s="4">
        <v>1.04</v>
      </c>
      <c r="DH11" s="4">
        <v>0.82</v>
      </c>
      <c r="DI11" s="4">
        <v>0.64</v>
      </c>
      <c r="DJ11" s="4">
        <v>0.47</v>
      </c>
      <c r="DK11" s="4">
        <v>0.54</v>
      </c>
      <c r="DL11" s="4">
        <v>0.64</v>
      </c>
      <c r="DM11" s="4">
        <v>0.6</v>
      </c>
      <c r="DN11" s="10">
        <v>0.49</v>
      </c>
      <c r="DO11" s="10">
        <v>0.45</v>
      </c>
      <c r="DP11" s="10">
        <v>0.27</v>
      </c>
      <c r="DQ11" s="10">
        <v>0.56999999999999995</v>
      </c>
      <c r="DR11" s="10">
        <v>0.45</v>
      </c>
      <c r="DS11" s="4">
        <v>1.28</v>
      </c>
      <c r="DT11" s="4">
        <v>1.46</v>
      </c>
      <c r="DU11" s="4">
        <v>1.34</v>
      </c>
      <c r="DV11" s="4">
        <v>0.87</v>
      </c>
      <c r="DW11" s="4">
        <v>1.1200000000000001</v>
      </c>
      <c r="DX11" s="4">
        <v>1.76</v>
      </c>
      <c r="DY11" s="4">
        <v>1.99</v>
      </c>
      <c r="DZ11" s="4">
        <v>1.37</v>
      </c>
      <c r="EA11" s="4">
        <v>0.98</v>
      </c>
      <c r="EB11" s="6">
        <v>1.72</v>
      </c>
      <c r="EC11" s="8">
        <v>1.1339999999999999</v>
      </c>
      <c r="ED11" s="10">
        <v>1.51</v>
      </c>
      <c r="EE11" s="4">
        <v>1.63</v>
      </c>
      <c r="EF11" s="4">
        <v>1.64</v>
      </c>
      <c r="EG11" s="4">
        <v>1.6</v>
      </c>
      <c r="EH11" s="4">
        <v>0.98</v>
      </c>
      <c r="EI11" s="4">
        <v>0.97</v>
      </c>
      <c r="EJ11" s="4">
        <v>0.61</v>
      </c>
      <c r="EK11" s="4">
        <v>1.0900000000000001</v>
      </c>
      <c r="EL11" s="4">
        <v>1.03</v>
      </c>
      <c r="EM11" s="4">
        <v>0.97</v>
      </c>
      <c r="EN11" s="4">
        <v>0.9</v>
      </c>
      <c r="EO11" s="4">
        <v>3.33</v>
      </c>
      <c r="EP11" s="4">
        <v>2.72</v>
      </c>
      <c r="EQ11" s="4">
        <v>2.25</v>
      </c>
      <c r="ER11" s="4">
        <v>2.11</v>
      </c>
      <c r="ES11" s="4">
        <v>3.26</v>
      </c>
      <c r="ET11" s="4">
        <v>2.33</v>
      </c>
      <c r="EU11" s="4">
        <v>0.53</v>
      </c>
      <c r="EV11" s="4">
        <v>0.69</v>
      </c>
      <c r="EW11" s="4">
        <v>0.95</v>
      </c>
      <c r="EX11" s="8">
        <v>3.25</v>
      </c>
      <c r="EY11" s="8">
        <v>1.58</v>
      </c>
      <c r="EZ11" s="4">
        <v>1.33</v>
      </c>
      <c r="FA11" s="4">
        <v>1.0900000000000001</v>
      </c>
      <c r="FB11" s="4">
        <v>1.85</v>
      </c>
      <c r="FC11" s="4">
        <v>3.02</v>
      </c>
      <c r="FD11" s="4">
        <v>1.62</v>
      </c>
      <c r="FE11" s="4">
        <v>1.71</v>
      </c>
      <c r="FF11" s="4">
        <v>2.58</v>
      </c>
      <c r="FG11" s="4"/>
      <c r="FH11" s="4"/>
      <c r="FI11" s="4"/>
    </row>
    <row r="12" spans="1:168" x14ac:dyDescent="0.3">
      <c r="A12" t="s">
        <v>11</v>
      </c>
      <c r="B12" s="4">
        <f t="shared" ref="B12:E12" si="0">(B8-B9)/(B8+B9)</f>
        <v>0.26594863297431648</v>
      </c>
      <c r="C12" s="4">
        <f t="shared" ref="C12:D12" si="1">(C8-C9)/(C8+C9)</f>
        <v>0.28592162554426703</v>
      </c>
      <c r="D12" s="4">
        <f t="shared" si="1"/>
        <v>0.3435374149659865</v>
      </c>
      <c r="E12" s="4">
        <f t="shared" si="0"/>
        <v>0.3500338524035207</v>
      </c>
      <c r="F12" s="4">
        <f t="shared" ref="F12" si="2">(F8-F9)/(F8+F9)</f>
        <v>0.31109387121799836</v>
      </c>
      <c r="G12" s="4">
        <f t="shared" ref="G12" si="3">(G8-G9)/(G8+G9)</f>
        <v>0.2911196911196911</v>
      </c>
      <c r="H12" s="4">
        <f t="shared" ref="H12:J12" si="4">(H8-H9)/(H8+H9)</f>
        <v>0.1202952029520295</v>
      </c>
      <c r="I12" s="4">
        <f t="shared" ref="I12" si="5">(I8-I9)/(I8+I9)</f>
        <v>0.54445797807551755</v>
      </c>
      <c r="J12" s="4">
        <f t="shared" si="4"/>
        <v>0.33773861967694568</v>
      </c>
      <c r="K12" s="4">
        <f t="shared" ref="K12:L12" si="6">(K8-K9)/(K8+K9)</f>
        <v>0.74807987711213508</v>
      </c>
      <c r="L12" s="4">
        <f t="shared" si="6"/>
        <v>0.74148061104582852</v>
      </c>
      <c r="M12" s="4">
        <f t="shared" ref="M12:N12" si="7">(M8-M9)/(M8+M9)</f>
        <v>0.57875457875457881</v>
      </c>
      <c r="N12" s="4">
        <f t="shared" si="7"/>
        <v>0.61748633879781423</v>
      </c>
      <c r="O12" s="4">
        <f t="shared" ref="O12" si="8">(O8-O9)/(O8+O9)</f>
        <v>0.66595289079229125</v>
      </c>
      <c r="P12" s="4">
        <f t="shared" ref="P12:Q12" si="9">(P8-P9)/(P8+P9)</f>
        <v>0.87018701870187021</v>
      </c>
      <c r="Q12" s="4">
        <f t="shared" si="9"/>
        <v>0.88682432432432434</v>
      </c>
      <c r="R12" s="4">
        <f t="shared" ref="R12:S12" si="10">(R8-R9)/(R8+R9)</f>
        <v>0.12666666666666662</v>
      </c>
      <c r="S12" s="4">
        <f t="shared" si="10"/>
        <v>0.50566426364572614</v>
      </c>
      <c r="T12" s="4">
        <f t="shared" ref="T12:U12" si="11">(T8-T9)/(T8+T9)</f>
        <v>0.61145194274028636</v>
      </c>
      <c r="U12" s="4">
        <f t="shared" si="11"/>
        <v>0.60332294911734163</v>
      </c>
      <c r="V12" s="4">
        <f t="shared" ref="V12:W12" si="12">(V8-V9)/(V8+V9)</f>
        <v>0.20417853751187076</v>
      </c>
      <c r="W12" s="4">
        <f t="shared" si="12"/>
        <v>0.35961538461538461</v>
      </c>
      <c r="X12" s="4">
        <f t="shared" ref="X12" si="13">(X8-X9)/(X8+X9)</f>
        <v>0.36795580110497239</v>
      </c>
      <c r="Y12" s="4">
        <f t="shared" ref="Y12:Z12" si="14">(Y8-Y9)/(Y8+Y9)</f>
        <v>0.37674418604651161</v>
      </c>
      <c r="Z12" s="4">
        <f t="shared" si="14"/>
        <v>0.27294117647058824</v>
      </c>
      <c r="AA12" s="4">
        <f t="shared" ref="AA12:AB12" si="15">(AA8-AA9)/(AA8+AA9)</f>
        <v>0.18181818181818177</v>
      </c>
      <c r="AB12" s="4">
        <f t="shared" si="15"/>
        <v>7.3724007561436614E-2</v>
      </c>
      <c r="AC12" s="4">
        <f t="shared" ref="AC12:AD12" si="16">(AC8-AC9)/(AC8+AC9)</f>
        <v>0.22475570032573289</v>
      </c>
      <c r="AD12" s="4">
        <f t="shared" si="16"/>
        <v>0.33421052631578957</v>
      </c>
      <c r="AE12" s="4">
        <f t="shared" ref="AE12:AF12" si="17">(AE8-AE9)/(AE8+AE9)</f>
        <v>0.10994764397905764</v>
      </c>
      <c r="AF12" s="4">
        <f t="shared" si="17"/>
        <v>0.1865008880994671</v>
      </c>
      <c r="AG12" s="4">
        <f t="shared" ref="AG12:AH12" si="18">(AG8-AG9)/(AG8+AG9)</f>
        <v>0.87150837988826824</v>
      </c>
      <c r="AH12" s="4">
        <f t="shared" si="18"/>
        <v>0.83794466403162049</v>
      </c>
      <c r="AI12" s="4">
        <f t="shared" ref="AI12:AJ12" si="19">(AI8-AI9)/(AI8+AI9)</f>
        <v>0.92</v>
      </c>
      <c r="AJ12" s="4">
        <f t="shared" si="19"/>
        <v>0.27737226277372257</v>
      </c>
      <c r="AK12" s="4">
        <f t="shared" ref="AK12:AL12" si="20">(AK8-AK9)/(AK8+AK9)</f>
        <v>0.23387096774193553</v>
      </c>
      <c r="AL12" s="4">
        <f t="shared" si="20"/>
        <v>0.25669835782195333</v>
      </c>
      <c r="AM12" s="4">
        <f t="shared" ref="AM12:AN12" si="21">(AM8-AM9)/(AM8+AM9)</f>
        <v>0.44268774703557318</v>
      </c>
      <c r="AN12" s="4">
        <f t="shared" si="21"/>
        <v>0.63197026022304825</v>
      </c>
      <c r="AO12" s="4">
        <f t="shared" ref="AO12:AP12" si="22">(AO8-AO9)/(AO8+AO9)</f>
        <v>0.69744597249508833</v>
      </c>
      <c r="AP12" s="4">
        <f t="shared" si="22"/>
        <v>0.85167464114832547</v>
      </c>
      <c r="AQ12" s="10">
        <f t="shared" ref="AQ12:AR12" si="23">(AQ8-AQ9)/(AQ8+AQ9)</f>
        <v>0.78974358974358971</v>
      </c>
      <c r="AR12" s="4">
        <f t="shared" si="23"/>
        <v>0.8</v>
      </c>
      <c r="AS12" s="4">
        <f t="shared" ref="AS12:AT12" si="24">(AS8-AS9)/(AS8+AS9)</f>
        <v>0.39756097560975606</v>
      </c>
      <c r="AT12" s="4">
        <f t="shared" si="24"/>
        <v>0.76305220883534142</v>
      </c>
      <c r="AU12" s="4">
        <f t="shared" ref="AU12" si="25">(AU8-AU9)/(AU8+AU9)</f>
        <v>0.6225854383358097</v>
      </c>
      <c r="AV12" s="10">
        <f t="shared" ref="AV12:AW12" si="26">(AV8-AV9)/(AV8+AV9)</f>
        <v>0.65006075334143365</v>
      </c>
      <c r="AW12" s="4">
        <f t="shared" si="26"/>
        <v>0.51332560834298946</v>
      </c>
      <c r="AX12" s="4">
        <f t="shared" ref="AX12:AY12" si="27">(AX8-AX9)/(AX8+AX9)</f>
        <v>0.68331303288672351</v>
      </c>
      <c r="AY12" s="4">
        <f t="shared" si="27"/>
        <v>0.64695498676081198</v>
      </c>
      <c r="AZ12" s="4">
        <f t="shared" ref="AZ12:BA12" si="28">(AZ8-AZ9)/(AZ8+AZ9)</f>
        <v>0.65743073047858946</v>
      </c>
      <c r="BA12" s="4">
        <f t="shared" si="28"/>
        <v>0.81342062193126019</v>
      </c>
      <c r="BB12" s="4">
        <f t="shared" ref="BB12:BC12" si="29">(BB8-BB9)/(BB8+BB9)</f>
        <v>0.75233644859813076</v>
      </c>
      <c r="BC12" s="4">
        <f t="shared" si="29"/>
        <v>0.33783783783783783</v>
      </c>
      <c r="BD12" s="4">
        <f t="shared" ref="BD12" si="30">(BD8-BD9)/(BD8+BD9)</f>
        <v>0.26415094339622641</v>
      </c>
      <c r="BE12" s="4">
        <f t="shared" ref="BE12" si="31">(BE8-BE9)/(BE8+BE9)</f>
        <v>0.74444444444444435</v>
      </c>
      <c r="BF12" s="4">
        <f t="shared" ref="BF12:BG12" si="32">(BF8-BF9)/(BF8+BF9)</f>
        <v>0.19559228650137739</v>
      </c>
      <c r="BG12" s="4">
        <f t="shared" si="32"/>
        <v>0.81569965870307171</v>
      </c>
      <c r="BH12" s="4">
        <f t="shared" ref="BH12:BI12" si="33">(BH8-BH9)/(BH8+BH9)</f>
        <v>0.64026845637583896</v>
      </c>
      <c r="BI12" s="4">
        <f t="shared" si="33"/>
        <v>0.70977917981072558</v>
      </c>
      <c r="BJ12" s="4">
        <f t="shared" ref="BJ12" si="34">(BJ8-BJ9)/(BJ8+BJ9)</f>
        <v>0.15174363807728561</v>
      </c>
      <c r="BK12" s="4">
        <f t="shared" ref="BK12" si="35">(BK8-BK9)/(BK8+BK9)</f>
        <v>0.51265822784810122</v>
      </c>
      <c r="BL12" s="4">
        <f t="shared" ref="BL12:BM12" si="36">(BL8-BL9)/(BL8+BL9)</f>
        <v>0.54172560113154167</v>
      </c>
      <c r="BM12" s="4">
        <f t="shared" si="36"/>
        <v>0.18635170603674539</v>
      </c>
      <c r="BN12" s="4">
        <f t="shared" ref="BN12:BO12" si="37">(BN8-BN9)/(BN8+BN9)</f>
        <v>0.41843971631205679</v>
      </c>
      <c r="BO12" s="4">
        <f t="shared" si="37"/>
        <v>8.0882352941176433E-2</v>
      </c>
      <c r="BP12" s="4">
        <f t="shared" ref="BP12:BQ12" si="38">(BP8-BP9)/(BP8+BP9)</f>
        <v>0.32517482517482521</v>
      </c>
      <c r="BQ12" s="4">
        <f t="shared" si="38"/>
        <v>0.51931330472102999</v>
      </c>
      <c r="BR12" s="4">
        <f t="shared" ref="BR12:BS12" si="39">(BR8-BR9)/(BR8+BR9)</f>
        <v>0.37746806039488962</v>
      </c>
      <c r="BS12" s="10">
        <f t="shared" si="39"/>
        <v>0.34120425029515938</v>
      </c>
      <c r="BT12" s="3">
        <f t="shared" ref="BT12:DV12" si="40">(BT8-BT9)/(BT8+BT9)</f>
        <v>0.74919614147909963</v>
      </c>
      <c r="BU12" s="7">
        <f t="shared" si="40"/>
        <v>0.74282147315855185</v>
      </c>
      <c r="BV12" s="3">
        <f t="shared" si="40"/>
        <v>0.70422535211267612</v>
      </c>
      <c r="BW12" s="3">
        <f t="shared" si="40"/>
        <v>0.82080924855491322</v>
      </c>
      <c r="BX12" s="3">
        <f t="shared" si="40"/>
        <v>0.76995940460081203</v>
      </c>
      <c r="BY12" s="3">
        <f t="shared" si="40"/>
        <v>0.76356050069541037</v>
      </c>
      <c r="BZ12" s="3">
        <f t="shared" si="40"/>
        <v>0.24952015355086368</v>
      </c>
      <c r="CA12" s="3">
        <f t="shared" si="40"/>
        <v>0.22448979591836735</v>
      </c>
      <c r="CB12" s="3">
        <f t="shared" si="40"/>
        <v>0.22522522522522526</v>
      </c>
      <c r="CC12" s="3">
        <f t="shared" si="40"/>
        <v>0.21955403087478564</v>
      </c>
      <c r="CD12" s="3">
        <f t="shared" si="40"/>
        <v>0.27885597548518898</v>
      </c>
      <c r="CE12" s="3">
        <f t="shared" si="40"/>
        <v>0.48255813953488375</v>
      </c>
      <c r="CF12" s="3">
        <f t="shared" si="40"/>
        <v>0.19658119658119658</v>
      </c>
      <c r="CG12" s="3">
        <f t="shared" si="40"/>
        <v>0.26048565121412803</v>
      </c>
      <c r="CH12" s="3">
        <f t="shared" si="40"/>
        <v>0.3776683087027915</v>
      </c>
      <c r="CI12" s="3">
        <f t="shared" si="40"/>
        <v>0.20728929384965836</v>
      </c>
      <c r="CJ12" s="3">
        <f t="shared" si="40"/>
        <v>0.33621933621933625</v>
      </c>
      <c r="CK12" s="3">
        <f t="shared" si="40"/>
        <v>0.38761662425784571</v>
      </c>
      <c r="CL12" s="3">
        <f t="shared" si="40"/>
        <v>0.35408560311284037</v>
      </c>
      <c r="CM12" s="3">
        <f t="shared" si="40"/>
        <v>0.24909090909090911</v>
      </c>
      <c r="CN12" s="3">
        <f t="shared" si="40"/>
        <v>0.31157635467980294</v>
      </c>
      <c r="CO12" s="3">
        <f t="shared" si="40"/>
        <v>0.36393088552915775</v>
      </c>
      <c r="CP12" s="3">
        <f t="shared" si="40"/>
        <v>0.26470588235294118</v>
      </c>
      <c r="CQ12" s="3">
        <f t="shared" si="40"/>
        <v>0.38666666666666671</v>
      </c>
      <c r="CR12" s="3">
        <f t="shared" si="40"/>
        <v>0.30724971231300346</v>
      </c>
      <c r="CS12" s="3">
        <f t="shared" si="40"/>
        <v>0.44740668928744554</v>
      </c>
      <c r="CT12" s="3">
        <f t="shared" si="40"/>
        <v>0.28340675477239352</v>
      </c>
      <c r="CU12" s="3">
        <f t="shared" si="40"/>
        <v>0.33423913043478259</v>
      </c>
      <c r="CV12" s="3">
        <f t="shared" si="40"/>
        <v>0.529039070749736</v>
      </c>
      <c r="CW12" s="7">
        <f t="shared" si="40"/>
        <v>0.39820359281437129</v>
      </c>
      <c r="CX12" s="3">
        <f t="shared" si="40"/>
        <v>0.49695740365111568</v>
      </c>
      <c r="CY12" s="3">
        <f t="shared" si="40"/>
        <v>0.74522292993630579</v>
      </c>
      <c r="CZ12" s="3">
        <f t="shared" si="40"/>
        <v>0.71484375</v>
      </c>
      <c r="DA12" s="3">
        <f t="shared" si="40"/>
        <v>0.85028790786948194</v>
      </c>
      <c r="DB12" s="3">
        <f t="shared" si="40"/>
        <v>0.57327586206896564</v>
      </c>
      <c r="DC12" s="3">
        <f t="shared" si="40"/>
        <v>0.41839762611275966</v>
      </c>
      <c r="DD12" s="3">
        <f t="shared" si="40"/>
        <v>0.32258064516129031</v>
      </c>
      <c r="DE12" s="3">
        <f t="shared" si="40"/>
        <v>0.38571428571428579</v>
      </c>
      <c r="DF12" s="3">
        <f t="shared" si="40"/>
        <v>0.36082474226804118</v>
      </c>
      <c r="DG12" s="3">
        <f t="shared" si="40"/>
        <v>0.37254901960784315</v>
      </c>
      <c r="DH12" s="3">
        <f t="shared" si="40"/>
        <v>0.36956521739130438</v>
      </c>
      <c r="DI12" s="3">
        <f t="shared" si="40"/>
        <v>0.62300319488817901</v>
      </c>
      <c r="DJ12" s="3">
        <f t="shared" si="40"/>
        <v>0.72352941176470575</v>
      </c>
      <c r="DK12" s="3">
        <f t="shared" si="40"/>
        <v>0.68926553672316393</v>
      </c>
      <c r="DL12" s="3">
        <f t="shared" si="40"/>
        <v>0.65034965034965031</v>
      </c>
      <c r="DM12" s="3">
        <f t="shared" si="40"/>
        <v>0.68926553672316393</v>
      </c>
      <c r="DN12" s="7">
        <f t="shared" si="40"/>
        <v>0.70277078085642319</v>
      </c>
      <c r="DO12" s="7">
        <f t="shared" si="40"/>
        <v>0.76904176904176891</v>
      </c>
      <c r="DP12" s="7">
        <f t="shared" si="40"/>
        <v>0.85365853658536595</v>
      </c>
      <c r="DQ12" s="7">
        <f t="shared" si="40"/>
        <v>0.74025974025974028</v>
      </c>
      <c r="DR12" s="7">
        <f t="shared" si="40"/>
        <v>0.61344537815126055</v>
      </c>
      <c r="DS12" s="3">
        <f t="shared" si="40"/>
        <v>0.60406091370558379</v>
      </c>
      <c r="DT12" s="3">
        <f t="shared" si="40"/>
        <v>0.51537070524412298</v>
      </c>
      <c r="DU12" s="3">
        <f t="shared" si="40"/>
        <v>0.30898876404494385</v>
      </c>
      <c r="DV12" s="3">
        <f t="shared" si="40"/>
        <v>0.72000000000000008</v>
      </c>
      <c r="DW12" s="3">
        <f t="shared" ref="DW12:ES12" si="41">(DW8-DW9)/(DW8+DW9)</f>
        <v>0.67952522255192882</v>
      </c>
      <c r="DX12" s="3">
        <f t="shared" si="41"/>
        <v>0.53615279672578442</v>
      </c>
      <c r="DY12" s="3">
        <f t="shared" si="41"/>
        <v>0.56440677966101693</v>
      </c>
      <c r="DZ12" s="3">
        <f t="shared" si="41"/>
        <v>0.70561998215878674</v>
      </c>
      <c r="EA12" s="3">
        <f t="shared" si="41"/>
        <v>0.77235772357723587</v>
      </c>
      <c r="EB12" s="3">
        <f t="shared" si="41"/>
        <v>0.56739811912225702</v>
      </c>
      <c r="EC12" s="3">
        <f t="shared" si="41"/>
        <v>0.61973525872442836</v>
      </c>
      <c r="ED12" s="7">
        <f t="shared" si="41"/>
        <v>0.69104204753199272</v>
      </c>
      <c r="EE12" s="3">
        <f t="shared" si="41"/>
        <v>0.64909090909090916</v>
      </c>
      <c r="EF12" s="3">
        <f t="shared" si="41"/>
        <v>0.61186650185414082</v>
      </c>
      <c r="EG12" s="3">
        <f t="shared" si="41"/>
        <v>0.63366336633663356</v>
      </c>
      <c r="EH12" s="3">
        <f t="shared" si="41"/>
        <v>0.73291925465838503</v>
      </c>
      <c r="EI12" s="3">
        <f t="shared" si="41"/>
        <v>0.71052631578947367</v>
      </c>
      <c r="EJ12" s="3">
        <f t="shared" si="41"/>
        <v>0.82622432859399686</v>
      </c>
      <c r="EK12" s="3">
        <f t="shared" si="41"/>
        <v>0.66725663716814154</v>
      </c>
      <c r="EL12" s="3">
        <f t="shared" si="41"/>
        <v>0.74935400516795869</v>
      </c>
      <c r="EM12" s="3">
        <f t="shared" si="41"/>
        <v>0.74743024963289273</v>
      </c>
      <c r="EN12" s="3">
        <f t="shared" si="41"/>
        <v>0.75079872204472842</v>
      </c>
      <c r="EO12" s="3">
        <f t="shared" si="41"/>
        <v>0.57692307692307698</v>
      </c>
      <c r="EP12" s="3">
        <f t="shared" si="41"/>
        <v>0.63962670495333818</v>
      </c>
      <c r="EQ12" s="3">
        <f t="shared" si="41"/>
        <v>0.66231647634584012</v>
      </c>
      <c r="ER12" s="3">
        <f t="shared" si="41"/>
        <v>0.73469387755102045</v>
      </c>
      <c r="ES12" s="3">
        <f t="shared" si="41"/>
        <v>0.45315487571701729</v>
      </c>
      <c r="ET12" s="3">
        <f t="shared" ref="ET12:EU12" si="42">(ET8-ET9)/(ET8+ET9)</f>
        <v>0.43692307692307691</v>
      </c>
      <c r="EU12" s="3">
        <f t="shared" si="42"/>
        <v>0.91514264813460133</v>
      </c>
      <c r="EV12" s="3">
        <f t="shared" ref="EV12:EX12" si="43">(EV8-EV9)/(EV8+EV9)</f>
        <v>0.85396825396825404</v>
      </c>
      <c r="EW12" s="3">
        <f t="shared" si="43"/>
        <v>0.77530864197530869</v>
      </c>
      <c r="EX12" s="3">
        <f t="shared" si="43"/>
        <v>0.87237051440692948</v>
      </c>
      <c r="EY12" s="3">
        <f>(EY8-EY9)/(EY8+EY9)</f>
        <v>0.94025512675601486</v>
      </c>
      <c r="EZ12" s="3">
        <f>(EZ8-EZ9)/(EZ8+EZ9)</f>
        <v>0.72842347525891837</v>
      </c>
      <c r="FA12" s="3">
        <f>(FA8-FA9)/(FA8+FA9)</f>
        <v>0.75574365175332536</v>
      </c>
      <c r="FB12" s="3">
        <f>(FB8-FB9)/(FB8+FB9)</f>
        <v>0.62980209545983701</v>
      </c>
      <c r="FC12" s="3">
        <f>(FC8-FC9)/(FC8+FC9)</f>
        <v>0.2855133614627286</v>
      </c>
      <c r="FD12" s="3">
        <f>(FD8-FD9)/(FD8+FD9)</f>
        <v>0.7225433526011561</v>
      </c>
      <c r="FE12" s="3">
        <f>(FE8-FE9)/(FE8+FE9)</f>
        <v>0.66033519553072628</v>
      </c>
      <c r="FF12" s="3">
        <f>(FF8-FF9)/(FF8+FF9)</f>
        <v>0.26455906821963393</v>
      </c>
      <c r="FG12" s="4"/>
      <c r="FH12" s="4"/>
      <c r="FI12" s="4"/>
      <c r="FJ12" s="4"/>
      <c r="FK12" s="4"/>
      <c r="FL12" s="4"/>
    </row>
    <row r="13" spans="1:168" x14ac:dyDescent="0.3">
      <c r="A13" t="s">
        <v>12</v>
      </c>
      <c r="B13" s="4">
        <f t="shared" ref="B13:E13" si="44">(B10-B11)/(B10+B11)</f>
        <v>0.25473684210526315</v>
      </c>
      <c r="C13" s="4">
        <f t="shared" ref="C13:D13" si="45">(C10-C11)/(C10+C11)</f>
        <v>0.30413016270337923</v>
      </c>
      <c r="D13" s="4">
        <f t="shared" si="45"/>
        <v>0.29874213836477986</v>
      </c>
      <c r="E13" s="8">
        <f t="shared" si="44"/>
        <v>0.33758700696055682</v>
      </c>
      <c r="F13" s="8">
        <f t="shared" ref="F13" si="46">(F10-F11)/(F10+F11)</f>
        <v>0.29183400267737619</v>
      </c>
      <c r="G13" s="4">
        <f t="shared" ref="G13" si="47">(G10-G11)/(G10+G11)</f>
        <v>0.29199999999999998</v>
      </c>
      <c r="H13" s="4">
        <f t="shared" ref="H13:J13" si="48">(H10-H11)/(H10+H11)</f>
        <v>0.11280101394169832</v>
      </c>
      <c r="I13" s="4">
        <f t="shared" ref="I13" si="49">(I10-I11)/(I10+I11)</f>
        <v>0.58461538461538465</v>
      </c>
      <c r="J13" s="4">
        <f t="shared" si="48"/>
        <v>0.3778625954198474</v>
      </c>
      <c r="K13" s="4">
        <f t="shared" ref="K13:L13" si="50">(K10-K11)/(K10+K11)</f>
        <v>0.75187969924812026</v>
      </c>
      <c r="L13" s="4">
        <f t="shared" si="50"/>
        <v>0.75241779497098649</v>
      </c>
      <c r="M13" s="4">
        <f t="shared" ref="M13:N13" si="51">(M10-M11)/(M10+M11)</f>
        <v>0.57053291536050155</v>
      </c>
      <c r="N13" s="4">
        <f t="shared" si="51"/>
        <v>0.66404199475065617</v>
      </c>
      <c r="O13" s="4">
        <f t="shared" ref="O13" si="52">(O10-O11)/(O10+O11)</f>
        <v>0.69534050179211471</v>
      </c>
      <c r="P13" s="4">
        <f t="shared" ref="P13:Q13" si="53">(P10-P11)/(P10+P11)</f>
        <v>0.87780772686433073</v>
      </c>
      <c r="Q13" s="4">
        <f t="shared" si="53"/>
        <v>0.89583333333333348</v>
      </c>
      <c r="R13" s="4">
        <f t="shared" ref="R13:S13" si="54">(R10-R11)/(R10+R11)</f>
        <v>0.20243531202435311</v>
      </c>
      <c r="S13" s="4">
        <f t="shared" si="54"/>
        <v>0.50957854406130276</v>
      </c>
      <c r="T13" s="4">
        <f t="shared" ref="T13:V13" si="55">(T10-T11)/(T10+T11)</f>
        <v>0.61445783132530118</v>
      </c>
      <c r="U13" s="4">
        <f t="shared" si="55"/>
        <v>0.61641221374045807</v>
      </c>
      <c r="V13" s="4">
        <f t="shared" si="55"/>
        <v>0.19762510602205252</v>
      </c>
      <c r="W13" s="4">
        <f t="shared" ref="W13:X13" si="56">(W10-W11)/(W10+W11)</f>
        <v>0.36510638297872333</v>
      </c>
      <c r="X13" s="4">
        <f t="shared" si="56"/>
        <v>0.39334637964774943</v>
      </c>
      <c r="Y13" s="4">
        <f t="shared" ref="Y13" si="57">(Y10-Y11)/(Y10+Y11)</f>
        <v>0.37154150197628455</v>
      </c>
      <c r="Z13" s="4">
        <f t="shared" ref="Z13:AA13" si="58">(Z10-Z11)/(Z10+Z11)</f>
        <v>0.24710830704521553</v>
      </c>
      <c r="AA13" s="4">
        <f t="shared" si="58"/>
        <v>0.19839142091152809</v>
      </c>
      <c r="AB13" s="8">
        <f t="shared" ref="AB13:AC13" si="59">(AB10-AB11)/(AB10+AB11)</f>
        <v>6.3763608087091778E-2</v>
      </c>
      <c r="AC13" s="4">
        <f t="shared" si="59"/>
        <v>0.22572178477690286</v>
      </c>
      <c r="AD13" s="4">
        <f t="shared" ref="AD13:AE13" si="60">(AD10-AD11)/(AD10+AD11)</f>
        <v>0.33853006681514469</v>
      </c>
      <c r="AE13" s="4">
        <f t="shared" si="60"/>
        <v>0.13006993006993009</v>
      </c>
      <c r="AF13" s="8">
        <f t="shared" ref="AF13:AG13" si="61">(AF10-AF11)/(AF10+AF11)</f>
        <v>0.1906158357771261</v>
      </c>
      <c r="AG13" s="4">
        <f t="shared" si="61"/>
        <v>0.89219629927594535</v>
      </c>
      <c r="AH13" s="4">
        <f t="shared" ref="AH13:AI13" si="62">(AH10-AH11)/(AH10+AH11)</f>
        <v>0.86287625418060199</v>
      </c>
      <c r="AI13" s="4">
        <f t="shared" si="62"/>
        <v>0.95381654906991664</v>
      </c>
      <c r="AJ13" s="4">
        <f t="shared" ref="AJ13:AK13" si="63">(AJ10-AJ11)/(AJ10+AJ11)</f>
        <v>0.26549586776859502</v>
      </c>
      <c r="AK13" s="8">
        <f t="shared" si="63"/>
        <v>0.22723330442324369</v>
      </c>
      <c r="AL13" s="4">
        <f t="shared" ref="AL13:AM13" si="64">(AL10-AL11)/(AL10+AL11)</f>
        <v>0.23982558139534876</v>
      </c>
      <c r="AM13" s="8">
        <f t="shared" si="64"/>
        <v>0.44495222268383883</v>
      </c>
      <c r="AN13" s="4">
        <f t="shared" ref="AN13:AO13" si="65">(AN10-AN11)/(AN10+AN11)</f>
        <v>0.64415156507413507</v>
      </c>
      <c r="AO13" s="4">
        <f t="shared" si="65"/>
        <v>0.70574443141852283</v>
      </c>
      <c r="AP13" s="4">
        <f t="shared" ref="AP13" si="66">(AP10-AP11)/(AP10+AP11)</f>
        <v>0.84444444444444455</v>
      </c>
      <c r="AQ13" s="10">
        <f t="shared" ref="AQ13" si="67">(AQ10-AQ11)/(AQ10+AQ11)</f>
        <v>0.79961464354527956</v>
      </c>
      <c r="AR13" s="10">
        <f t="shared" ref="AR13:AS13" si="68">(AR10-AR11)/(AR10+AR11)</f>
        <v>0.81365113759479957</v>
      </c>
      <c r="AS13" s="10">
        <f t="shared" si="68"/>
        <v>0.37670514165792229</v>
      </c>
      <c r="AT13" s="10">
        <f t="shared" ref="AT13" si="69">(AT10-AT11)/(AT10+AT11)</f>
        <v>0.83850931677018647</v>
      </c>
      <c r="AU13" s="10">
        <f t="shared" ref="AU13:AV13" si="70">(AU10-AU11)/(AU10+AU11)</f>
        <v>0.65906362545018005</v>
      </c>
      <c r="AV13" s="10">
        <f t="shared" si="70"/>
        <v>0.65925925925925921</v>
      </c>
      <c r="AW13" s="11">
        <f t="shared" ref="AW13:AX13" si="71">(AW10-AW11)/(AW10+AW11)</f>
        <v>0.95003650131775952</v>
      </c>
      <c r="AX13" s="11">
        <f t="shared" si="71"/>
        <v>0.68353067814854684</v>
      </c>
      <c r="AY13" s="8">
        <f t="shared" ref="AY13" si="72">(AY10-AY11)/(AY10+AY11)</f>
        <v>0.66796570537802036</v>
      </c>
      <c r="AZ13" s="11">
        <f t="shared" ref="AZ13:BA13" si="73">(AZ10-AZ11)/(AZ10+AZ11)</f>
        <v>0.66846361185983827</v>
      </c>
      <c r="BA13" s="11">
        <f t="shared" si="73"/>
        <v>0.88702290076335877</v>
      </c>
      <c r="BB13" s="11">
        <f t="shared" ref="BB13:BC13" si="74">(BB10-BB11)/(BB10+BB11)</f>
        <v>0.81970649895178194</v>
      </c>
      <c r="BC13" s="11">
        <f t="shared" si="74"/>
        <v>0.32704402515723269</v>
      </c>
      <c r="BD13" s="11">
        <f t="shared" ref="BD13" si="75">(BD10-BD11)/(BD10+BD11)</f>
        <v>0.26970954356846472</v>
      </c>
      <c r="BE13" s="11">
        <f t="shared" ref="BE13" si="76">(BE10-BE11)/(BE10+BE11)</f>
        <v>0.73333333333333339</v>
      </c>
      <c r="BF13" s="11">
        <f t="shared" ref="BF13:BG13" si="77">(BF10-BF11)/(BF10+BF11)</f>
        <v>0.20537124802527643</v>
      </c>
      <c r="BG13" s="11">
        <f t="shared" si="77"/>
        <v>0.83333333333333326</v>
      </c>
      <c r="BH13" s="11">
        <f t="shared" ref="BH13:BI13" si="78">(BH10-BH11)/(BH10+BH11)</f>
        <v>0.67823026646556062</v>
      </c>
      <c r="BI13" s="11">
        <f t="shared" si="78"/>
        <v>0.73039215686274495</v>
      </c>
      <c r="BJ13" s="8">
        <f t="shared" ref="BJ13" si="79">(BJ10-BJ11)/(BJ10+BJ11)</f>
        <v>0.15174363807728561</v>
      </c>
      <c r="BK13" s="8">
        <f t="shared" ref="BK13" si="80">(BK10-BK11)/(BK10+BK11)</f>
        <v>0.46742567994939915</v>
      </c>
      <c r="BL13" s="8">
        <f t="shared" ref="BL13:BM13" si="81">(BL10-BL11)/(BL10+BL11)</f>
        <v>0.55890410958904102</v>
      </c>
      <c r="BM13" s="8">
        <f t="shared" si="81"/>
        <v>0.18586789554531491</v>
      </c>
      <c r="BN13" s="11">
        <f t="shared" ref="BN13:BO13" si="82">(BN10-BN11)/(BN10+BN11)</f>
        <v>0.40736342042755341</v>
      </c>
      <c r="BO13" s="11">
        <f t="shared" si="82"/>
        <v>5.6985294117647071E-2</v>
      </c>
      <c r="BP13" s="11">
        <f t="shared" ref="BP13:BQ13" si="83">(BP10-BP11)/(BP10+BP11)</f>
        <v>0.32142857142857151</v>
      </c>
      <c r="BQ13" s="11">
        <f t="shared" si="83"/>
        <v>0.53024911032028466</v>
      </c>
      <c r="BR13" s="11">
        <f t="shared" ref="BR13:BS13" si="84">(BR10-BR11)/(BR10+BR11)</f>
        <v>0.39960238568588463</v>
      </c>
      <c r="BS13" s="10">
        <f t="shared" si="84"/>
        <v>0.32563025210084029</v>
      </c>
      <c r="BT13" s="3">
        <f>(BT10-BT11)/(BT10+BT11)</f>
        <v>0.75488917861799232</v>
      </c>
      <c r="BU13" s="3">
        <f>(BU10-BU11)/(BU10+BU11)</f>
        <v>0.75431472081218265</v>
      </c>
      <c r="BV13" s="3">
        <f t="shared" ref="BV13:CK13" si="85">(BV10-BV11)/(BV10+BV11)</f>
        <v>0.68071312803889783</v>
      </c>
      <c r="BW13" s="3">
        <f t="shared" si="85"/>
        <v>0.81188118811881194</v>
      </c>
      <c r="BX13" s="3">
        <f t="shared" si="85"/>
        <v>0.76275207591933569</v>
      </c>
      <c r="BY13" s="9">
        <f t="shared" si="85"/>
        <v>0.76535087719298245</v>
      </c>
      <c r="BZ13" s="3">
        <f t="shared" si="85"/>
        <v>0.25863521482729562</v>
      </c>
      <c r="CA13" s="3">
        <f t="shared" si="85"/>
        <v>0.22533936651583703</v>
      </c>
      <c r="CB13" s="3">
        <f t="shared" si="85"/>
        <v>0.21450151057401817</v>
      </c>
      <c r="CC13" s="3">
        <f t="shared" si="85"/>
        <v>0.22067901234567902</v>
      </c>
      <c r="CD13" s="3">
        <f t="shared" si="85"/>
        <v>0.27470534904805077</v>
      </c>
      <c r="CE13" s="3">
        <f t="shared" si="85"/>
        <v>0.47692307692307689</v>
      </c>
      <c r="CF13" s="3">
        <f t="shared" si="85"/>
        <v>0.19509896324222437</v>
      </c>
      <c r="CG13" s="3">
        <f t="shared" si="85"/>
        <v>0.24783027965284474</v>
      </c>
      <c r="CH13" s="3">
        <f t="shared" si="85"/>
        <v>0.37992565055762079</v>
      </c>
      <c r="CI13" s="3">
        <f t="shared" si="85"/>
        <v>0.21616161616161611</v>
      </c>
      <c r="CJ13" s="3">
        <f t="shared" si="85"/>
        <v>0.33246414602346808</v>
      </c>
      <c r="CK13" s="3">
        <f t="shared" si="85"/>
        <v>0.40390390390390379</v>
      </c>
      <c r="CL13" s="3">
        <f t="shared" ref="CL13:ED13" si="86">(CL10-CL11)/(CL10+CL11)</f>
        <v>0.34626038781163437</v>
      </c>
      <c r="CM13" s="3">
        <f t="shared" si="86"/>
        <v>0.25365853658536586</v>
      </c>
      <c r="CN13" s="3">
        <f t="shared" si="86"/>
        <v>0.32273972602739731</v>
      </c>
      <c r="CO13" s="9">
        <f t="shared" si="86"/>
        <v>0.37607223476297968</v>
      </c>
      <c r="CP13" s="3">
        <f t="shared" si="86"/>
        <v>0.26884422110552758</v>
      </c>
      <c r="CQ13" s="3">
        <f t="shared" si="86"/>
        <v>0.38193343898573689</v>
      </c>
      <c r="CR13" s="3">
        <f t="shared" si="86"/>
        <v>0.31759036144578312</v>
      </c>
      <c r="CS13" s="9">
        <f t="shared" si="86"/>
        <v>0.45283018867924529</v>
      </c>
      <c r="CT13" s="3">
        <f t="shared" si="86"/>
        <v>0.28463476070528965</v>
      </c>
      <c r="CU13" s="3">
        <f t="shared" si="86"/>
        <v>0.33178654292343385</v>
      </c>
      <c r="CV13" s="3">
        <f t="shared" si="86"/>
        <v>0.53846153846153844</v>
      </c>
      <c r="CW13" s="7">
        <f t="shared" si="86"/>
        <v>0.39285714285714285</v>
      </c>
      <c r="CX13" s="3">
        <f t="shared" si="86"/>
        <v>0.49823321554770322</v>
      </c>
      <c r="CY13" s="3">
        <f t="shared" si="86"/>
        <v>0.74291115311909262</v>
      </c>
      <c r="CZ13" s="3">
        <f t="shared" si="86"/>
        <v>0.72183098591549288</v>
      </c>
      <c r="DA13" s="3">
        <f t="shared" si="86"/>
        <v>0.85982905982905977</v>
      </c>
      <c r="DB13" s="3">
        <f t="shared" si="86"/>
        <v>0.57281553398058238</v>
      </c>
      <c r="DC13" s="3">
        <f t="shared" si="86"/>
        <v>0.43236074270557029</v>
      </c>
      <c r="DD13" s="3">
        <f t="shared" si="86"/>
        <v>0.37914691943127959</v>
      </c>
      <c r="DE13" s="3">
        <f t="shared" si="86"/>
        <v>0.44171779141104289</v>
      </c>
      <c r="DF13" s="3">
        <f t="shared" si="86"/>
        <v>0.32970027247956402</v>
      </c>
      <c r="DG13" s="3">
        <f t="shared" si="86"/>
        <v>0.43631436314363142</v>
      </c>
      <c r="DH13" s="3">
        <f t="shared" si="86"/>
        <v>0.48427672955974849</v>
      </c>
      <c r="DI13" s="3">
        <f t="shared" si="86"/>
        <v>0.65498652291105119</v>
      </c>
      <c r="DJ13" s="3">
        <f t="shared" si="86"/>
        <v>0.78190255220417648</v>
      </c>
      <c r="DK13" s="3">
        <f t="shared" si="86"/>
        <v>0.74647887323943674</v>
      </c>
      <c r="DL13" s="3">
        <f t="shared" si="86"/>
        <v>0.67430025445292618</v>
      </c>
      <c r="DM13" s="3">
        <f t="shared" si="86"/>
        <v>0.7129186602870814</v>
      </c>
      <c r="DN13" s="7">
        <f t="shared" si="86"/>
        <v>0.75742574257425732</v>
      </c>
      <c r="DO13" s="7">
        <f t="shared" si="86"/>
        <v>0.79865771812080533</v>
      </c>
      <c r="DP13" s="7">
        <f t="shared" si="86"/>
        <v>0.86797066014669921</v>
      </c>
      <c r="DQ13" s="7">
        <f t="shared" si="86"/>
        <v>0.72857142857142854</v>
      </c>
      <c r="DR13" s="7">
        <f t="shared" si="86"/>
        <v>0.77832512315270941</v>
      </c>
      <c r="DS13" s="3">
        <f t="shared" si="86"/>
        <v>0.61094224924012153</v>
      </c>
      <c r="DT13" s="3">
        <f t="shared" si="86"/>
        <v>0.51973684210526316</v>
      </c>
      <c r="DU13" s="3">
        <f t="shared" si="86"/>
        <v>0.3479318734793187</v>
      </c>
      <c r="DV13" s="3">
        <f t="shared" si="86"/>
        <v>0.74029850746268655</v>
      </c>
      <c r="DW13" s="3">
        <f t="shared" si="86"/>
        <v>0.69606512890094974</v>
      </c>
      <c r="DX13" s="3">
        <f t="shared" si="86"/>
        <v>0.54697554697554696</v>
      </c>
      <c r="DY13" s="3">
        <f t="shared" si="86"/>
        <v>0.69431643625192008</v>
      </c>
      <c r="DZ13" s="3">
        <f t="shared" si="86"/>
        <v>0.78009630818619569</v>
      </c>
      <c r="EA13" s="3">
        <f t="shared" si="86"/>
        <v>0.83030303030303021</v>
      </c>
      <c r="EB13" s="3">
        <f t="shared" si="86"/>
        <v>0.7021645021645021</v>
      </c>
      <c r="EC13" s="9">
        <f t="shared" si="86"/>
        <v>0.78692220969560311</v>
      </c>
      <c r="ED13" s="7">
        <f t="shared" si="86"/>
        <v>0.75245901639344259</v>
      </c>
      <c r="EE13" s="3">
        <f t="shared" ref="EE13:ES13" si="87">(EE10-EE11)/(EE10+EE11)</f>
        <v>0.73961661341853047</v>
      </c>
      <c r="EF13" s="3">
        <f t="shared" si="87"/>
        <v>0.63228699551569512</v>
      </c>
      <c r="EG13" s="3">
        <f t="shared" si="87"/>
        <v>0.62790697674418616</v>
      </c>
      <c r="EH13" s="3">
        <f t="shared" si="87"/>
        <v>0.75499999999999989</v>
      </c>
      <c r="EI13" s="3">
        <f t="shared" si="87"/>
        <v>0.75223499361430401</v>
      </c>
      <c r="EJ13" s="3">
        <f t="shared" si="87"/>
        <v>0.84438775510204078</v>
      </c>
      <c r="EK13" s="3">
        <f t="shared" si="87"/>
        <v>0.68175182481751828</v>
      </c>
      <c r="EL13" s="3">
        <f t="shared" si="87"/>
        <v>0.78915046059365412</v>
      </c>
      <c r="EM13" s="3">
        <f t="shared" si="87"/>
        <v>0.76513317191283303</v>
      </c>
      <c r="EN13" s="3">
        <f t="shared" si="87"/>
        <v>0.768041237113402</v>
      </c>
      <c r="EO13" s="3">
        <f t="shared" si="87"/>
        <v>0.56612377850162865</v>
      </c>
      <c r="EP13" s="3">
        <f t="shared" si="87"/>
        <v>0.63901791639017913</v>
      </c>
      <c r="EQ13" s="3">
        <f t="shared" si="87"/>
        <v>0.66367713004484308</v>
      </c>
      <c r="ER13" s="3">
        <f t="shared" si="87"/>
        <v>0.73459119496855352</v>
      </c>
      <c r="ES13" s="3">
        <f t="shared" si="87"/>
        <v>0.44178082191780826</v>
      </c>
      <c r="ET13" s="3">
        <f t="shared" ref="ET13:EU13" si="88">(ET10-ET11)/(ET10+ET11)</f>
        <v>0.43922984356197353</v>
      </c>
      <c r="EU13" s="3">
        <f t="shared" si="88"/>
        <v>0.92895442359249336</v>
      </c>
      <c r="EV13" s="3">
        <f t="shared" ref="EV13:EX13" si="89">(EV10-EV11)/(EV10+EV11)</f>
        <v>0.87656529516994641</v>
      </c>
      <c r="EW13" s="3">
        <f t="shared" si="89"/>
        <v>0.80208333333333337</v>
      </c>
      <c r="EX13" s="3">
        <f t="shared" si="89"/>
        <v>0.89639783232387626</v>
      </c>
      <c r="EY13" s="3">
        <f>(EY10-EY11)/(EY10+EY11)</f>
        <v>0.9530460624071323</v>
      </c>
      <c r="EZ13" s="3">
        <f>(EZ10-EZ11)/(EZ10+EZ11)</f>
        <v>0.7326633165829145</v>
      </c>
      <c r="FA13" s="3">
        <f>(FA10-FA11)/(FA10+FA11)</f>
        <v>0.76174863387978142</v>
      </c>
      <c r="FB13" s="3">
        <f>(FB10-FB11)/(FB10+FB11)</f>
        <v>0.63220675944334004</v>
      </c>
      <c r="FC13" s="3">
        <f>(FC10-FC11)/(FC10+FC11)</f>
        <v>0.30414746543778803</v>
      </c>
      <c r="FD13" s="3">
        <f>(FD10-FD11)/(FD10+FD11)</f>
        <v>0.7324525185796863</v>
      </c>
      <c r="FE13" s="3">
        <f>(FE10-FE11)/(FE10+FE11)</f>
        <v>0.67020250723240116</v>
      </c>
      <c r="FF13" s="3">
        <f>(FF10-FF11)/(FF10+FF11)</f>
        <v>0.28233657858136302</v>
      </c>
      <c r="FG13" s="4"/>
      <c r="FH13" s="4"/>
      <c r="FI13" s="4"/>
      <c r="FJ13" s="4"/>
      <c r="FK13" s="4"/>
      <c r="FL13" s="4"/>
    </row>
    <row r="14" spans="1:168" x14ac:dyDescent="0.3">
      <c r="A14" t="s">
        <v>1</v>
      </c>
      <c r="B14" s="4">
        <v>0.13</v>
      </c>
      <c r="C14" s="4">
        <v>0.18</v>
      </c>
      <c r="D14" s="4">
        <v>0.16</v>
      </c>
      <c r="E14" s="4">
        <v>0.17</v>
      </c>
      <c r="F14" s="4">
        <v>0.14000000000000001</v>
      </c>
      <c r="G14" s="4">
        <v>0.14000000000000001</v>
      </c>
      <c r="H14" s="4">
        <v>0.08</v>
      </c>
      <c r="I14" s="4">
        <v>0.19</v>
      </c>
      <c r="J14" s="4">
        <v>0.19</v>
      </c>
      <c r="K14" s="4">
        <v>0.28000000000000003</v>
      </c>
      <c r="L14" s="4">
        <v>0.37</v>
      </c>
      <c r="M14" s="4">
        <v>0.21</v>
      </c>
      <c r="N14" s="4">
        <v>0.3</v>
      </c>
      <c r="O14" s="4">
        <v>0.22</v>
      </c>
      <c r="P14" s="4">
        <v>0.4</v>
      </c>
      <c r="Q14" s="4">
        <v>0.53</v>
      </c>
      <c r="R14" s="4">
        <v>0.17</v>
      </c>
      <c r="S14" s="4">
        <v>0.25</v>
      </c>
      <c r="T14" s="4">
        <v>0.2</v>
      </c>
      <c r="U14" s="4">
        <v>0.27</v>
      </c>
      <c r="V14" s="4">
        <v>0.11</v>
      </c>
      <c r="W14" s="4">
        <v>0.18</v>
      </c>
      <c r="X14" s="4">
        <v>0.31</v>
      </c>
      <c r="Y14" s="4">
        <v>0.16</v>
      </c>
      <c r="Z14" s="4">
        <v>0.18</v>
      </c>
      <c r="AA14" s="4">
        <v>0.18</v>
      </c>
      <c r="AB14" s="4">
        <v>0.14000000000000001</v>
      </c>
      <c r="AC14" s="4">
        <v>0.19</v>
      </c>
      <c r="AD14" s="4">
        <v>0.25</v>
      </c>
      <c r="AE14" s="4">
        <v>0.16</v>
      </c>
      <c r="AF14" s="4">
        <v>0.17</v>
      </c>
      <c r="AG14" s="4">
        <v>0.5</v>
      </c>
      <c r="AH14" s="4">
        <v>0.47</v>
      </c>
      <c r="AI14" s="4">
        <v>0.6</v>
      </c>
      <c r="AJ14" s="4">
        <v>0.16</v>
      </c>
      <c r="AK14" s="4">
        <v>0.17</v>
      </c>
      <c r="AL14" s="4">
        <v>0.13</v>
      </c>
      <c r="AM14" s="4">
        <v>0.33</v>
      </c>
      <c r="AN14" s="4">
        <v>0.35</v>
      </c>
      <c r="AO14" s="4">
        <v>0.43</v>
      </c>
      <c r="AP14" s="4">
        <v>0.39</v>
      </c>
      <c r="AQ14" s="10">
        <v>0.33</v>
      </c>
      <c r="AR14" s="4">
        <v>0.28999999999999998</v>
      </c>
      <c r="AS14" s="4">
        <v>0.27</v>
      </c>
      <c r="AT14" s="4">
        <v>0.44</v>
      </c>
      <c r="AU14" s="4">
        <v>0.3</v>
      </c>
      <c r="AV14" s="10">
        <v>0.23</v>
      </c>
      <c r="AW14" s="4">
        <v>0.22</v>
      </c>
      <c r="AX14" s="4">
        <v>0.23</v>
      </c>
      <c r="AY14" s="4">
        <v>0.28000000000000003</v>
      </c>
      <c r="AZ14" s="4">
        <v>0.37</v>
      </c>
      <c r="BA14" s="4">
        <v>0.62</v>
      </c>
      <c r="BB14" s="4">
        <v>0.42</v>
      </c>
      <c r="BC14" s="4">
        <v>0.2</v>
      </c>
      <c r="BD14" s="4">
        <v>0.13</v>
      </c>
      <c r="BE14" s="4">
        <v>0.39</v>
      </c>
      <c r="BF14" s="4">
        <v>0.11</v>
      </c>
      <c r="BG14" s="4">
        <v>0.44</v>
      </c>
      <c r="BH14" s="4">
        <v>0.19</v>
      </c>
      <c r="BI14" s="4">
        <v>0.28999999999999998</v>
      </c>
      <c r="BJ14" s="4">
        <v>0.12</v>
      </c>
      <c r="BK14" s="4">
        <v>0.19</v>
      </c>
      <c r="BL14" s="4">
        <v>0.39</v>
      </c>
      <c r="BM14" s="4">
        <v>0.14000000000000001</v>
      </c>
      <c r="BN14" s="4">
        <v>0.17</v>
      </c>
      <c r="BO14" s="4">
        <v>0.1</v>
      </c>
      <c r="BP14" s="4">
        <v>0.14000000000000001</v>
      </c>
      <c r="BQ14" s="4">
        <v>0.22</v>
      </c>
      <c r="BR14" s="4">
        <v>0.21</v>
      </c>
      <c r="BS14" s="10">
        <v>0.2</v>
      </c>
      <c r="BT14" s="3">
        <v>0.32</v>
      </c>
      <c r="BU14" s="7">
        <v>0.35</v>
      </c>
      <c r="BV14" s="3">
        <v>0.48</v>
      </c>
      <c r="BW14" s="4">
        <v>0.32</v>
      </c>
      <c r="BX14" s="4">
        <v>0.33</v>
      </c>
      <c r="BY14" s="3">
        <v>0.32</v>
      </c>
      <c r="BZ14" s="4">
        <v>0.17</v>
      </c>
      <c r="CA14" s="4">
        <v>0.15</v>
      </c>
      <c r="CB14" s="4">
        <v>0.14000000000000001</v>
      </c>
      <c r="CC14" s="4">
        <v>0.18</v>
      </c>
      <c r="CD14" s="4">
        <v>0.16</v>
      </c>
      <c r="CE14" s="4">
        <v>0.2</v>
      </c>
      <c r="CF14" s="4">
        <v>0.14000000000000001</v>
      </c>
      <c r="CG14" s="4">
        <v>0.15</v>
      </c>
      <c r="CH14" s="4">
        <v>0.22</v>
      </c>
      <c r="CI14" s="4">
        <v>0.2</v>
      </c>
      <c r="CJ14" s="4">
        <v>0.12</v>
      </c>
      <c r="CK14" s="4">
        <v>0.21</v>
      </c>
      <c r="CL14" s="4">
        <v>0.22</v>
      </c>
      <c r="CM14" s="4">
        <v>0.18</v>
      </c>
      <c r="CN14" s="4">
        <v>0.27</v>
      </c>
      <c r="CO14" s="4">
        <v>0.21</v>
      </c>
      <c r="CP14" s="4">
        <v>0.22</v>
      </c>
      <c r="CQ14" s="4">
        <v>0.18</v>
      </c>
      <c r="CR14" s="4">
        <v>0.25</v>
      </c>
      <c r="CS14" s="4">
        <v>0.25</v>
      </c>
      <c r="CT14" s="4">
        <v>0.22</v>
      </c>
      <c r="CU14" s="4">
        <v>0.25</v>
      </c>
      <c r="CV14" s="4">
        <v>0.24</v>
      </c>
      <c r="CW14" s="10">
        <v>0.16</v>
      </c>
      <c r="CX14" s="4">
        <v>0.25</v>
      </c>
      <c r="CY14" s="4">
        <v>0.41</v>
      </c>
      <c r="CZ14" s="4">
        <v>0.44</v>
      </c>
      <c r="DA14" s="4">
        <v>0.48</v>
      </c>
      <c r="DB14" s="4">
        <v>0.36</v>
      </c>
      <c r="DC14" s="4">
        <v>0.22</v>
      </c>
      <c r="DD14" s="4">
        <v>0.19</v>
      </c>
      <c r="DE14" s="4">
        <v>0.18</v>
      </c>
      <c r="DF14" s="4">
        <v>0.18</v>
      </c>
      <c r="DG14" s="4">
        <v>0.26</v>
      </c>
      <c r="DH14" s="4">
        <v>0.24</v>
      </c>
      <c r="DI14" s="4">
        <v>0.32</v>
      </c>
      <c r="DJ14" s="4">
        <v>0.37</v>
      </c>
      <c r="DK14" s="4">
        <v>0.37</v>
      </c>
      <c r="DL14" s="4">
        <v>0.28999999999999998</v>
      </c>
      <c r="DM14" s="4">
        <v>0.36</v>
      </c>
      <c r="DN14" s="10">
        <v>0.48</v>
      </c>
      <c r="DO14" s="10">
        <v>0.51</v>
      </c>
      <c r="DP14" s="10">
        <v>0.54</v>
      </c>
      <c r="DQ14" s="10">
        <v>0.48</v>
      </c>
      <c r="DR14" s="10">
        <v>0.55000000000000004</v>
      </c>
      <c r="DS14" s="4">
        <v>0.36</v>
      </c>
      <c r="DT14" s="4">
        <v>0.32</v>
      </c>
      <c r="DU14" s="4">
        <v>0.18</v>
      </c>
      <c r="DV14" s="4">
        <v>0.4</v>
      </c>
      <c r="DW14" s="4">
        <v>0.44</v>
      </c>
      <c r="DX14" s="4">
        <v>0.43</v>
      </c>
      <c r="DY14" s="4">
        <v>0.57999999999999996</v>
      </c>
      <c r="DZ14" s="4">
        <v>0.6</v>
      </c>
      <c r="EA14" s="4">
        <v>0.54</v>
      </c>
      <c r="EB14" s="4">
        <v>0.47</v>
      </c>
      <c r="EC14" s="4">
        <v>0.42</v>
      </c>
      <c r="ED14" s="10">
        <v>0.57999999999999996</v>
      </c>
      <c r="EE14" s="4">
        <v>0.56999999999999995</v>
      </c>
      <c r="EF14" s="4">
        <v>0.41</v>
      </c>
      <c r="EG14" s="4">
        <v>0.41</v>
      </c>
      <c r="EH14" s="4">
        <v>0.27</v>
      </c>
      <c r="EI14" s="4">
        <v>0.25</v>
      </c>
      <c r="EJ14" s="4">
        <v>0.28000000000000003</v>
      </c>
      <c r="EK14" s="4">
        <v>0.22</v>
      </c>
      <c r="EL14" s="4">
        <v>0.32</v>
      </c>
      <c r="EM14" s="4">
        <v>0.28000000000000003</v>
      </c>
      <c r="EN14" s="4">
        <v>0.26</v>
      </c>
      <c r="EO14" s="4">
        <v>0.31</v>
      </c>
      <c r="EP14" s="4">
        <v>0.31</v>
      </c>
      <c r="EQ14" s="4">
        <v>0.32</v>
      </c>
      <c r="ER14" s="4">
        <v>0.4</v>
      </c>
      <c r="ES14" s="4">
        <v>0.21</v>
      </c>
      <c r="ET14" s="4">
        <v>0.23</v>
      </c>
      <c r="EU14" s="4">
        <v>0.65</v>
      </c>
      <c r="EV14" s="4">
        <v>0.44</v>
      </c>
      <c r="EW14" s="4">
        <v>0.36</v>
      </c>
      <c r="EX14" s="4">
        <v>0.59</v>
      </c>
      <c r="EY14" s="4">
        <v>0.67</v>
      </c>
      <c r="EZ14" s="4">
        <v>0.31</v>
      </c>
      <c r="FA14" s="4">
        <v>0.3</v>
      </c>
      <c r="FB14" s="4">
        <v>0.26</v>
      </c>
      <c r="FC14" s="4">
        <v>0.15</v>
      </c>
      <c r="FD14" s="4">
        <v>0.27</v>
      </c>
      <c r="FE14" s="4">
        <v>0.23</v>
      </c>
      <c r="FF14" s="4">
        <v>0.18</v>
      </c>
      <c r="FG14" s="4"/>
      <c r="FH14" s="4"/>
      <c r="FI14" s="4"/>
      <c r="FJ14" s="4"/>
      <c r="FK14" s="4"/>
      <c r="FL14" s="4"/>
    </row>
    <row r="15" spans="1:168" x14ac:dyDescent="0.3">
      <c r="A15" t="s">
        <v>3</v>
      </c>
      <c r="B15" s="4">
        <v>0.23799999999999999</v>
      </c>
      <c r="C15" s="4">
        <v>0.314</v>
      </c>
      <c r="D15" s="4">
        <v>0.28499999999999998</v>
      </c>
      <c r="E15" s="4">
        <v>0.28299999999999997</v>
      </c>
      <c r="F15" s="4">
        <v>0.28699999999999998</v>
      </c>
      <c r="G15" s="4">
        <v>0.27100000000000002</v>
      </c>
      <c r="H15" s="4">
        <v>0.17799999999999999</v>
      </c>
      <c r="I15" s="4">
        <v>0.57499999999999996</v>
      </c>
      <c r="J15" s="4">
        <v>0.29599999999999999</v>
      </c>
      <c r="K15" s="4">
        <v>0.8</v>
      </c>
      <c r="L15" s="4">
        <v>0.74099999999999999</v>
      </c>
      <c r="M15" s="4">
        <v>0.66900000000000004</v>
      </c>
      <c r="N15" s="4">
        <v>0.57699999999999996</v>
      </c>
      <c r="O15" s="4">
        <v>0.69399999999999995</v>
      </c>
      <c r="P15" s="4">
        <v>0.874</v>
      </c>
      <c r="Q15" s="4">
        <v>0.88900000000000001</v>
      </c>
      <c r="R15" s="4">
        <v>0.25700000000000001</v>
      </c>
      <c r="S15" s="4">
        <v>0.57699999999999996</v>
      </c>
      <c r="T15" s="4">
        <v>0.74099999999999999</v>
      </c>
      <c r="U15" s="4">
        <v>0.66700000000000004</v>
      </c>
      <c r="V15" s="4">
        <v>0.27500000000000002</v>
      </c>
      <c r="W15" s="4">
        <v>0.42199999999999999</v>
      </c>
      <c r="X15" s="4">
        <v>0.47199999999999998</v>
      </c>
      <c r="Y15" s="4">
        <v>0.46100000000000002</v>
      </c>
      <c r="Z15" s="4">
        <v>0.45500000000000002</v>
      </c>
      <c r="AA15" s="4">
        <v>0.38700000000000001</v>
      </c>
      <c r="AB15" s="4">
        <v>0.30499999999999999</v>
      </c>
      <c r="AC15" s="4">
        <v>0.41799999999999998</v>
      </c>
      <c r="AD15" s="4">
        <v>0.50600000000000001</v>
      </c>
      <c r="AE15" s="4">
        <v>0.36499999999999999</v>
      </c>
      <c r="AF15" s="4">
        <v>0.39700000000000002</v>
      </c>
      <c r="AG15" s="4">
        <v>0.83799999999999997</v>
      </c>
      <c r="AH15" s="4">
        <v>0.80800000000000005</v>
      </c>
      <c r="AI15" s="4">
        <v>0.85099999999999998</v>
      </c>
      <c r="AJ15" s="4">
        <v>0.39200000000000002</v>
      </c>
      <c r="AK15" s="4">
        <v>0.377</v>
      </c>
      <c r="AL15" s="4">
        <v>0.33200000000000002</v>
      </c>
      <c r="AM15" s="4">
        <v>0.38700000000000001</v>
      </c>
      <c r="AN15" s="4">
        <v>0.54</v>
      </c>
      <c r="AO15" s="4">
        <v>0.69099999999999995</v>
      </c>
      <c r="AP15" s="4">
        <v>0.91400000000000003</v>
      </c>
      <c r="AQ15" s="10">
        <v>0.80500000000000005</v>
      </c>
      <c r="AR15" s="4">
        <v>0.88300000000000001</v>
      </c>
      <c r="AS15" s="4">
        <v>0.6</v>
      </c>
      <c r="AT15" s="4">
        <v>0.83199999999999996</v>
      </c>
      <c r="AU15" s="4">
        <v>0.55000000000000004</v>
      </c>
      <c r="AV15" s="10">
        <v>0.59099999999999997</v>
      </c>
      <c r="AW15" s="4">
        <v>0.63900000000000001</v>
      </c>
      <c r="AX15" s="4">
        <v>0.88</v>
      </c>
      <c r="AY15" s="4">
        <v>0.64700000000000002</v>
      </c>
      <c r="AZ15" s="4">
        <v>0.624</v>
      </c>
      <c r="BA15" s="4">
        <v>0.82099999999999995</v>
      </c>
      <c r="BB15" s="4">
        <v>0.79100000000000004</v>
      </c>
      <c r="BC15" s="4">
        <v>0.32600000000000001</v>
      </c>
      <c r="BD15" s="4">
        <v>0.24</v>
      </c>
      <c r="BE15" s="4">
        <v>0.80600000000000005</v>
      </c>
      <c r="BF15" s="4">
        <v>0.48</v>
      </c>
      <c r="BG15" s="4">
        <v>0.89</v>
      </c>
      <c r="BH15" s="4">
        <v>0.54</v>
      </c>
      <c r="BI15" s="4">
        <v>0.72499999999999998</v>
      </c>
      <c r="BJ15" s="4">
        <v>0.27800000000000002</v>
      </c>
      <c r="BK15" s="4">
        <v>0.79</v>
      </c>
      <c r="BL15" s="4">
        <v>0.499</v>
      </c>
      <c r="BM15" s="4">
        <v>0.20799999999999999</v>
      </c>
      <c r="BN15" s="4">
        <v>0.30199999999999999</v>
      </c>
      <c r="BO15" s="4">
        <v>0.19700000000000001</v>
      </c>
      <c r="BP15" s="4">
        <v>0.63</v>
      </c>
      <c r="BQ15" s="4">
        <v>0.52</v>
      </c>
      <c r="BR15" s="4">
        <v>0.441</v>
      </c>
      <c r="BS15" s="10">
        <v>0.39800000000000002</v>
      </c>
      <c r="BT15" s="3">
        <v>0.70799999999999996</v>
      </c>
      <c r="BU15" s="7">
        <v>0.83099999999999996</v>
      </c>
      <c r="BV15" s="3">
        <v>0.86399999999999999</v>
      </c>
      <c r="BW15" s="4">
        <v>0.85099999999999998</v>
      </c>
      <c r="BX15" s="4">
        <v>0.88500000000000001</v>
      </c>
      <c r="BY15" s="3">
        <v>0.79100000000000004</v>
      </c>
      <c r="BZ15" s="4">
        <v>0.29699999999999999</v>
      </c>
      <c r="CA15" s="4">
        <v>0.35299999999999998</v>
      </c>
      <c r="CB15" s="4">
        <v>0.34300000000000003</v>
      </c>
      <c r="CC15" s="4">
        <v>0.35299999999999998</v>
      </c>
      <c r="CD15" s="4">
        <v>0.32800000000000001</v>
      </c>
      <c r="CE15" s="4">
        <v>0.41699999999999998</v>
      </c>
      <c r="CF15" s="4">
        <v>0.35499999999999998</v>
      </c>
      <c r="CG15" s="4">
        <v>0.434</v>
      </c>
      <c r="CH15" s="4">
        <v>0.35099999999999998</v>
      </c>
      <c r="CI15" s="4">
        <v>0.36</v>
      </c>
      <c r="CJ15" s="4">
        <v>0.38500000000000001</v>
      </c>
      <c r="CK15" s="4">
        <v>0.39200000000000002</v>
      </c>
      <c r="CL15" s="4">
        <v>0.35799999999999998</v>
      </c>
      <c r="CM15" s="4">
        <v>0.34599999999999997</v>
      </c>
      <c r="CN15" s="4">
        <v>0.36799999999999999</v>
      </c>
      <c r="CO15" s="4">
        <v>0.42799999999999999</v>
      </c>
      <c r="CP15" s="4">
        <v>0.309</v>
      </c>
      <c r="CQ15" s="4">
        <v>0.47099999999999997</v>
      </c>
      <c r="CR15" s="4">
        <v>0.40100000000000002</v>
      </c>
      <c r="CS15" s="4">
        <v>0.32600000000000001</v>
      </c>
      <c r="CT15" s="4">
        <v>0.30499999999999999</v>
      </c>
      <c r="CU15" s="4">
        <v>0.42299999999999999</v>
      </c>
      <c r="CV15" s="4">
        <v>0.52300000000000002</v>
      </c>
      <c r="CW15" s="4">
        <v>0.45</v>
      </c>
      <c r="CX15" s="4">
        <v>0.46700000000000003</v>
      </c>
      <c r="CY15" s="4">
        <v>0.81799999999999995</v>
      </c>
      <c r="CZ15" s="4">
        <v>0.81599999999999995</v>
      </c>
      <c r="DA15" s="4">
        <v>0.89600000000000002</v>
      </c>
      <c r="DB15" s="4">
        <v>0.7</v>
      </c>
      <c r="DC15" s="4">
        <v>0.55000000000000004</v>
      </c>
      <c r="DD15" s="4">
        <v>0.50800000000000001</v>
      </c>
      <c r="DE15" s="4">
        <v>0.19800000000000001</v>
      </c>
      <c r="DF15" s="4">
        <v>0.51700000000000002</v>
      </c>
      <c r="DG15" s="4">
        <v>0.56100000000000005</v>
      </c>
      <c r="DH15" s="4">
        <v>0.54900000000000004</v>
      </c>
      <c r="DI15" s="4">
        <v>0.69699999999999995</v>
      </c>
      <c r="DJ15" s="4">
        <v>0.80600000000000005</v>
      </c>
      <c r="DK15" s="4">
        <v>0.754</v>
      </c>
      <c r="DL15" s="4">
        <v>0.76700000000000002</v>
      </c>
      <c r="DM15" s="4">
        <v>0.77700000000000002</v>
      </c>
      <c r="DN15" s="10">
        <v>0.67900000000000005</v>
      </c>
      <c r="DO15" s="10">
        <v>0.81100000000000005</v>
      </c>
      <c r="DP15" s="10">
        <v>0.82499999999999996</v>
      </c>
      <c r="DQ15" s="10">
        <v>0.83299999999999996</v>
      </c>
      <c r="DR15" s="10">
        <v>0.82699999999999996</v>
      </c>
      <c r="DS15" s="4">
        <v>0.73599999999999999</v>
      </c>
      <c r="DT15" s="4">
        <v>0.68700000000000006</v>
      </c>
      <c r="DU15" s="4">
        <v>0.48399999999999999</v>
      </c>
      <c r="DV15" s="4">
        <v>0.86</v>
      </c>
      <c r="DW15" s="4">
        <v>0.70499999999999996</v>
      </c>
      <c r="DX15" s="4">
        <v>0.68300000000000005</v>
      </c>
      <c r="DY15" s="4">
        <v>0.55500000000000005</v>
      </c>
      <c r="DZ15" s="4">
        <v>0.68700000000000006</v>
      </c>
      <c r="EA15" s="4">
        <v>0.78200000000000003</v>
      </c>
      <c r="EB15" s="4">
        <v>0.62</v>
      </c>
      <c r="EC15" s="4">
        <v>0.63300000000000001</v>
      </c>
      <c r="ED15" s="10">
        <v>0.70399999999999996</v>
      </c>
      <c r="EE15" s="4">
        <v>0.63</v>
      </c>
      <c r="EF15" s="4">
        <v>0.47199999999999998</v>
      </c>
      <c r="EG15" s="4">
        <v>0.53300000000000003</v>
      </c>
      <c r="EH15" s="4">
        <v>0.74399999999999999</v>
      </c>
      <c r="EI15" s="4">
        <v>0.71599999999999997</v>
      </c>
      <c r="EJ15" s="4">
        <v>0.8</v>
      </c>
      <c r="EK15" s="4">
        <v>0.63700000000000001</v>
      </c>
      <c r="EL15" s="4">
        <v>0.71299999999999997</v>
      </c>
      <c r="EM15" s="4">
        <v>0.72799999999999998</v>
      </c>
      <c r="EN15" s="4">
        <v>0.78300000000000003</v>
      </c>
      <c r="EO15" s="4">
        <v>0.53500000000000003</v>
      </c>
      <c r="EP15" s="4">
        <v>0.66200000000000003</v>
      </c>
      <c r="EQ15" s="4">
        <v>0.6</v>
      </c>
      <c r="ER15" s="4">
        <v>0.71199999999999997</v>
      </c>
      <c r="ES15" s="4">
        <v>0.38200000000000001</v>
      </c>
      <c r="ET15" s="4">
        <v>0.60699999999999998</v>
      </c>
      <c r="EU15" s="4">
        <v>0.874</v>
      </c>
      <c r="EV15" s="4">
        <v>0.80700000000000005</v>
      </c>
      <c r="EW15" s="4">
        <v>0.77300000000000002</v>
      </c>
      <c r="EX15" s="4">
        <v>0.77200000000000002</v>
      </c>
      <c r="EY15" s="4">
        <v>0.83199999999999996</v>
      </c>
      <c r="EZ15" s="4">
        <v>0.72899999999999998</v>
      </c>
      <c r="FA15" s="4">
        <v>0.70499999999999996</v>
      </c>
      <c r="FB15" s="4">
        <v>0.70699999999999996</v>
      </c>
      <c r="FC15" s="4">
        <v>0.38400000000000001</v>
      </c>
      <c r="FD15" s="4">
        <v>0.65300000000000002</v>
      </c>
      <c r="FE15" s="4">
        <v>0.57999999999999996</v>
      </c>
      <c r="FF15" s="4">
        <v>0.441</v>
      </c>
      <c r="FG15" s="4"/>
      <c r="FH15" s="4"/>
      <c r="FI15" s="4"/>
      <c r="FJ15" s="4"/>
      <c r="FK15" s="4"/>
      <c r="FL15" s="4"/>
    </row>
    <row r="16" spans="1:168" x14ac:dyDescent="0.3">
      <c r="A16" t="s">
        <v>5</v>
      </c>
      <c r="B16" s="4">
        <v>9.9000000000000005E-2</v>
      </c>
      <c r="C16" s="4">
        <v>0.113</v>
      </c>
      <c r="D16" s="4">
        <v>0.108</v>
      </c>
      <c r="E16" s="4">
        <v>9.9000000000000005E-2</v>
      </c>
      <c r="F16" s="4">
        <v>8.7999999999999995E-2</v>
      </c>
      <c r="G16" s="4">
        <v>9.2999999999999999E-2</v>
      </c>
      <c r="H16" s="4">
        <v>7.0000000000000007E-2</v>
      </c>
      <c r="I16" s="4">
        <v>8.2000000000000003E-2</v>
      </c>
      <c r="J16" s="4">
        <v>0.121</v>
      </c>
      <c r="K16" s="4">
        <v>7.3999999999999996E-2</v>
      </c>
      <c r="L16" s="4">
        <v>0.109</v>
      </c>
      <c r="M16" s="4">
        <v>8.5999999999999993E-2</v>
      </c>
      <c r="N16" s="4">
        <v>9.0999999999999998E-2</v>
      </c>
      <c r="O16" s="4">
        <v>8.3000000000000004E-2</v>
      </c>
      <c r="P16" s="4">
        <v>7.3999999999999996E-2</v>
      </c>
      <c r="Q16" s="4">
        <v>8.7999999999999995E-2</v>
      </c>
      <c r="R16" s="4">
        <v>0.159</v>
      </c>
      <c r="S16" s="4">
        <v>0.104</v>
      </c>
      <c r="T16" s="4">
        <v>6.7000000000000004E-2</v>
      </c>
      <c r="U16" s="4">
        <v>8.8999999999999996E-2</v>
      </c>
      <c r="V16" s="4">
        <v>8.1000000000000003E-2</v>
      </c>
      <c r="W16" s="4">
        <v>0.10199999999999999</v>
      </c>
      <c r="X16" s="4">
        <v>0.16800000000000001</v>
      </c>
      <c r="Y16" s="4">
        <v>0.111</v>
      </c>
      <c r="Z16" s="4">
        <v>0.10299999999999999</v>
      </c>
      <c r="AA16" s="4">
        <v>0.121</v>
      </c>
      <c r="AB16" s="4">
        <v>0.123</v>
      </c>
      <c r="AC16" s="4">
        <v>0.126</v>
      </c>
      <c r="AD16" s="4">
        <v>0.13500000000000001</v>
      </c>
      <c r="AE16" s="4">
        <v>0.124</v>
      </c>
      <c r="AF16" s="4">
        <v>0.122</v>
      </c>
      <c r="AG16" s="4">
        <v>0.105</v>
      </c>
      <c r="AH16" s="4">
        <v>0.108</v>
      </c>
      <c r="AI16" s="4">
        <v>0.11600000000000001</v>
      </c>
      <c r="AJ16" s="4">
        <v>8.3000000000000004E-2</v>
      </c>
      <c r="AK16" s="4">
        <v>8.1000000000000003E-2</v>
      </c>
      <c r="AL16" s="4">
        <v>8.5999999999999993E-2</v>
      </c>
      <c r="AM16" s="4">
        <v>0.156</v>
      </c>
      <c r="AN16" s="4">
        <v>0.123</v>
      </c>
      <c r="AO16" s="4">
        <v>0.11600000000000001</v>
      </c>
      <c r="AP16" s="4">
        <v>5.8999999999999997E-2</v>
      </c>
      <c r="AQ16" s="10">
        <v>8.1000000000000003E-2</v>
      </c>
      <c r="AR16" s="4">
        <v>6.3E-2</v>
      </c>
      <c r="AS16" s="4">
        <v>0.12</v>
      </c>
      <c r="AT16" s="4">
        <v>0.13300000000000001</v>
      </c>
      <c r="AU16" s="4">
        <v>0.14399999999999999</v>
      </c>
      <c r="AV16" s="10">
        <v>8.6999999999999994E-2</v>
      </c>
      <c r="AW16" s="4">
        <v>0.08</v>
      </c>
      <c r="AX16" s="4">
        <v>9.2999999999999999E-2</v>
      </c>
      <c r="AY16" s="4">
        <v>8.5000000000000006E-2</v>
      </c>
      <c r="AZ16" s="4">
        <v>0.10199999999999999</v>
      </c>
      <c r="BA16" s="4">
        <v>0.184</v>
      </c>
      <c r="BB16" s="4">
        <v>0.14199999999999999</v>
      </c>
      <c r="BC16" s="4">
        <v>0.17899999999999999</v>
      </c>
      <c r="BD16" s="4">
        <v>0.14199999999999999</v>
      </c>
      <c r="BE16" s="4">
        <v>0.121</v>
      </c>
      <c r="BF16" s="4">
        <v>8.1000000000000003E-2</v>
      </c>
      <c r="BG16" s="4">
        <v>9.4E-2</v>
      </c>
      <c r="BH16" s="4">
        <v>6.5000000000000002E-2</v>
      </c>
      <c r="BI16" s="4">
        <v>9.6000000000000002E-2</v>
      </c>
      <c r="BJ16" s="4">
        <v>8.5999999999999993E-2</v>
      </c>
      <c r="BK16" s="4">
        <v>8.5999999999999993E-2</v>
      </c>
      <c r="BL16" s="4">
        <v>0.21199999999999999</v>
      </c>
      <c r="BM16" s="4">
        <v>0.112</v>
      </c>
      <c r="BN16" s="4">
        <v>0.10100000000000001</v>
      </c>
      <c r="BO16" s="4">
        <v>7.8E-2</v>
      </c>
      <c r="BP16" s="4">
        <v>9.5000000000000001E-2</v>
      </c>
      <c r="BQ16" s="4">
        <v>0.125</v>
      </c>
      <c r="BR16" s="4">
        <v>0.11899999999999999</v>
      </c>
      <c r="BS16" s="10">
        <v>0.122</v>
      </c>
      <c r="BT16" s="3">
        <v>0.113</v>
      </c>
      <c r="BU16" s="7">
        <v>0.08</v>
      </c>
      <c r="BV16" s="3">
        <v>0.1</v>
      </c>
      <c r="BW16" s="4">
        <v>7.0999999999999994E-2</v>
      </c>
      <c r="BX16" s="4">
        <v>5.8000000000000003E-2</v>
      </c>
      <c r="BY16" s="3">
        <v>8.5999999999999993E-2</v>
      </c>
      <c r="BZ16" s="4">
        <v>0.111</v>
      </c>
      <c r="CA16" s="4">
        <v>0.10199999999999999</v>
      </c>
      <c r="CB16" s="4">
        <v>9.6000000000000002E-2</v>
      </c>
      <c r="CC16" s="4">
        <v>0.111</v>
      </c>
      <c r="CD16" s="4">
        <v>0.107</v>
      </c>
      <c r="CE16" s="4">
        <v>0.106</v>
      </c>
      <c r="CF16" s="4">
        <v>9.5000000000000001E-2</v>
      </c>
      <c r="CG16" s="4">
        <v>8.3000000000000004E-2</v>
      </c>
      <c r="CH16" s="4">
        <v>0.127</v>
      </c>
      <c r="CI16" s="4">
        <v>0.121</v>
      </c>
      <c r="CJ16" s="4">
        <v>0.08</v>
      </c>
      <c r="CK16" s="4">
        <v>0.112</v>
      </c>
      <c r="CL16" s="4">
        <v>0.129</v>
      </c>
      <c r="CM16" s="4">
        <v>0.113</v>
      </c>
      <c r="CN16" s="4">
        <v>0.14499999999999999</v>
      </c>
      <c r="CO16" s="4">
        <v>9.2999999999999999E-2</v>
      </c>
      <c r="CP16" s="4">
        <v>0.17199999999999999</v>
      </c>
      <c r="CQ16" s="4">
        <v>0.112</v>
      </c>
      <c r="CR16" s="4">
        <v>0.123</v>
      </c>
      <c r="CS16" s="4">
        <v>0.13100000000000001</v>
      </c>
      <c r="CT16" s="4">
        <v>0.17699999999999999</v>
      </c>
      <c r="CU16" s="4">
        <v>0.157</v>
      </c>
      <c r="CV16" s="4">
        <v>0.111</v>
      </c>
      <c r="CW16" s="4">
        <v>9.1999999999999998E-2</v>
      </c>
      <c r="CX16" s="4">
        <v>0.152</v>
      </c>
      <c r="CY16" s="4">
        <v>0.12</v>
      </c>
      <c r="CZ16" s="4">
        <v>0.13300000000000001</v>
      </c>
      <c r="DA16" s="4">
        <v>0.104</v>
      </c>
      <c r="DB16" s="4">
        <v>0.158</v>
      </c>
      <c r="DC16" s="4">
        <v>0.128</v>
      </c>
      <c r="DD16" s="4">
        <v>0.122</v>
      </c>
      <c r="DE16" s="4">
        <v>0.11600000000000001</v>
      </c>
      <c r="DF16" s="4">
        <v>0.11700000000000001</v>
      </c>
      <c r="DG16" s="4">
        <v>0.17</v>
      </c>
      <c r="DH16" s="4">
        <v>0.159</v>
      </c>
      <c r="DI16" s="4">
        <v>0.14499999999999999</v>
      </c>
      <c r="DJ16" s="4">
        <v>0.126</v>
      </c>
      <c r="DK16" s="4">
        <v>0.14899999999999999</v>
      </c>
      <c r="DL16" s="4">
        <v>0.11700000000000001</v>
      </c>
      <c r="DM16" s="4">
        <v>0.13700000000000001</v>
      </c>
      <c r="DN16" s="10">
        <v>0.222</v>
      </c>
      <c r="DO16" s="10">
        <v>0.185</v>
      </c>
      <c r="DP16" s="10">
        <v>0.183</v>
      </c>
      <c r="DQ16" s="10">
        <v>0.16300000000000001</v>
      </c>
      <c r="DR16" s="10">
        <v>0.189</v>
      </c>
      <c r="DS16" s="4">
        <v>0.13500000000000001</v>
      </c>
      <c r="DT16" s="4">
        <v>0.13500000000000001</v>
      </c>
      <c r="DU16" s="4">
        <v>0.11799999999999999</v>
      </c>
      <c r="DV16" s="4">
        <v>9.5000000000000001E-2</v>
      </c>
      <c r="DW16" s="4">
        <v>0.161</v>
      </c>
      <c r="DX16" s="4">
        <v>0.18099999999999999</v>
      </c>
      <c r="DY16" s="4">
        <v>0.25</v>
      </c>
      <c r="DZ16" s="4">
        <v>0.20100000000000001</v>
      </c>
      <c r="EA16" s="4">
        <v>0.14899999999999999</v>
      </c>
      <c r="EB16" s="4">
        <v>0.189</v>
      </c>
      <c r="EC16" s="4">
        <v>0.16500000000000001</v>
      </c>
      <c r="ED16" s="10">
        <v>0.187</v>
      </c>
      <c r="EE16" s="4">
        <v>0.215</v>
      </c>
      <c r="EF16" s="4">
        <v>0.221</v>
      </c>
      <c r="EG16" s="4">
        <v>0.19400000000000001</v>
      </c>
      <c r="EH16" s="4">
        <v>8.2000000000000003E-2</v>
      </c>
      <c r="EI16" s="4">
        <v>8.4000000000000005E-2</v>
      </c>
      <c r="EJ16" s="4">
        <v>7.2999999999999995E-2</v>
      </c>
      <c r="EK16" s="4">
        <v>9.2999999999999999E-2</v>
      </c>
      <c r="EL16" s="4">
        <v>0.10299999999999999</v>
      </c>
      <c r="EM16" s="4">
        <v>9.0999999999999998E-2</v>
      </c>
      <c r="EN16" s="4">
        <v>7.3999999999999996E-2</v>
      </c>
      <c r="EO16" s="4">
        <v>0.11799999999999999</v>
      </c>
      <c r="EP16" s="4">
        <v>9.1999999999999998E-2</v>
      </c>
      <c r="EQ16" s="4">
        <v>0.114</v>
      </c>
      <c r="ER16" s="4">
        <v>0.10199999999999999</v>
      </c>
      <c r="ES16" s="4">
        <v>0.11600000000000001</v>
      </c>
      <c r="ET16" s="4">
        <v>0.106</v>
      </c>
      <c r="EU16" s="4">
        <v>0.11600000000000001</v>
      </c>
      <c r="EV16" s="4">
        <v>0.106</v>
      </c>
      <c r="EW16" s="4">
        <v>9.9000000000000005E-2</v>
      </c>
      <c r="EX16" s="4">
        <v>7.1999999999999995E-2</v>
      </c>
      <c r="EY16" s="4">
        <v>6.6000000000000003E-2</v>
      </c>
      <c r="EZ16" s="4">
        <v>9.5000000000000001E-2</v>
      </c>
      <c r="FA16" s="4">
        <v>9.7000000000000003E-2</v>
      </c>
      <c r="FB16" s="4">
        <v>8.5000000000000006E-2</v>
      </c>
      <c r="FC16" s="4">
        <v>0.10199999999999999</v>
      </c>
      <c r="FD16" s="4">
        <v>8.7999999999999995E-2</v>
      </c>
      <c r="FE16" s="4">
        <v>8.8999999999999996E-2</v>
      </c>
      <c r="FF16" s="4">
        <v>0.11600000000000001</v>
      </c>
      <c r="FG16" s="4"/>
      <c r="FH16" s="4"/>
      <c r="FI16" s="4"/>
      <c r="FJ16" s="4"/>
      <c r="FK16" s="4"/>
      <c r="FL16" s="4"/>
    </row>
    <row r="17" spans="1:168" x14ac:dyDescent="0.3">
      <c r="A17" t="s">
        <v>9</v>
      </c>
      <c r="B17" s="4">
        <v>0.13</v>
      </c>
      <c r="C17" s="4">
        <v>0.14000000000000001</v>
      </c>
      <c r="D17" s="4">
        <v>0.13</v>
      </c>
      <c r="E17" s="4">
        <v>0.14000000000000001</v>
      </c>
      <c r="F17" s="4">
        <v>0.13</v>
      </c>
      <c r="G17" s="4">
        <v>0.13</v>
      </c>
      <c r="H17" s="4">
        <v>0.11</v>
      </c>
      <c r="I17" s="4">
        <v>0.08</v>
      </c>
      <c r="J17" s="4">
        <v>0.14000000000000001</v>
      </c>
      <c r="K17" s="4">
        <v>7.0000000000000007E-2</v>
      </c>
      <c r="L17" s="4">
        <v>0.08</v>
      </c>
      <c r="M17" s="4">
        <v>0.08</v>
      </c>
      <c r="N17" s="4">
        <v>0.09</v>
      </c>
      <c r="O17" s="4">
        <v>7.0000000000000007E-2</v>
      </c>
      <c r="P17" s="4">
        <v>0.05</v>
      </c>
      <c r="Q17" s="4">
        <v>0.04</v>
      </c>
      <c r="R17" s="4">
        <v>0.17</v>
      </c>
      <c r="S17" s="4">
        <v>0.1</v>
      </c>
      <c r="T17" s="4">
        <v>7.0000000000000007E-2</v>
      </c>
      <c r="U17" s="4">
        <v>0.09</v>
      </c>
      <c r="V17" s="4">
        <v>0.12</v>
      </c>
      <c r="W17" s="4">
        <v>0.12</v>
      </c>
      <c r="X17" s="4">
        <v>0.16</v>
      </c>
      <c r="Y17" s="4">
        <v>0.11</v>
      </c>
      <c r="Z17" s="4">
        <v>0.12</v>
      </c>
      <c r="AA17" s="4">
        <v>0.15</v>
      </c>
      <c r="AB17" s="4">
        <v>0.14000000000000001</v>
      </c>
      <c r="AC17" s="4">
        <v>0.15</v>
      </c>
      <c r="AD17" s="4">
        <v>0.14000000000000001</v>
      </c>
      <c r="AE17" s="4">
        <v>0.15</v>
      </c>
      <c r="AF17" s="4">
        <v>0.14000000000000001</v>
      </c>
      <c r="AG17" s="4">
        <v>0.06</v>
      </c>
      <c r="AH17" s="4">
        <v>7.0000000000000007E-2</v>
      </c>
      <c r="AI17" s="4">
        <v>0.05</v>
      </c>
      <c r="AJ17" s="4">
        <v>0.12</v>
      </c>
      <c r="AK17" s="4">
        <v>0.13</v>
      </c>
      <c r="AL17" s="4">
        <v>0.12</v>
      </c>
      <c r="AM17" s="4">
        <v>0.16</v>
      </c>
      <c r="AN17" s="4">
        <v>0.12</v>
      </c>
      <c r="AO17" s="4">
        <v>0.1</v>
      </c>
      <c r="AP17" s="4">
        <v>0.06</v>
      </c>
      <c r="AQ17" s="10">
        <v>7.0000000000000007E-2</v>
      </c>
      <c r="AR17" s="4">
        <v>0.05</v>
      </c>
      <c r="AS17" s="4">
        <v>0.13</v>
      </c>
      <c r="AT17" s="4">
        <v>7.0000000000000007E-2</v>
      </c>
      <c r="AU17" s="4">
        <v>0.11</v>
      </c>
      <c r="AV17" s="10">
        <v>0.1</v>
      </c>
      <c r="AW17" s="4">
        <v>0.09</v>
      </c>
      <c r="AX17" s="4">
        <v>0.08</v>
      </c>
      <c r="AY17" s="4">
        <v>0.1</v>
      </c>
      <c r="AZ17" s="4">
        <v>0.1</v>
      </c>
      <c r="BA17" s="4">
        <v>0.06</v>
      </c>
      <c r="BB17" s="4">
        <v>7.0000000000000007E-2</v>
      </c>
      <c r="BC17" s="4">
        <v>0.14000000000000001</v>
      </c>
      <c r="BD17" s="4">
        <v>0.12</v>
      </c>
      <c r="BE17" s="4">
        <v>0.09</v>
      </c>
      <c r="BF17" s="4">
        <v>0.11</v>
      </c>
      <c r="BG17" s="4">
        <v>0.06</v>
      </c>
      <c r="BH17" s="4">
        <v>0.08</v>
      </c>
      <c r="BI17" s="4">
        <v>0.08</v>
      </c>
      <c r="BJ17" s="4">
        <v>0.13</v>
      </c>
      <c r="BK17" s="4">
        <v>0.1</v>
      </c>
      <c r="BL17" s="4">
        <v>0.14000000000000001</v>
      </c>
      <c r="BM17" s="4">
        <v>0.16</v>
      </c>
      <c r="BN17" s="4">
        <v>0.12</v>
      </c>
      <c r="BO17" s="4">
        <v>0.13</v>
      </c>
      <c r="BP17" s="4">
        <v>0.1</v>
      </c>
      <c r="BQ17" s="4">
        <v>0.12</v>
      </c>
      <c r="BR17" s="4">
        <v>0.13</v>
      </c>
      <c r="BS17" s="10">
        <v>0.15</v>
      </c>
      <c r="BT17" s="3">
        <v>0.08</v>
      </c>
      <c r="BU17" s="7">
        <v>0.08</v>
      </c>
      <c r="BV17" s="3">
        <v>0.1</v>
      </c>
      <c r="BW17" s="4">
        <v>0.06</v>
      </c>
      <c r="BX17" s="4">
        <v>0.08</v>
      </c>
      <c r="BY17" s="3">
        <v>7.0000000000000007E-2</v>
      </c>
      <c r="BZ17" s="4">
        <v>0.15</v>
      </c>
      <c r="CA17" s="4">
        <v>0.12</v>
      </c>
      <c r="CB17" s="4">
        <v>0.12</v>
      </c>
      <c r="CC17" s="4">
        <v>0.15</v>
      </c>
      <c r="CD17" s="4">
        <v>0.13</v>
      </c>
      <c r="CE17" s="4">
        <v>0.11</v>
      </c>
      <c r="CF17" s="4">
        <v>0.13</v>
      </c>
      <c r="CG17" s="4">
        <v>0.11</v>
      </c>
      <c r="CH17" s="4">
        <v>0.15</v>
      </c>
      <c r="CI17" s="4">
        <v>0.16</v>
      </c>
      <c r="CJ17" s="4">
        <v>0.09</v>
      </c>
      <c r="CK17" s="4">
        <v>0.13</v>
      </c>
      <c r="CL17" s="4">
        <v>0.15</v>
      </c>
      <c r="CM17" s="4">
        <v>0.14000000000000001</v>
      </c>
      <c r="CN17" s="4">
        <v>0.18</v>
      </c>
      <c r="CO17" s="4">
        <v>0.14000000000000001</v>
      </c>
      <c r="CP17" s="4">
        <v>0.17</v>
      </c>
      <c r="CQ17" s="4">
        <v>0.12</v>
      </c>
      <c r="CR17" s="4">
        <v>0.16</v>
      </c>
      <c r="CS17" s="4">
        <v>0.14000000000000001</v>
      </c>
      <c r="CT17" s="4">
        <v>0.17</v>
      </c>
      <c r="CU17" s="4">
        <v>0.15</v>
      </c>
      <c r="CV17" s="4">
        <v>0.1</v>
      </c>
      <c r="CW17" s="4">
        <v>0.1</v>
      </c>
      <c r="CX17" s="4">
        <v>0.13</v>
      </c>
      <c r="CY17" s="4">
        <v>0.09</v>
      </c>
      <c r="CZ17" s="4">
        <v>0.09</v>
      </c>
      <c r="DA17" s="4">
        <v>0.06</v>
      </c>
      <c r="DB17" s="4">
        <v>0.12</v>
      </c>
      <c r="DC17" s="4">
        <v>0.11</v>
      </c>
      <c r="DD17" s="4">
        <v>0.11</v>
      </c>
      <c r="DE17" s="4">
        <v>0.11</v>
      </c>
      <c r="DF17" s="4">
        <v>0.11</v>
      </c>
      <c r="DG17" s="4">
        <v>0.15</v>
      </c>
      <c r="DH17" s="4">
        <v>0.14000000000000001</v>
      </c>
      <c r="DI17" s="4">
        <v>0.09</v>
      </c>
      <c r="DJ17" s="4">
        <v>0.08</v>
      </c>
      <c r="DK17" s="4">
        <v>0.09</v>
      </c>
      <c r="DL17" s="4">
        <v>0.08</v>
      </c>
      <c r="DM17" s="4">
        <v>0.09</v>
      </c>
      <c r="DN17" s="10">
        <v>0.11</v>
      </c>
      <c r="DO17" s="10">
        <v>0.09</v>
      </c>
      <c r="DP17" s="10">
        <v>7.0000000000000007E-2</v>
      </c>
      <c r="DQ17" s="10">
        <v>0.1</v>
      </c>
      <c r="DR17" s="10">
        <v>7.0000000000000007E-2</v>
      </c>
      <c r="DS17" s="4">
        <v>0.12</v>
      </c>
      <c r="DT17" s="4">
        <v>0.13</v>
      </c>
      <c r="DU17" s="4">
        <v>0.12</v>
      </c>
      <c r="DV17" s="4">
        <v>0.08</v>
      </c>
      <c r="DW17" s="4">
        <v>0.1</v>
      </c>
      <c r="DX17" s="4">
        <v>0.16</v>
      </c>
      <c r="DY17" s="4">
        <v>0.17</v>
      </c>
      <c r="DZ17" s="4">
        <v>0.11</v>
      </c>
      <c r="EA17" s="4">
        <v>0.08</v>
      </c>
      <c r="EB17" s="4">
        <v>0.14000000000000001</v>
      </c>
      <c r="EC17" s="4">
        <v>0.12</v>
      </c>
      <c r="ED17" s="10">
        <v>0.12</v>
      </c>
      <c r="EE17" s="4">
        <v>0.13</v>
      </c>
      <c r="EF17" s="4">
        <v>0.15</v>
      </c>
      <c r="EG17" s="4">
        <v>0.14000000000000001</v>
      </c>
      <c r="EH17" s="4">
        <v>7.0000000000000007E-2</v>
      </c>
      <c r="EI17" s="4">
        <v>7.0000000000000007E-2</v>
      </c>
      <c r="EJ17" s="4">
        <v>0.05</v>
      </c>
      <c r="EK17" s="4">
        <v>0.08</v>
      </c>
      <c r="EL17" s="4">
        <v>0.08</v>
      </c>
      <c r="EM17" s="4">
        <v>7.0000000000000007E-2</v>
      </c>
      <c r="EN17" s="4">
        <v>0.06</v>
      </c>
      <c r="EO17" s="4">
        <v>0.12</v>
      </c>
      <c r="EP17" s="4">
        <v>0.09</v>
      </c>
      <c r="EQ17" s="4">
        <v>0.09</v>
      </c>
      <c r="ER17" s="4">
        <v>0.09</v>
      </c>
      <c r="ES17" s="4">
        <v>0.13</v>
      </c>
      <c r="ET17" s="4">
        <v>0.12</v>
      </c>
      <c r="EU17" s="4">
        <v>0.04</v>
      </c>
      <c r="EV17" s="4">
        <v>0.06</v>
      </c>
      <c r="EW17" s="4">
        <v>7.0000000000000007E-2</v>
      </c>
      <c r="EX17" s="4">
        <v>0.06</v>
      </c>
      <c r="EY17" s="4">
        <v>0.04</v>
      </c>
      <c r="EZ17" s="4">
        <v>7.0000000000000007E-2</v>
      </c>
      <c r="FA17" s="4">
        <v>0.08</v>
      </c>
      <c r="FB17" s="4">
        <v>0.08</v>
      </c>
      <c r="FC17" s="4">
        <v>0.11</v>
      </c>
      <c r="FD17" s="4">
        <v>0.08</v>
      </c>
      <c r="FE17" s="4">
        <v>0.08</v>
      </c>
      <c r="FF17" s="4">
        <v>0.12</v>
      </c>
      <c r="FG17" s="4"/>
      <c r="FH17" s="4"/>
      <c r="FI17" s="4"/>
      <c r="FJ17" s="4"/>
      <c r="FK17" s="4"/>
      <c r="FL17" s="4"/>
    </row>
    <row r="18" spans="1:168" x14ac:dyDescent="0.3">
      <c r="A18" t="s">
        <v>2</v>
      </c>
      <c r="B18" s="4">
        <v>0.15</v>
      </c>
      <c r="C18" s="4">
        <v>0.21</v>
      </c>
      <c r="D18" s="4">
        <v>0.19</v>
      </c>
      <c r="E18" s="8">
        <v>0.19</v>
      </c>
      <c r="F18" s="8">
        <v>0.16</v>
      </c>
      <c r="G18" s="4">
        <v>0.16</v>
      </c>
      <c r="H18" s="4">
        <v>0.09</v>
      </c>
      <c r="I18" s="4">
        <v>0.25</v>
      </c>
      <c r="J18" s="4">
        <v>0.23</v>
      </c>
      <c r="K18" s="4">
        <v>0.35</v>
      </c>
      <c r="L18" s="4">
        <v>0.45</v>
      </c>
      <c r="M18" s="4">
        <v>0.24</v>
      </c>
      <c r="N18" s="4">
        <v>0.38</v>
      </c>
      <c r="O18" s="4">
        <v>0.26</v>
      </c>
      <c r="P18" s="4">
        <v>0.5</v>
      </c>
      <c r="Q18" s="4">
        <v>0.61</v>
      </c>
      <c r="R18" s="4">
        <v>0.2</v>
      </c>
      <c r="S18" s="4">
        <v>0.27</v>
      </c>
      <c r="T18" s="4">
        <v>0.19</v>
      </c>
      <c r="U18" s="4">
        <v>0.28999999999999998</v>
      </c>
      <c r="V18" s="4">
        <v>0.13</v>
      </c>
      <c r="W18" s="4">
        <v>0.21</v>
      </c>
      <c r="X18" s="4">
        <v>0.36</v>
      </c>
      <c r="Y18" s="4">
        <v>0.19</v>
      </c>
      <c r="Z18" s="4">
        <v>0.2</v>
      </c>
      <c r="AA18" s="4">
        <v>0.22</v>
      </c>
      <c r="AB18" s="8">
        <v>0.17</v>
      </c>
      <c r="AC18" s="4">
        <v>0.23</v>
      </c>
      <c r="AD18" s="4">
        <v>0.3</v>
      </c>
      <c r="AE18" s="4">
        <v>0.2</v>
      </c>
      <c r="AF18" s="8">
        <v>0.2</v>
      </c>
      <c r="AG18" s="4">
        <v>0.59</v>
      </c>
      <c r="AH18" s="4">
        <v>0.56000000000000005</v>
      </c>
      <c r="AI18" s="4">
        <v>0.76</v>
      </c>
      <c r="AJ18" s="4">
        <v>0.19</v>
      </c>
      <c r="AK18" s="8">
        <v>0.19</v>
      </c>
      <c r="AL18" s="4">
        <v>0.16</v>
      </c>
      <c r="AM18" s="8">
        <v>0.4</v>
      </c>
      <c r="AN18" s="4">
        <v>0.39</v>
      </c>
      <c r="AO18" s="4">
        <v>0.48</v>
      </c>
      <c r="AP18" s="4">
        <v>0.46</v>
      </c>
      <c r="AQ18" s="10">
        <v>0.44</v>
      </c>
      <c r="AR18" s="4">
        <v>0.4</v>
      </c>
      <c r="AS18" s="4">
        <v>0.31</v>
      </c>
      <c r="AT18" s="4">
        <v>0.59</v>
      </c>
      <c r="AU18" s="4">
        <v>0.38</v>
      </c>
      <c r="AV18" s="10">
        <v>0.26</v>
      </c>
      <c r="AW18" s="4">
        <v>0.26</v>
      </c>
      <c r="AX18" s="4">
        <v>0.26</v>
      </c>
      <c r="AY18" s="8">
        <v>0.32</v>
      </c>
      <c r="AZ18" s="4">
        <v>0.41</v>
      </c>
      <c r="BA18" s="4">
        <v>0.69</v>
      </c>
      <c r="BB18" s="4">
        <v>0.42</v>
      </c>
      <c r="BC18" s="4">
        <v>0.21</v>
      </c>
      <c r="BD18" s="4">
        <v>0.15</v>
      </c>
      <c r="BE18" s="4">
        <v>0.41</v>
      </c>
      <c r="BF18" s="4">
        <v>0.13</v>
      </c>
      <c r="BG18" s="4">
        <v>0.53</v>
      </c>
      <c r="BH18" s="4">
        <v>0.26</v>
      </c>
      <c r="BI18" s="4">
        <v>0.37</v>
      </c>
      <c r="BJ18" s="8">
        <v>0.12</v>
      </c>
      <c r="BK18" s="8">
        <v>0.23</v>
      </c>
      <c r="BL18" s="8">
        <v>0.41</v>
      </c>
      <c r="BM18" s="8">
        <v>0.15</v>
      </c>
      <c r="BN18" s="10">
        <v>0.2</v>
      </c>
      <c r="BO18" s="10">
        <v>0.11</v>
      </c>
      <c r="BP18" s="10">
        <v>0.16</v>
      </c>
      <c r="BQ18" s="10">
        <v>0.27</v>
      </c>
      <c r="BR18" s="10">
        <v>0.25</v>
      </c>
      <c r="BS18" s="10">
        <v>0.23</v>
      </c>
      <c r="BT18" s="3">
        <v>0.4</v>
      </c>
      <c r="BU18" s="9">
        <v>0.43</v>
      </c>
      <c r="BV18" s="3">
        <v>0.52</v>
      </c>
      <c r="BW18" s="4">
        <v>0.37</v>
      </c>
      <c r="BX18" s="4">
        <v>0.37</v>
      </c>
      <c r="BY18" s="9">
        <v>0.4</v>
      </c>
      <c r="BZ18" s="4">
        <v>0.19</v>
      </c>
      <c r="CA18" s="4">
        <v>0.17</v>
      </c>
      <c r="CB18" s="4">
        <v>0.15</v>
      </c>
      <c r="CC18" s="4">
        <v>0.2</v>
      </c>
      <c r="CD18" s="4">
        <v>0.18</v>
      </c>
      <c r="CE18" s="4">
        <v>0.22</v>
      </c>
      <c r="CF18" s="4">
        <v>0.16</v>
      </c>
      <c r="CG18" s="4">
        <v>0.17</v>
      </c>
      <c r="CH18" s="4">
        <v>0.24</v>
      </c>
      <c r="CI18" s="4">
        <v>0.23</v>
      </c>
      <c r="CJ18" s="4">
        <v>0.13</v>
      </c>
      <c r="CK18" s="4">
        <v>0.24</v>
      </c>
      <c r="CL18" s="4">
        <v>0.25</v>
      </c>
      <c r="CM18" s="4">
        <v>0.2</v>
      </c>
      <c r="CN18" s="4">
        <v>0.31</v>
      </c>
      <c r="CO18" s="8">
        <v>0.26</v>
      </c>
      <c r="CP18" s="4">
        <v>0.25</v>
      </c>
      <c r="CQ18" s="4">
        <v>0.22</v>
      </c>
      <c r="CR18" s="4">
        <v>0.3</v>
      </c>
      <c r="CS18" s="8">
        <v>0.3</v>
      </c>
      <c r="CT18" s="4">
        <v>0.26</v>
      </c>
      <c r="CU18" s="4">
        <v>0.28999999999999998</v>
      </c>
      <c r="CV18" s="4">
        <v>0.28000000000000003</v>
      </c>
      <c r="CW18" s="4">
        <v>0.18</v>
      </c>
      <c r="CX18" s="4">
        <v>0.28000000000000003</v>
      </c>
      <c r="CY18" s="4">
        <v>0.46</v>
      </c>
      <c r="CZ18" s="4">
        <v>0.49</v>
      </c>
      <c r="DA18" s="4">
        <v>0.54</v>
      </c>
      <c r="DB18" s="4">
        <v>0.4</v>
      </c>
      <c r="DC18" s="4">
        <v>0.25</v>
      </c>
      <c r="DD18" s="4">
        <v>0.26</v>
      </c>
      <c r="DE18" s="4">
        <v>0.21</v>
      </c>
      <c r="DF18" s="4">
        <v>0.22</v>
      </c>
      <c r="DG18" s="4">
        <v>0.33</v>
      </c>
      <c r="DH18" s="4">
        <v>0.28999999999999998</v>
      </c>
      <c r="DI18" s="4">
        <v>0.38</v>
      </c>
      <c r="DJ18" s="4">
        <v>0.48</v>
      </c>
      <c r="DK18" s="4">
        <v>0.46</v>
      </c>
      <c r="DL18" s="4">
        <v>0.41</v>
      </c>
      <c r="DM18" s="4">
        <v>0.45</v>
      </c>
      <c r="DN18" s="10">
        <v>0.51</v>
      </c>
      <c r="DO18" s="10">
        <v>0.56999999999999995</v>
      </c>
      <c r="DP18" s="10">
        <v>0.55000000000000004</v>
      </c>
      <c r="DQ18" s="10">
        <v>0.52</v>
      </c>
      <c r="DR18" s="10">
        <v>0.52</v>
      </c>
      <c r="DS18" s="4">
        <v>0.41</v>
      </c>
      <c r="DT18" s="4">
        <v>0.36</v>
      </c>
      <c r="DU18" s="4">
        <v>0.21</v>
      </c>
      <c r="DV18" s="4">
        <v>0.45</v>
      </c>
      <c r="DW18" s="4">
        <v>0.48</v>
      </c>
      <c r="DX18" s="4">
        <v>0.46</v>
      </c>
      <c r="DY18" s="4">
        <v>0.69</v>
      </c>
      <c r="DZ18" s="4">
        <v>0.69</v>
      </c>
      <c r="EA18" s="4">
        <v>0.66</v>
      </c>
      <c r="EB18" s="4">
        <v>0.61</v>
      </c>
      <c r="EC18" s="8">
        <v>0.59</v>
      </c>
      <c r="ED18" s="10">
        <v>0.67</v>
      </c>
      <c r="EE18" s="4">
        <v>0.68</v>
      </c>
      <c r="EF18" s="4">
        <v>0.46</v>
      </c>
      <c r="EG18" s="4">
        <v>0.44</v>
      </c>
      <c r="EH18" s="4">
        <v>0.33</v>
      </c>
      <c r="EI18" s="4">
        <v>0.33</v>
      </c>
      <c r="EJ18" s="4">
        <v>0.34</v>
      </c>
      <c r="EK18" s="4">
        <v>0.27</v>
      </c>
      <c r="EL18" s="4">
        <v>0.42</v>
      </c>
      <c r="EM18" s="4">
        <v>0.35</v>
      </c>
      <c r="EN18" s="4">
        <v>0.33</v>
      </c>
      <c r="EO18" s="4">
        <v>0.32</v>
      </c>
      <c r="EP18" s="4">
        <v>0.33</v>
      </c>
      <c r="EQ18" s="4">
        <v>0.35</v>
      </c>
      <c r="ER18" s="4">
        <v>0.43</v>
      </c>
      <c r="ES18" s="4">
        <v>0.23</v>
      </c>
      <c r="ET18" s="4">
        <v>0.3</v>
      </c>
      <c r="EU18" s="4">
        <v>0.72</v>
      </c>
      <c r="EV18" s="4">
        <v>0.52</v>
      </c>
      <c r="EW18" s="4">
        <v>0.43</v>
      </c>
      <c r="EX18" s="8">
        <v>0.66</v>
      </c>
      <c r="EY18" s="8">
        <v>0.73</v>
      </c>
      <c r="EZ18" s="4">
        <v>0.36</v>
      </c>
      <c r="FA18" s="4">
        <v>0.34</v>
      </c>
      <c r="FB18" s="4">
        <v>0.3</v>
      </c>
      <c r="FC18" s="4">
        <v>0.19</v>
      </c>
      <c r="FD18" s="4">
        <v>0.32</v>
      </c>
      <c r="FE18" s="4">
        <v>0.26</v>
      </c>
      <c r="FF18" s="4">
        <v>0.22</v>
      </c>
      <c r="FG18" s="4"/>
      <c r="FH18" s="4"/>
      <c r="FI18" s="4"/>
      <c r="FJ18" s="4"/>
      <c r="FK18" s="4"/>
      <c r="FL18" s="4"/>
    </row>
    <row r="19" spans="1:168" x14ac:dyDescent="0.3">
      <c r="A19" t="s">
        <v>4</v>
      </c>
      <c r="B19" s="4">
        <v>0.20100000000000001</v>
      </c>
      <c r="C19" s="4">
        <v>0.28799999999999998</v>
      </c>
      <c r="D19" s="4">
        <v>0.25700000000000001</v>
      </c>
      <c r="E19" s="8">
        <v>8.1000000000000003E-2</v>
      </c>
      <c r="F19" s="8">
        <v>6.7000000000000004E-2</v>
      </c>
      <c r="G19" s="4">
        <v>0.20200000000000001</v>
      </c>
      <c r="H19" s="4">
        <v>0.125</v>
      </c>
      <c r="I19" s="4">
        <v>0.55200000000000005</v>
      </c>
      <c r="J19" s="4">
        <v>0.28399999999999997</v>
      </c>
      <c r="K19" s="4">
        <v>0.64400000000000002</v>
      </c>
      <c r="L19" s="4">
        <v>0.63500000000000001</v>
      </c>
      <c r="M19" s="4">
        <v>0.61099999999999999</v>
      </c>
      <c r="N19" s="4">
        <v>0.47599999999999998</v>
      </c>
      <c r="O19" s="4">
        <v>0.64400000000000002</v>
      </c>
      <c r="P19" s="4">
        <v>0.80600000000000005</v>
      </c>
      <c r="Q19" s="4">
        <v>0.85799999999999998</v>
      </c>
      <c r="R19" s="4">
        <v>0.248</v>
      </c>
      <c r="S19" s="4">
        <v>0.55300000000000005</v>
      </c>
      <c r="T19" s="4">
        <v>0.66800000000000004</v>
      </c>
      <c r="U19" s="4">
        <v>0.625</v>
      </c>
      <c r="V19" s="4">
        <v>0.17</v>
      </c>
      <c r="W19" s="4">
        <v>0.36799999999999999</v>
      </c>
      <c r="X19" s="4">
        <v>0.45700000000000002</v>
      </c>
      <c r="Y19" s="4">
        <v>0.42299999999999999</v>
      </c>
      <c r="Z19" s="4">
        <v>0.41699999999999998</v>
      </c>
      <c r="AA19" s="4">
        <v>0.24</v>
      </c>
      <c r="AB19" s="8">
        <v>0.26</v>
      </c>
      <c r="AC19" s="4">
        <v>0.33700000000000002</v>
      </c>
      <c r="AD19" s="4">
        <v>0.46800000000000003</v>
      </c>
      <c r="AE19" s="4">
        <v>0.33200000000000002</v>
      </c>
      <c r="AF19" s="8">
        <v>0.36099999999999999</v>
      </c>
      <c r="AG19" s="4">
        <v>0.81899999999999995</v>
      </c>
      <c r="AH19" s="4">
        <v>0.76300000000000001</v>
      </c>
      <c r="AI19" s="4">
        <v>0.83299999999999996</v>
      </c>
      <c r="AJ19" s="4">
        <v>0.29299999999999998</v>
      </c>
      <c r="AK19" s="8">
        <v>8.5999999999999993E-2</v>
      </c>
      <c r="AL19" s="4">
        <v>0.24</v>
      </c>
      <c r="AM19" s="8">
        <v>0.21199999999999999</v>
      </c>
      <c r="AN19" s="4">
        <v>0.49299999999999999</v>
      </c>
      <c r="AO19" s="4">
        <v>0.64200000000000002</v>
      </c>
      <c r="AP19" s="4">
        <v>0.76400000000000001</v>
      </c>
      <c r="AQ19" s="10">
        <v>0.58599999999999997</v>
      </c>
      <c r="AR19" s="4">
        <v>0.79700000000000004</v>
      </c>
      <c r="AS19" s="4">
        <v>0.54700000000000004</v>
      </c>
      <c r="AT19" s="4">
        <v>0.84899999999999998</v>
      </c>
      <c r="AU19" s="4">
        <v>0.44700000000000001</v>
      </c>
      <c r="AV19" s="10">
        <v>0.499</v>
      </c>
      <c r="AW19" s="4">
        <v>0.60099999999999998</v>
      </c>
      <c r="AX19" s="4">
        <v>0.56499999999999995</v>
      </c>
      <c r="AY19" s="8">
        <v>0.32</v>
      </c>
      <c r="AZ19" s="4">
        <v>0.55900000000000005</v>
      </c>
      <c r="BA19" s="4">
        <v>0.77</v>
      </c>
      <c r="BB19" s="4">
        <v>0.74199999999999999</v>
      </c>
      <c r="BC19" s="4">
        <v>0.26500000000000001</v>
      </c>
      <c r="BD19" s="4">
        <v>0.21</v>
      </c>
      <c r="BE19" s="4">
        <v>0.77</v>
      </c>
      <c r="BF19" s="4">
        <v>0.222</v>
      </c>
      <c r="BG19" s="4">
        <v>0.873</v>
      </c>
      <c r="BH19" s="4">
        <v>0.13500000000000001</v>
      </c>
      <c r="BI19" s="4">
        <v>0.67200000000000004</v>
      </c>
      <c r="BJ19" s="8">
        <v>0.27800000000000002</v>
      </c>
      <c r="BK19" s="8">
        <v>0.378</v>
      </c>
      <c r="BL19" s="8">
        <v>0.49199999999999999</v>
      </c>
      <c r="BM19" s="8">
        <v>7.0000000000000007E-2</v>
      </c>
      <c r="BN19" s="10">
        <v>0.247</v>
      </c>
      <c r="BO19" s="10">
        <v>0.129</v>
      </c>
      <c r="BP19" s="10">
        <v>0.36499999999999999</v>
      </c>
      <c r="BQ19" s="10">
        <v>0.47899999999999998</v>
      </c>
      <c r="BR19" s="10">
        <v>0.41099999999999998</v>
      </c>
      <c r="BS19" s="10">
        <v>0.318</v>
      </c>
      <c r="BT19" s="3">
        <v>0.64600000000000002</v>
      </c>
      <c r="BU19" s="9">
        <v>0.186</v>
      </c>
      <c r="BV19" s="3">
        <v>0.81399999999999995</v>
      </c>
      <c r="BW19" s="4">
        <v>0.77600000000000002</v>
      </c>
      <c r="BX19" s="4">
        <v>0.67600000000000005</v>
      </c>
      <c r="BY19" s="9">
        <v>0.66800000000000004</v>
      </c>
      <c r="BZ19" s="4">
        <v>0.216</v>
      </c>
      <c r="CA19" s="4">
        <v>0.32700000000000001</v>
      </c>
      <c r="CB19" s="4">
        <v>0.29699999999999999</v>
      </c>
      <c r="CC19" s="4">
        <v>0.28100000000000003</v>
      </c>
      <c r="CD19" s="4">
        <v>0.26400000000000001</v>
      </c>
      <c r="CE19" s="4">
        <v>0.36499999999999999</v>
      </c>
      <c r="CF19" s="4">
        <v>0.308</v>
      </c>
      <c r="CG19" s="4">
        <v>0.36399999999999999</v>
      </c>
      <c r="CH19" s="4">
        <v>0.308</v>
      </c>
      <c r="CI19" s="4">
        <v>0.30499999999999999</v>
      </c>
      <c r="CJ19" s="4">
        <v>0.34899999999999998</v>
      </c>
      <c r="CK19" s="4">
        <v>0.33600000000000002</v>
      </c>
      <c r="CL19" s="4">
        <v>0.32300000000000001</v>
      </c>
      <c r="CM19" s="4">
        <v>0.31</v>
      </c>
      <c r="CN19" s="4">
        <v>0.318</v>
      </c>
      <c r="CO19" s="8">
        <v>0.20599999999999999</v>
      </c>
      <c r="CP19" s="4">
        <v>0.27900000000000003</v>
      </c>
      <c r="CQ19" s="4">
        <v>0.40899999999999997</v>
      </c>
      <c r="CR19" s="4">
        <v>0.34200000000000003</v>
      </c>
      <c r="CS19" s="8">
        <v>8.2000000000000003E-2</v>
      </c>
      <c r="CT19" s="4">
        <v>0.27</v>
      </c>
      <c r="CU19" s="4">
        <v>0.38300000000000001</v>
      </c>
      <c r="CV19" s="4">
        <v>0.46899999999999997</v>
      </c>
      <c r="CW19" s="4">
        <v>0.35799999999999998</v>
      </c>
      <c r="CX19" s="4">
        <v>0.41199999999999998</v>
      </c>
      <c r="CY19" s="4">
        <v>0.74199999999999999</v>
      </c>
      <c r="CZ19" s="4">
        <v>0.78700000000000003</v>
      </c>
      <c r="DA19" s="4">
        <v>0.875</v>
      </c>
      <c r="DB19" s="4">
        <v>0.67500000000000004</v>
      </c>
      <c r="DC19" s="4">
        <v>0.52200000000000002</v>
      </c>
      <c r="DD19" s="4">
        <v>0.50700000000000001</v>
      </c>
      <c r="DE19" s="4">
        <v>0.52700000000000002</v>
      </c>
      <c r="DF19" s="4">
        <v>0.438</v>
      </c>
      <c r="DG19" s="4">
        <v>0.625</v>
      </c>
      <c r="DH19" s="4">
        <v>0.61699999999999999</v>
      </c>
      <c r="DI19" s="4">
        <v>0.67900000000000005</v>
      </c>
      <c r="DJ19" s="4">
        <v>0.76</v>
      </c>
      <c r="DK19" s="4">
        <v>0.70799999999999996</v>
      </c>
      <c r="DL19" s="4">
        <v>0.629</v>
      </c>
      <c r="DM19" s="4">
        <v>0.68400000000000005</v>
      </c>
      <c r="DN19" s="10">
        <v>0.68500000000000005</v>
      </c>
      <c r="DO19" s="10">
        <v>0.83</v>
      </c>
      <c r="DP19" s="10">
        <v>0.88300000000000001</v>
      </c>
      <c r="DQ19" s="10">
        <v>0.80300000000000005</v>
      </c>
      <c r="DR19" s="10">
        <v>0.73799999999999999</v>
      </c>
      <c r="DS19" s="4">
        <v>0.69599999999999995</v>
      </c>
      <c r="DT19" s="4">
        <v>0.65300000000000002</v>
      </c>
      <c r="DU19" s="4">
        <v>0.47599999999999998</v>
      </c>
      <c r="DV19" s="4">
        <v>0.84099999999999997</v>
      </c>
      <c r="DW19" s="4">
        <v>0.69199999999999995</v>
      </c>
      <c r="DX19" s="4">
        <v>0.67800000000000005</v>
      </c>
      <c r="DY19" s="4">
        <v>0.61799999999999999</v>
      </c>
      <c r="DZ19" s="4">
        <v>0.71699999999999997</v>
      </c>
      <c r="EA19" s="4">
        <v>0.79100000000000004</v>
      </c>
      <c r="EB19" s="4">
        <v>0.67800000000000005</v>
      </c>
      <c r="EC19" s="8">
        <v>0.622</v>
      </c>
      <c r="ED19" s="10">
        <v>0.71099999999999997</v>
      </c>
      <c r="EE19" s="4">
        <v>0.64600000000000002</v>
      </c>
      <c r="EF19" s="4">
        <v>0.46</v>
      </c>
      <c r="EG19" s="4">
        <v>0.47299999999999998</v>
      </c>
      <c r="EH19" s="4">
        <v>0.69499999999999995</v>
      </c>
      <c r="EI19" s="4">
        <v>0.67800000000000005</v>
      </c>
      <c r="EJ19" s="4">
        <v>0.77900000000000003</v>
      </c>
      <c r="EK19" s="4">
        <v>0.60399999999999998</v>
      </c>
      <c r="EL19" s="4">
        <v>0.69699999999999995</v>
      </c>
      <c r="EM19" s="4">
        <v>0.70199999999999996</v>
      </c>
      <c r="EN19" s="4">
        <v>0.75700000000000001</v>
      </c>
      <c r="EO19" s="4">
        <v>0.47399999999999998</v>
      </c>
      <c r="EP19" s="4">
        <v>0.63600000000000001</v>
      </c>
      <c r="EQ19" s="4">
        <v>0.56899999999999995</v>
      </c>
      <c r="ER19" s="4">
        <v>0.63200000000000001</v>
      </c>
      <c r="ES19" s="4">
        <v>0.32200000000000001</v>
      </c>
      <c r="ET19" s="4">
        <v>0.47</v>
      </c>
      <c r="EU19" s="4">
        <v>0.872</v>
      </c>
      <c r="EV19" s="4">
        <v>0.875</v>
      </c>
      <c r="EW19" s="4">
        <v>0.74299999999999999</v>
      </c>
      <c r="EX19" s="8">
        <v>0.36599999999999999</v>
      </c>
      <c r="EY19" s="8">
        <v>0.41799999999999998</v>
      </c>
      <c r="EZ19" s="4">
        <v>0.68600000000000005</v>
      </c>
      <c r="FA19" s="4">
        <v>0.65300000000000002</v>
      </c>
      <c r="FB19" s="4">
        <v>0.67300000000000004</v>
      </c>
      <c r="FC19" s="4">
        <v>0.315</v>
      </c>
      <c r="FD19" s="4">
        <v>0.61</v>
      </c>
      <c r="FE19" s="4">
        <v>0.51800000000000002</v>
      </c>
      <c r="FF19" s="4">
        <v>0.41</v>
      </c>
      <c r="FG19" s="4"/>
      <c r="FH19" s="4"/>
      <c r="FI19" s="4"/>
      <c r="FJ19" s="4"/>
      <c r="FK19" s="4"/>
      <c r="FL19" s="4"/>
    </row>
    <row r="20" spans="1:168" x14ac:dyDescent="0.3">
      <c r="A20" t="s">
        <v>6</v>
      </c>
      <c r="B20" s="4">
        <v>0.121</v>
      </c>
      <c r="C20" s="4">
        <v>0.13400000000000001</v>
      </c>
      <c r="D20" s="4">
        <v>0.129</v>
      </c>
      <c r="E20" s="8">
        <v>0.20599999999999999</v>
      </c>
      <c r="F20" s="8">
        <v>0.19500000000000001</v>
      </c>
      <c r="G20" s="4">
        <v>0.122</v>
      </c>
      <c r="H20" s="4">
        <v>9.2999999999999999E-2</v>
      </c>
      <c r="I20" s="4">
        <v>0.104</v>
      </c>
      <c r="J20" s="4">
        <v>0.14000000000000001</v>
      </c>
      <c r="K20" s="4">
        <v>0.127</v>
      </c>
      <c r="L20" s="4">
        <v>0.16300000000000001</v>
      </c>
      <c r="M20" s="4">
        <v>0.108</v>
      </c>
      <c r="N20" s="4">
        <v>0.13300000000000001</v>
      </c>
      <c r="O20" s="4">
        <v>0.108</v>
      </c>
      <c r="P20" s="4">
        <v>0.114</v>
      </c>
      <c r="Q20" s="4">
        <v>0.113</v>
      </c>
      <c r="R20" s="4">
        <v>0.185</v>
      </c>
      <c r="S20" s="4">
        <v>0.115</v>
      </c>
      <c r="T20" s="4">
        <v>9.0999999999999998E-2</v>
      </c>
      <c r="U20" s="4">
        <v>0.104</v>
      </c>
      <c r="V20" s="4">
        <v>0.115</v>
      </c>
      <c r="W20" s="4">
        <v>0.124</v>
      </c>
      <c r="X20" s="4">
        <v>0.19600000000000001</v>
      </c>
      <c r="Y20" s="4">
        <v>0.13500000000000001</v>
      </c>
      <c r="Z20" s="4">
        <v>0.11899999999999999</v>
      </c>
      <c r="AA20" s="4">
        <v>0.19700000000000001</v>
      </c>
      <c r="AB20" s="8">
        <v>0.159</v>
      </c>
      <c r="AC20" s="4">
        <v>0.17299999999999999</v>
      </c>
      <c r="AD20" s="4">
        <v>0.16600000000000001</v>
      </c>
      <c r="AE20" s="4">
        <v>0.161</v>
      </c>
      <c r="AF20" s="8">
        <v>0.153</v>
      </c>
      <c r="AG20" s="4">
        <v>0.129</v>
      </c>
      <c r="AH20" s="4">
        <v>0.14299999999999999</v>
      </c>
      <c r="AI20" s="4">
        <v>0.159</v>
      </c>
      <c r="AJ20" s="4">
        <v>0.112</v>
      </c>
      <c r="AK20" s="8">
        <v>0.20799999999999999</v>
      </c>
      <c r="AL20" s="4">
        <v>0.11799999999999999</v>
      </c>
      <c r="AM20" s="8">
        <v>0.25700000000000001</v>
      </c>
      <c r="AN20" s="4">
        <v>0.14899999999999999</v>
      </c>
      <c r="AO20" s="4">
        <v>0.14199999999999999</v>
      </c>
      <c r="AP20" s="4">
        <v>0.122</v>
      </c>
      <c r="AQ20" s="10">
        <v>0.17100000000000001</v>
      </c>
      <c r="AR20" s="4">
        <v>9.8000000000000004E-2</v>
      </c>
      <c r="AS20" s="4">
        <v>0.151</v>
      </c>
      <c r="AT20" s="4">
        <v>0.16200000000000001</v>
      </c>
      <c r="AU20" s="4">
        <v>0.21199999999999999</v>
      </c>
      <c r="AV20" s="10">
        <v>0.11700000000000001</v>
      </c>
      <c r="AW20" s="4">
        <v>9.9000000000000005E-2</v>
      </c>
      <c r="AX20" s="4">
        <v>0.109</v>
      </c>
      <c r="AY20" s="8">
        <v>0.16500000000000001</v>
      </c>
      <c r="AZ20" s="4">
        <v>0.128</v>
      </c>
      <c r="BA20" s="4">
        <v>0.24199999999999999</v>
      </c>
      <c r="BB20" s="4">
        <v>0.185</v>
      </c>
      <c r="BC20" s="4">
        <v>0.21099999999999999</v>
      </c>
      <c r="BD20" s="4">
        <v>0.17</v>
      </c>
      <c r="BE20" s="4">
        <v>0.14000000000000001</v>
      </c>
      <c r="BF20" s="4">
        <v>0.10199999999999999</v>
      </c>
      <c r="BG20" s="4">
        <v>0.12</v>
      </c>
      <c r="BH20" s="4">
        <v>0.20599999999999999</v>
      </c>
      <c r="BI20" s="4">
        <v>0.13500000000000001</v>
      </c>
      <c r="BJ20" s="8">
        <v>8.5999999999999993E-2</v>
      </c>
      <c r="BK20" s="8">
        <v>0.121</v>
      </c>
      <c r="BL20" s="8">
        <v>0.222</v>
      </c>
      <c r="BM20" s="8">
        <v>0.19900000000000001</v>
      </c>
      <c r="BN20" s="10">
        <v>0.129</v>
      </c>
      <c r="BO20" s="10">
        <v>0.107</v>
      </c>
      <c r="BP20" s="10">
        <v>0.113</v>
      </c>
      <c r="BQ20" s="10">
        <v>0.159</v>
      </c>
      <c r="BR20" s="10">
        <v>0.14399999999999999</v>
      </c>
      <c r="BS20" s="10">
        <v>0.155</v>
      </c>
      <c r="BT20" s="3">
        <v>0.153</v>
      </c>
      <c r="BU20" s="9">
        <v>0.372</v>
      </c>
      <c r="BV20" s="3">
        <v>0.13</v>
      </c>
      <c r="BW20" s="4">
        <v>0.10299999999999999</v>
      </c>
      <c r="BX20" s="4">
        <v>0.125</v>
      </c>
      <c r="BY20" s="9">
        <v>0.14299999999999999</v>
      </c>
      <c r="BZ20" s="4">
        <v>0.14799999999999999</v>
      </c>
      <c r="CA20" s="4">
        <v>0.11700000000000001</v>
      </c>
      <c r="CB20" s="4">
        <v>0.114</v>
      </c>
      <c r="CC20" s="4">
        <v>0.14000000000000001</v>
      </c>
      <c r="CD20" s="4">
        <v>0.13400000000000001</v>
      </c>
      <c r="CE20" s="4">
        <v>0.128</v>
      </c>
      <c r="CF20" s="4">
        <v>0.115</v>
      </c>
      <c r="CG20" s="4">
        <v>0.105</v>
      </c>
      <c r="CH20" s="4">
        <v>0.14899999999999999</v>
      </c>
      <c r="CI20" s="4">
        <v>0.151</v>
      </c>
      <c r="CJ20" s="4">
        <v>9.2999999999999999E-2</v>
      </c>
      <c r="CK20" s="4">
        <v>0.13700000000000001</v>
      </c>
      <c r="CL20" s="4">
        <v>0.15</v>
      </c>
      <c r="CM20" s="4">
        <v>0.111</v>
      </c>
      <c r="CN20" s="4">
        <v>0.17699999999999999</v>
      </c>
      <c r="CO20" s="8">
        <v>0.17699999999999999</v>
      </c>
      <c r="CP20" s="4">
        <v>0.20599999999999999</v>
      </c>
      <c r="CQ20" s="4">
        <v>0.14399999999999999</v>
      </c>
      <c r="CR20" s="4">
        <v>0.159</v>
      </c>
      <c r="CS20" s="8">
        <v>0.30499999999999999</v>
      </c>
      <c r="CT20" s="4">
        <v>0.214</v>
      </c>
      <c r="CU20" s="4">
        <v>0.191</v>
      </c>
      <c r="CV20" s="4">
        <v>0.13900000000000001</v>
      </c>
      <c r="CW20" s="4">
        <v>0.124</v>
      </c>
      <c r="CX20" s="4">
        <v>0.188</v>
      </c>
      <c r="CY20" s="4">
        <v>0.16400000000000001</v>
      </c>
      <c r="CZ20" s="4">
        <v>0.161</v>
      </c>
      <c r="DA20" s="4">
        <v>0.129</v>
      </c>
      <c r="DB20" s="4">
        <v>0.184</v>
      </c>
      <c r="DC20" s="4">
        <v>0.15</v>
      </c>
      <c r="DD20" s="4">
        <v>0.16800000000000001</v>
      </c>
      <c r="DE20" s="4">
        <v>0.13100000000000001</v>
      </c>
      <c r="DF20" s="4">
        <v>0.158</v>
      </c>
      <c r="DG20" s="4">
        <v>0.19700000000000001</v>
      </c>
      <c r="DH20" s="4">
        <v>0.182</v>
      </c>
      <c r="DI20" s="4">
        <v>0.17799999999999999</v>
      </c>
      <c r="DJ20" s="4">
        <v>0.185</v>
      </c>
      <c r="DK20" s="4">
        <v>0.20200000000000001</v>
      </c>
      <c r="DL20" s="4">
        <v>0.21</v>
      </c>
      <c r="DM20" s="4">
        <v>0.20399999999999999</v>
      </c>
      <c r="DN20" s="10">
        <v>0.23</v>
      </c>
      <c r="DO20" s="10">
        <v>0.19900000000000001</v>
      </c>
      <c r="DP20" s="10">
        <v>0.14699999999999999</v>
      </c>
      <c r="DQ20" s="10">
        <v>0.19900000000000001</v>
      </c>
      <c r="DR20" s="10">
        <v>0.224</v>
      </c>
      <c r="DS20" s="4">
        <v>0.16600000000000001</v>
      </c>
      <c r="DT20" s="4">
        <v>0.158</v>
      </c>
      <c r="DU20" s="4">
        <v>0.14000000000000001</v>
      </c>
      <c r="DV20" s="4">
        <v>0.114</v>
      </c>
      <c r="DW20" s="4">
        <v>0.18</v>
      </c>
      <c r="DX20" s="4">
        <v>0.19500000000000001</v>
      </c>
      <c r="DY20" s="4">
        <v>0.26500000000000001</v>
      </c>
      <c r="DZ20" s="4">
        <v>0.218</v>
      </c>
      <c r="EA20" s="4">
        <v>0.17299999999999999</v>
      </c>
      <c r="EB20" s="4">
        <v>0.21299999999999999</v>
      </c>
      <c r="EC20" s="8">
        <v>0.23</v>
      </c>
      <c r="ED20" s="10">
        <v>0.21199999999999999</v>
      </c>
      <c r="EE20" s="4">
        <v>0.249</v>
      </c>
      <c r="EF20" s="4">
        <v>0.248</v>
      </c>
      <c r="EG20" s="4">
        <v>0.22700000000000001</v>
      </c>
      <c r="EH20" s="4">
        <v>0.11</v>
      </c>
      <c r="EI20" s="4">
        <v>0.113</v>
      </c>
      <c r="EJ20" s="4">
        <v>9.1999999999999998E-2</v>
      </c>
      <c r="EK20" s="4">
        <v>0.11600000000000001</v>
      </c>
      <c r="EL20" s="4">
        <v>0.13100000000000001</v>
      </c>
      <c r="EM20" s="4">
        <v>0.113</v>
      </c>
      <c r="EN20" s="4">
        <v>9.4E-2</v>
      </c>
      <c r="EO20" s="4">
        <v>0.13700000000000001</v>
      </c>
      <c r="EP20" s="4">
        <v>0.10299999999999999</v>
      </c>
      <c r="EQ20" s="4">
        <v>0.129</v>
      </c>
      <c r="ER20" s="4">
        <v>0.13</v>
      </c>
      <c r="ES20" s="4">
        <v>0.14099999999999999</v>
      </c>
      <c r="ET20" s="4">
        <v>0.16600000000000001</v>
      </c>
      <c r="EU20" s="4">
        <v>0.129</v>
      </c>
      <c r="EV20" s="4">
        <v>0.13300000000000001</v>
      </c>
      <c r="EW20" s="4">
        <v>0.125</v>
      </c>
      <c r="EX20" s="8">
        <v>0.193</v>
      </c>
      <c r="EY20" s="8">
        <v>0.189</v>
      </c>
      <c r="EZ20" s="4">
        <v>0.11700000000000001</v>
      </c>
      <c r="FA20" s="4">
        <v>0.11799999999999999</v>
      </c>
      <c r="FB20" s="4">
        <v>0.10299999999999999</v>
      </c>
      <c r="FC20" s="4">
        <v>0.13700000000000001</v>
      </c>
      <c r="FD20" s="4">
        <v>0.108</v>
      </c>
      <c r="FE20" s="4">
        <v>0.113</v>
      </c>
      <c r="FF20" s="4">
        <v>0.14199999999999999</v>
      </c>
      <c r="FG20" s="4"/>
      <c r="FH20" s="4"/>
      <c r="FI20" s="4"/>
      <c r="FJ20" s="4"/>
      <c r="FK20" s="4"/>
      <c r="FL20" s="4"/>
    </row>
    <row r="21" spans="1:168" x14ac:dyDescent="0.3">
      <c r="A21" t="s">
        <v>10</v>
      </c>
      <c r="B21" s="4">
        <v>0.15</v>
      </c>
      <c r="C21" s="4">
        <v>0.16</v>
      </c>
      <c r="D21" s="4">
        <v>0.14000000000000001</v>
      </c>
      <c r="E21" s="8">
        <v>0.16</v>
      </c>
      <c r="F21" s="8">
        <v>0.15</v>
      </c>
      <c r="G21" s="4">
        <v>0.15</v>
      </c>
      <c r="H21" s="4">
        <v>0.13</v>
      </c>
      <c r="I21" s="4">
        <v>0.1</v>
      </c>
      <c r="J21" s="4">
        <v>0.16</v>
      </c>
      <c r="K21" s="4">
        <v>0.09</v>
      </c>
      <c r="L21" s="4">
        <v>0.09</v>
      </c>
      <c r="M21" s="4">
        <v>0.1</v>
      </c>
      <c r="N21" s="4">
        <v>0.1</v>
      </c>
      <c r="O21" s="4">
        <v>0.08</v>
      </c>
      <c r="P21" s="4">
        <v>0.06</v>
      </c>
      <c r="Q21" s="4">
        <v>0.05</v>
      </c>
      <c r="R21" s="4">
        <v>0.19</v>
      </c>
      <c r="S21" s="4">
        <v>0.11</v>
      </c>
      <c r="T21" s="4">
        <v>0.08</v>
      </c>
      <c r="U21" s="4">
        <v>0.09</v>
      </c>
      <c r="V21" s="4">
        <v>0.14000000000000001</v>
      </c>
      <c r="W21" s="4">
        <v>0.14000000000000001</v>
      </c>
      <c r="X21" s="4">
        <v>0.18</v>
      </c>
      <c r="Y21" s="4">
        <v>0.13</v>
      </c>
      <c r="Z21" s="4">
        <v>0.14000000000000001</v>
      </c>
      <c r="AA21" s="4">
        <v>0.19</v>
      </c>
      <c r="AB21" s="8">
        <v>0.18</v>
      </c>
      <c r="AC21" s="4">
        <v>0.18</v>
      </c>
      <c r="AD21" s="4">
        <v>0.17</v>
      </c>
      <c r="AE21" s="4">
        <v>0.18</v>
      </c>
      <c r="AF21" s="8">
        <v>0.17</v>
      </c>
      <c r="AG21" s="4">
        <v>0.06</v>
      </c>
      <c r="AH21" s="4">
        <v>7.0000000000000007E-2</v>
      </c>
      <c r="AI21" s="4">
        <v>0.04</v>
      </c>
      <c r="AJ21" s="4">
        <v>0.14000000000000001</v>
      </c>
      <c r="AK21" s="8">
        <v>0.16</v>
      </c>
      <c r="AL21" s="4">
        <v>0.14000000000000001</v>
      </c>
      <c r="AM21" s="8">
        <v>0.18</v>
      </c>
      <c r="AN21" s="4">
        <v>0.13</v>
      </c>
      <c r="AO21" s="4">
        <v>0.11</v>
      </c>
      <c r="AP21" s="4">
        <v>7.0000000000000007E-2</v>
      </c>
      <c r="AQ21" s="10">
        <v>0.08</v>
      </c>
      <c r="AR21" s="4">
        <v>0.06</v>
      </c>
      <c r="AS21" s="4">
        <v>0.16</v>
      </c>
      <c r="AT21" s="4">
        <v>7.0000000000000007E-2</v>
      </c>
      <c r="AU21" s="4">
        <v>0.12</v>
      </c>
      <c r="AV21" s="10">
        <v>0.11</v>
      </c>
      <c r="AW21" s="4">
        <v>0.1</v>
      </c>
      <c r="AX21" s="4">
        <v>0.09</v>
      </c>
      <c r="AY21" s="8">
        <v>0.25700000000000001</v>
      </c>
      <c r="AZ21" s="4">
        <v>0.11</v>
      </c>
      <c r="BA21" s="4">
        <v>0.06</v>
      </c>
      <c r="BB21" s="4">
        <v>7.0000000000000007E-2</v>
      </c>
      <c r="BC21" s="4">
        <v>0.16</v>
      </c>
      <c r="BD21" s="4">
        <v>0.14000000000000001</v>
      </c>
      <c r="BE21" s="4">
        <v>0.09</v>
      </c>
      <c r="BF21" s="4">
        <v>0.13</v>
      </c>
      <c r="BG21" s="4">
        <v>0.06</v>
      </c>
      <c r="BH21" s="4">
        <v>0.1</v>
      </c>
      <c r="BI21" s="4">
        <v>0.09</v>
      </c>
      <c r="BJ21" s="8">
        <v>0.13</v>
      </c>
      <c r="BK21" s="8">
        <v>0.13</v>
      </c>
      <c r="BL21" s="8">
        <v>0.14000000000000001</v>
      </c>
      <c r="BM21" s="8">
        <v>0.18</v>
      </c>
      <c r="BN21" s="10">
        <v>0.14000000000000001</v>
      </c>
      <c r="BO21" s="10">
        <v>0.15</v>
      </c>
      <c r="BP21" s="10">
        <v>0.12</v>
      </c>
      <c r="BQ21" s="10">
        <v>0.13</v>
      </c>
      <c r="BR21" s="10">
        <v>0.15</v>
      </c>
      <c r="BS21" s="10">
        <v>0.17</v>
      </c>
      <c r="BT21" s="3">
        <v>0.09</v>
      </c>
      <c r="BU21" s="9">
        <v>0.1</v>
      </c>
      <c r="BV21" s="3">
        <v>0.12</v>
      </c>
      <c r="BW21" s="4">
        <v>7.0000000000000007E-2</v>
      </c>
      <c r="BX21" s="4">
        <v>0.09</v>
      </c>
      <c r="BY21" s="9">
        <v>0.09</v>
      </c>
      <c r="BZ21" s="4">
        <v>0.16</v>
      </c>
      <c r="CA21" s="4">
        <v>0.14000000000000001</v>
      </c>
      <c r="CB21" s="4">
        <v>0.14000000000000001</v>
      </c>
      <c r="CC21" s="4">
        <v>0.16</v>
      </c>
      <c r="CD21" s="4">
        <v>0.15</v>
      </c>
      <c r="CE21" s="4">
        <v>0.13</v>
      </c>
      <c r="CF21" s="4">
        <v>0.14000000000000001</v>
      </c>
      <c r="CG21" s="4">
        <v>0.13</v>
      </c>
      <c r="CH21" s="4">
        <v>0.16</v>
      </c>
      <c r="CI21" s="4">
        <v>0.18</v>
      </c>
      <c r="CJ21" s="4">
        <v>0.1</v>
      </c>
      <c r="CK21" s="4">
        <v>0.15</v>
      </c>
      <c r="CL21" s="4">
        <v>0.17</v>
      </c>
      <c r="CM21" s="4">
        <v>0.15</v>
      </c>
      <c r="CN21" s="4">
        <v>0.19</v>
      </c>
      <c r="CO21" s="8">
        <v>0.16</v>
      </c>
      <c r="CP21" s="4">
        <v>0.19</v>
      </c>
      <c r="CQ21" s="4">
        <v>0.14000000000000001</v>
      </c>
      <c r="CR21" s="4">
        <v>0.19</v>
      </c>
      <c r="CS21" s="8">
        <v>0.16</v>
      </c>
      <c r="CT21" s="4">
        <v>0.2</v>
      </c>
      <c r="CU21" s="4">
        <v>0.18</v>
      </c>
      <c r="CV21" s="4">
        <v>0.12</v>
      </c>
      <c r="CW21" s="4">
        <v>0.12</v>
      </c>
      <c r="CX21" s="4">
        <v>0.15</v>
      </c>
      <c r="CY21" s="4">
        <v>0.1</v>
      </c>
      <c r="CZ21" s="4">
        <v>0.1</v>
      </c>
      <c r="DA21" s="4">
        <v>0.06</v>
      </c>
      <c r="DB21" s="4">
        <v>0.13</v>
      </c>
      <c r="DC21" s="4">
        <v>0.13</v>
      </c>
      <c r="DD21" s="4">
        <v>0.14000000000000001</v>
      </c>
      <c r="DE21" s="4">
        <v>0.12</v>
      </c>
      <c r="DF21" s="4">
        <v>0.14000000000000001</v>
      </c>
      <c r="DG21" s="4">
        <v>0.16</v>
      </c>
      <c r="DH21" s="4">
        <v>0.14000000000000001</v>
      </c>
      <c r="DI21" s="4">
        <v>0.1</v>
      </c>
      <c r="DJ21" s="4">
        <v>0.08</v>
      </c>
      <c r="DK21" s="4">
        <v>0.09</v>
      </c>
      <c r="DL21" s="4">
        <v>0.11</v>
      </c>
      <c r="DM21" s="4">
        <v>0.1</v>
      </c>
      <c r="DN21" s="10">
        <v>0.1</v>
      </c>
      <c r="DO21" s="10">
        <v>0.09</v>
      </c>
      <c r="DP21" s="10">
        <v>0.06</v>
      </c>
      <c r="DQ21" s="10">
        <v>0.11</v>
      </c>
      <c r="DR21" s="10">
        <v>0.09</v>
      </c>
      <c r="DS21" s="4">
        <v>0.13</v>
      </c>
      <c r="DT21" s="4">
        <v>0.14000000000000001</v>
      </c>
      <c r="DU21" s="4">
        <v>0.13</v>
      </c>
      <c r="DV21" s="4">
        <v>0.08</v>
      </c>
      <c r="DW21" s="4">
        <v>0.11</v>
      </c>
      <c r="DX21" s="4">
        <v>0.16</v>
      </c>
      <c r="DY21" s="4">
        <v>0.13</v>
      </c>
      <c r="DZ21" s="4">
        <v>0.1</v>
      </c>
      <c r="EA21" s="4">
        <v>7.0000000000000007E-2</v>
      </c>
      <c r="EB21" s="4">
        <v>0.12</v>
      </c>
      <c r="EC21" s="8">
        <v>0.1</v>
      </c>
      <c r="ED21" s="10">
        <v>0.11</v>
      </c>
      <c r="EE21" s="4">
        <v>0.11</v>
      </c>
      <c r="EF21" s="4">
        <v>0.15</v>
      </c>
      <c r="EG21" s="4">
        <v>0.15</v>
      </c>
      <c r="EH21" s="4">
        <v>0.08</v>
      </c>
      <c r="EI21" s="4">
        <v>0.08</v>
      </c>
      <c r="EJ21" s="4">
        <v>0.06</v>
      </c>
      <c r="EK21" s="4">
        <v>0.09</v>
      </c>
      <c r="EL21" s="4">
        <v>0.08</v>
      </c>
      <c r="EM21" s="4">
        <v>0.08</v>
      </c>
      <c r="EN21" s="4">
        <v>7.0000000000000007E-2</v>
      </c>
      <c r="EO21" s="4">
        <v>0.13</v>
      </c>
      <c r="EP21" s="4">
        <v>0.1</v>
      </c>
      <c r="EQ21" s="4">
        <v>0.1</v>
      </c>
      <c r="ER21" s="4">
        <v>0.1</v>
      </c>
      <c r="ES21" s="4">
        <v>0.14000000000000001</v>
      </c>
      <c r="ET21" s="4">
        <v>0.15</v>
      </c>
      <c r="EU21" s="4">
        <v>0.04</v>
      </c>
      <c r="EV21" s="4">
        <v>0.06</v>
      </c>
      <c r="EW21" s="4">
        <v>7.0000000000000007E-2</v>
      </c>
      <c r="EX21" s="8">
        <v>0.05</v>
      </c>
      <c r="EY21" s="8">
        <v>0.03</v>
      </c>
      <c r="EZ21" s="4">
        <v>0.08</v>
      </c>
      <c r="FA21" s="4">
        <v>0.09</v>
      </c>
      <c r="FB21" s="4">
        <v>0.09</v>
      </c>
      <c r="FC21" s="4">
        <v>0.13</v>
      </c>
      <c r="FD21" s="4">
        <v>0.08</v>
      </c>
      <c r="FE21" s="4">
        <v>0.09</v>
      </c>
      <c r="FF21" s="4">
        <v>0.14000000000000001</v>
      </c>
      <c r="FG21" s="4"/>
      <c r="FH21" s="4"/>
      <c r="FI21" s="4"/>
      <c r="FJ21" s="4"/>
      <c r="FK21" s="4"/>
      <c r="FL21" s="4"/>
    </row>
    <row r="22" spans="1:168" x14ac:dyDescent="0.3">
      <c r="A22" t="s">
        <v>137</v>
      </c>
      <c r="B22" s="4">
        <v>0.37</v>
      </c>
      <c r="C22" s="4">
        <v>0.44</v>
      </c>
      <c r="D22" s="4">
        <v>0.4</v>
      </c>
      <c r="E22" s="4">
        <v>0.43</v>
      </c>
      <c r="F22" s="4">
        <v>0.37</v>
      </c>
      <c r="G22" s="4">
        <v>0.37</v>
      </c>
      <c r="H22" s="4">
        <v>0.28999999999999998</v>
      </c>
      <c r="I22" s="4">
        <v>0.33</v>
      </c>
      <c r="J22" s="4">
        <v>0.49</v>
      </c>
      <c r="K22" s="4">
        <v>0.34</v>
      </c>
      <c r="L22" s="4">
        <v>0.43</v>
      </c>
      <c r="M22" s="4">
        <v>0.32</v>
      </c>
      <c r="N22" s="4">
        <v>0.41</v>
      </c>
      <c r="O22" s="4">
        <v>0.4</v>
      </c>
      <c r="P22" s="4">
        <v>0.47</v>
      </c>
      <c r="Q22" s="4">
        <v>0.53</v>
      </c>
      <c r="R22" s="4">
        <v>0.46</v>
      </c>
      <c r="S22" s="4">
        <v>0.39</v>
      </c>
      <c r="T22" s="4">
        <v>0.25</v>
      </c>
      <c r="U22" s="4">
        <v>0.37</v>
      </c>
      <c r="V22" s="4">
        <v>0.32</v>
      </c>
      <c r="W22" s="4">
        <v>0.4</v>
      </c>
      <c r="X22" s="4">
        <v>0.47</v>
      </c>
      <c r="Y22" s="4">
        <v>0.39</v>
      </c>
      <c r="Z22" s="4">
        <v>0.37</v>
      </c>
      <c r="AA22" s="4">
        <v>0.37</v>
      </c>
      <c r="AB22" s="4">
        <v>0.33</v>
      </c>
      <c r="AC22" s="4">
        <v>0.37</v>
      </c>
      <c r="AD22" s="4">
        <v>0.44</v>
      </c>
      <c r="AE22" s="4">
        <v>0.35</v>
      </c>
      <c r="AF22" s="4">
        <v>0.35</v>
      </c>
      <c r="AG22" s="4">
        <v>0.54</v>
      </c>
      <c r="AH22" s="4">
        <v>0.52</v>
      </c>
      <c r="AI22" s="4">
        <v>0.63</v>
      </c>
      <c r="AJ22" s="4">
        <v>0.38</v>
      </c>
      <c r="AK22" s="4">
        <v>0.43</v>
      </c>
      <c r="AL22" s="4">
        <v>0.36</v>
      </c>
      <c r="AM22" s="4">
        <v>0.52</v>
      </c>
      <c r="AN22" s="4">
        <v>0.51</v>
      </c>
      <c r="AO22" s="4">
        <v>0.56999999999999995</v>
      </c>
      <c r="AP22" s="4">
        <v>0.43</v>
      </c>
      <c r="AQ22" s="10">
        <v>0.38</v>
      </c>
      <c r="AR22" s="10">
        <v>0.33</v>
      </c>
      <c r="AS22" s="4">
        <v>0.4</v>
      </c>
      <c r="AT22" s="4">
        <v>0.34</v>
      </c>
      <c r="AU22" s="10">
        <v>0.57999999999999996</v>
      </c>
      <c r="AV22" s="10">
        <v>0.37</v>
      </c>
      <c r="AW22" s="4">
        <v>0.35</v>
      </c>
      <c r="AX22" s="4">
        <v>0.36</v>
      </c>
      <c r="AY22" s="4">
        <v>0.43</v>
      </c>
      <c r="AZ22" s="4">
        <v>0.48</v>
      </c>
      <c r="BA22" s="4">
        <v>0.68</v>
      </c>
      <c r="BB22" s="4">
        <v>0.49</v>
      </c>
      <c r="BC22" s="4">
        <v>0.57999999999999996</v>
      </c>
      <c r="BD22" s="4">
        <v>0.51</v>
      </c>
      <c r="BE22" s="4">
        <v>0.47</v>
      </c>
      <c r="BF22" s="4">
        <v>0.31</v>
      </c>
      <c r="BG22" s="4">
        <v>0.5</v>
      </c>
      <c r="BH22" s="4">
        <v>0.3</v>
      </c>
      <c r="BI22" s="4">
        <v>0.39</v>
      </c>
      <c r="BJ22" s="4">
        <v>0.34</v>
      </c>
      <c r="BK22" s="4">
        <v>0.37</v>
      </c>
      <c r="BL22" s="4">
        <v>0.54</v>
      </c>
      <c r="BM22" s="4">
        <v>0.43</v>
      </c>
      <c r="BN22" s="4">
        <v>0.43</v>
      </c>
      <c r="BO22" s="4">
        <v>0.34</v>
      </c>
      <c r="BP22" s="4">
        <v>0.31</v>
      </c>
      <c r="BQ22" s="4">
        <v>0.44</v>
      </c>
      <c r="BR22" s="4">
        <v>0.43</v>
      </c>
      <c r="BS22" s="10">
        <v>0.44</v>
      </c>
      <c r="BT22" s="3">
        <v>0.38</v>
      </c>
      <c r="BU22" s="7">
        <v>0.41</v>
      </c>
      <c r="BV22" s="3">
        <v>0.59</v>
      </c>
      <c r="BW22" s="4">
        <v>0.35</v>
      </c>
      <c r="BX22" s="4">
        <v>0.38</v>
      </c>
      <c r="BY22" s="3">
        <v>0.37</v>
      </c>
      <c r="BZ22" s="4">
        <v>0.43</v>
      </c>
      <c r="CA22" s="4">
        <v>0.38</v>
      </c>
      <c r="CB22" s="4">
        <v>0.36</v>
      </c>
      <c r="CC22" s="4">
        <v>0.44</v>
      </c>
      <c r="CD22" s="4">
        <v>0.41</v>
      </c>
      <c r="CE22" s="4">
        <v>0.43</v>
      </c>
      <c r="CF22" s="4">
        <v>0.37</v>
      </c>
      <c r="CG22" s="4">
        <v>0.34</v>
      </c>
      <c r="CH22" s="4">
        <v>0.51</v>
      </c>
      <c r="CI22" s="4">
        <v>0.49</v>
      </c>
      <c r="CJ22" s="4">
        <v>0.28999999999999998</v>
      </c>
      <c r="CK22" s="4">
        <v>0.46</v>
      </c>
      <c r="CL22" s="4">
        <v>0.51</v>
      </c>
      <c r="CM22" s="4">
        <v>0.43</v>
      </c>
      <c r="CN22" s="4">
        <v>0.57999999999999996</v>
      </c>
      <c r="CO22" s="4">
        <v>0.45</v>
      </c>
      <c r="CP22" s="4">
        <v>0.55000000000000004</v>
      </c>
      <c r="CQ22" s="4">
        <v>0.41</v>
      </c>
      <c r="CR22" s="4">
        <v>0.51</v>
      </c>
      <c r="CS22" s="4">
        <v>0.5</v>
      </c>
      <c r="CT22" s="4">
        <v>0.56000000000000005</v>
      </c>
      <c r="CU22" s="4">
        <v>0.53</v>
      </c>
      <c r="CV22" s="4">
        <v>0.37</v>
      </c>
      <c r="CW22" s="4">
        <v>0.28000000000000003</v>
      </c>
      <c r="CX22" s="4">
        <v>0.44</v>
      </c>
      <c r="CY22" s="4">
        <v>0.5</v>
      </c>
      <c r="CZ22" s="4">
        <v>0.54</v>
      </c>
      <c r="DA22" s="4">
        <v>0.54</v>
      </c>
      <c r="DB22" s="4">
        <v>0.5</v>
      </c>
      <c r="DC22" s="4">
        <v>0.33</v>
      </c>
      <c r="DD22" s="4">
        <v>0.3</v>
      </c>
      <c r="DE22" s="4">
        <v>0.28000000000000003</v>
      </c>
      <c r="DF22" s="4">
        <v>0.28999999999999998</v>
      </c>
      <c r="DG22" s="4">
        <v>0.43</v>
      </c>
      <c r="DH22" s="4">
        <v>0.39</v>
      </c>
      <c r="DI22" s="4">
        <v>0.43</v>
      </c>
      <c r="DJ22" s="4">
        <v>0.46</v>
      </c>
      <c r="DK22" s="4">
        <v>0.48</v>
      </c>
      <c r="DL22" s="4">
        <v>0.4</v>
      </c>
      <c r="DM22" s="4">
        <v>0.47</v>
      </c>
      <c r="DN22" s="4">
        <v>0.61</v>
      </c>
      <c r="DO22" s="4">
        <v>0.62</v>
      </c>
      <c r="DP22" s="10">
        <v>0.61</v>
      </c>
      <c r="DQ22" s="10">
        <v>0.6</v>
      </c>
      <c r="DR22" s="10">
        <v>0.63</v>
      </c>
      <c r="DS22" s="4">
        <v>0.49</v>
      </c>
      <c r="DT22" s="4">
        <v>0.46</v>
      </c>
      <c r="DU22" s="4">
        <v>0.3</v>
      </c>
      <c r="DV22" s="4">
        <v>0.48</v>
      </c>
      <c r="DW22" s="4">
        <v>0.54</v>
      </c>
      <c r="DX22" s="4">
        <v>0.6</v>
      </c>
      <c r="DY22" s="4">
        <v>0.76</v>
      </c>
      <c r="DZ22" s="4">
        <v>0.72</v>
      </c>
      <c r="EA22" s="4">
        <v>0.63</v>
      </c>
      <c r="EB22" s="4">
        <v>0.62</v>
      </c>
      <c r="EC22" s="4">
        <v>0.54</v>
      </c>
      <c r="ED22" s="10">
        <v>0.7</v>
      </c>
      <c r="EE22" s="4">
        <v>0.71</v>
      </c>
      <c r="EF22" s="4">
        <v>0.69</v>
      </c>
      <c r="EG22" s="4">
        <v>0.67</v>
      </c>
      <c r="EH22" s="4">
        <v>0.35</v>
      </c>
      <c r="EI22" s="4">
        <v>0.33</v>
      </c>
      <c r="EJ22" s="4">
        <v>0.34</v>
      </c>
      <c r="EK22" s="4">
        <v>0.33</v>
      </c>
      <c r="EL22" s="4">
        <v>0.42</v>
      </c>
      <c r="EM22" s="4">
        <v>0.37</v>
      </c>
      <c r="EN22" s="4">
        <v>0.33</v>
      </c>
      <c r="EO22" s="4">
        <v>0.59</v>
      </c>
      <c r="EP22" s="4">
        <v>0.52</v>
      </c>
      <c r="EQ22" s="4">
        <v>0.56999999999999995</v>
      </c>
      <c r="ER22" s="4">
        <v>0.63</v>
      </c>
      <c r="ES22" s="4">
        <v>0.52</v>
      </c>
      <c r="ET22" s="4">
        <v>0.34</v>
      </c>
      <c r="EU22" s="4">
        <v>0.69</v>
      </c>
      <c r="EV22" s="4">
        <v>0.48</v>
      </c>
      <c r="EW22" s="4">
        <v>0.41</v>
      </c>
      <c r="EX22" s="4">
        <v>0.63</v>
      </c>
      <c r="EY22" s="4">
        <v>0.69</v>
      </c>
      <c r="EZ22" s="4">
        <v>0.43</v>
      </c>
      <c r="FA22" s="4">
        <v>0.44</v>
      </c>
      <c r="FB22" s="4">
        <v>0.36</v>
      </c>
      <c r="FC22" s="4">
        <v>0.28000000000000003</v>
      </c>
      <c r="FD22" s="4">
        <v>0.39</v>
      </c>
      <c r="FE22" s="4">
        <v>0.35</v>
      </c>
      <c r="FF22" s="4">
        <v>0.33</v>
      </c>
      <c r="FG22" s="4"/>
      <c r="FH22" s="4"/>
      <c r="FI22" s="4"/>
      <c r="FJ22" s="4"/>
      <c r="FK22" s="4"/>
      <c r="FL22" s="4"/>
    </row>
    <row r="23" spans="1:168" x14ac:dyDescent="0.3">
      <c r="A23" t="s">
        <v>138</v>
      </c>
      <c r="B23" s="4">
        <v>0.75700000000000001</v>
      </c>
      <c r="C23" s="4">
        <v>0.80200000000000005</v>
      </c>
      <c r="D23" s="4">
        <v>0.75700000000000001</v>
      </c>
      <c r="E23" s="4">
        <v>0.76</v>
      </c>
      <c r="F23" s="4">
        <v>0.73799999999999999</v>
      </c>
      <c r="G23" s="4">
        <v>0.73299999999999998</v>
      </c>
      <c r="H23" s="4">
        <v>0.66</v>
      </c>
      <c r="I23" s="4">
        <v>0.873</v>
      </c>
      <c r="J23" s="4">
        <v>0.83199999999999996</v>
      </c>
      <c r="K23" s="4">
        <v>0.88900000000000001</v>
      </c>
      <c r="L23" s="4">
        <v>0.85299999999999998</v>
      </c>
      <c r="M23" s="4">
        <v>0.90900000000000003</v>
      </c>
      <c r="N23" s="4">
        <v>0.79</v>
      </c>
      <c r="O23" s="4">
        <v>0.91500000000000004</v>
      </c>
      <c r="P23" s="4">
        <v>0.94</v>
      </c>
      <c r="Q23" s="4">
        <v>0.95299999999999996</v>
      </c>
      <c r="R23" s="4">
        <v>0.88200000000000001</v>
      </c>
      <c r="S23" s="4">
        <v>0.86299999999999999</v>
      </c>
      <c r="T23" s="4">
        <v>0.87</v>
      </c>
      <c r="U23" s="4">
        <v>0.85899999999999999</v>
      </c>
      <c r="V23" s="4">
        <v>0.75</v>
      </c>
      <c r="W23" s="4">
        <v>0.84599999999999997</v>
      </c>
      <c r="X23" s="4">
        <v>0.77200000000000002</v>
      </c>
      <c r="Y23" s="4">
        <v>0.93100000000000005</v>
      </c>
      <c r="Z23" s="4">
        <v>0.85699999999999998</v>
      </c>
      <c r="AA23" s="4">
        <v>0.81</v>
      </c>
      <c r="AB23" s="4">
        <v>0.84899999999999998</v>
      </c>
      <c r="AC23" s="4">
        <v>0.72799999999999998</v>
      </c>
      <c r="AD23" s="4">
        <v>0.90600000000000003</v>
      </c>
      <c r="AE23" s="4">
        <v>0.89700000000000002</v>
      </c>
      <c r="AF23" s="4">
        <v>0.86</v>
      </c>
      <c r="AG23" s="4">
        <v>0.89500000000000002</v>
      </c>
      <c r="AH23" s="4">
        <v>0.86599999999999999</v>
      </c>
      <c r="AI23" s="4">
        <v>0.877</v>
      </c>
      <c r="AJ23" s="4">
        <v>0.83399999999999996</v>
      </c>
      <c r="AK23" s="4">
        <v>0.82699999999999996</v>
      </c>
      <c r="AL23" s="4">
        <v>0.84099999999999997</v>
      </c>
      <c r="AM23" s="4">
        <v>0.63200000000000001</v>
      </c>
      <c r="AN23" s="4">
        <v>0.79500000000000004</v>
      </c>
      <c r="AO23" s="4">
        <v>0.92900000000000005</v>
      </c>
      <c r="AP23" s="4">
        <v>0.94699999999999995</v>
      </c>
      <c r="AQ23" s="10">
        <v>0.86499999999999999</v>
      </c>
      <c r="AR23" s="10">
        <v>0.91300000000000003</v>
      </c>
      <c r="AS23" s="4">
        <v>0.91700000000000004</v>
      </c>
      <c r="AT23" s="4">
        <v>0.95799999999999996</v>
      </c>
      <c r="AU23" s="10">
        <v>0.93600000000000005</v>
      </c>
      <c r="AV23" s="10">
        <v>0.79400000000000004</v>
      </c>
      <c r="AW23" s="4">
        <v>0.90500000000000003</v>
      </c>
      <c r="AX23" s="4">
        <v>0.76200000000000001</v>
      </c>
      <c r="AY23" s="4">
        <v>0.85299999999999998</v>
      </c>
      <c r="AZ23" s="4">
        <v>0.8</v>
      </c>
      <c r="BA23" s="4">
        <v>0.91700000000000004</v>
      </c>
      <c r="BB23" s="4">
        <v>0.91400000000000003</v>
      </c>
      <c r="BC23" s="4">
        <v>0.89600000000000002</v>
      </c>
      <c r="BD23" s="4">
        <v>0.79300000000000004</v>
      </c>
      <c r="BE23" s="4">
        <v>0.88400000000000001</v>
      </c>
      <c r="BF23" s="4">
        <v>0.76400000000000001</v>
      </c>
      <c r="BG23" s="4">
        <v>0.96</v>
      </c>
      <c r="BH23" s="4">
        <v>0.74299999999999999</v>
      </c>
      <c r="BI23" s="4">
        <v>0.84599999999999997</v>
      </c>
      <c r="BJ23" s="4">
        <v>0.71199999999999997</v>
      </c>
      <c r="BK23" s="4">
        <v>0.86</v>
      </c>
      <c r="BL23" s="4">
        <v>0.82699999999999996</v>
      </c>
      <c r="BM23" s="4">
        <v>0.74099999999999999</v>
      </c>
      <c r="BN23" s="4">
        <v>0.752</v>
      </c>
      <c r="BO23" s="4">
        <v>0.69099999999999995</v>
      </c>
      <c r="BP23" s="4">
        <v>0.84499999999999997</v>
      </c>
      <c r="BQ23" s="4">
        <v>0.94599999999999995</v>
      </c>
      <c r="BR23" s="4">
        <v>0.87</v>
      </c>
      <c r="BS23" s="10">
        <v>0.86599999999999999</v>
      </c>
      <c r="BT23" s="3">
        <v>0.76900000000000002</v>
      </c>
      <c r="BU23" s="7">
        <v>0.90900000000000003</v>
      </c>
      <c r="BV23" s="3">
        <v>0.95099999999999996</v>
      </c>
      <c r="BW23" s="4">
        <v>0.89600000000000002</v>
      </c>
      <c r="BX23" s="4">
        <v>0.93400000000000005</v>
      </c>
      <c r="BY23" s="3">
        <v>0.86699999999999999</v>
      </c>
      <c r="BZ23" s="4">
        <v>0.79900000000000004</v>
      </c>
      <c r="CA23" s="4">
        <v>0.88600000000000001</v>
      </c>
      <c r="CB23" s="4">
        <v>0.84399999999999997</v>
      </c>
      <c r="CC23" s="4">
        <v>0.873</v>
      </c>
      <c r="CD23" s="4">
        <v>0.83799999999999997</v>
      </c>
      <c r="CE23" s="4">
        <v>0.875</v>
      </c>
      <c r="CF23" s="4">
        <v>0.88100000000000001</v>
      </c>
      <c r="CG23" s="4">
        <v>0.87</v>
      </c>
      <c r="CH23" s="4">
        <v>0.93100000000000005</v>
      </c>
      <c r="CI23" s="4">
        <v>0.88200000000000001</v>
      </c>
      <c r="CJ23" s="4">
        <v>0.751</v>
      </c>
      <c r="CK23" s="4">
        <v>0.90400000000000003</v>
      </c>
      <c r="CL23" s="4">
        <v>0.90600000000000003</v>
      </c>
      <c r="CM23" s="4">
        <v>0.876</v>
      </c>
      <c r="CN23" s="4">
        <v>0.85699999999999998</v>
      </c>
      <c r="CO23" s="4">
        <v>0.876</v>
      </c>
      <c r="CP23" s="4">
        <v>0.96099999999999997</v>
      </c>
      <c r="CQ23" s="4">
        <v>0.96399999999999997</v>
      </c>
      <c r="CR23" s="4">
        <v>0.90900000000000003</v>
      </c>
      <c r="CS23" s="4">
        <v>0.67200000000000004</v>
      </c>
      <c r="CT23" s="4">
        <v>0.96199999999999997</v>
      </c>
      <c r="CU23" s="4">
        <v>0.95899999999999996</v>
      </c>
      <c r="CV23" s="4">
        <v>0.75</v>
      </c>
      <c r="CW23" s="4">
        <v>0.747</v>
      </c>
      <c r="CX23" s="4">
        <v>0.84399999999999997</v>
      </c>
      <c r="CY23" s="4">
        <v>0.91700000000000004</v>
      </c>
      <c r="CZ23" s="4">
        <v>0.96</v>
      </c>
      <c r="DA23" s="4">
        <v>0.95499999999999996</v>
      </c>
      <c r="DB23" s="4">
        <v>0.93200000000000005</v>
      </c>
      <c r="DC23" s="4">
        <v>0.83099999999999996</v>
      </c>
      <c r="DD23" s="4">
        <v>0.89800000000000002</v>
      </c>
      <c r="DE23" s="4">
        <v>0.753</v>
      </c>
      <c r="DF23" s="4">
        <v>0.81399999999999995</v>
      </c>
      <c r="DG23" s="4">
        <v>0.999</v>
      </c>
      <c r="DH23" s="4">
        <v>0.88900000000000001</v>
      </c>
      <c r="DI23" s="4">
        <v>0.97699999999999998</v>
      </c>
      <c r="DJ23" s="4">
        <v>0.98599999999999999</v>
      </c>
      <c r="DK23" s="4">
        <v>0.96499999999999997</v>
      </c>
      <c r="DL23" s="4">
        <v>0.97499999999999998</v>
      </c>
      <c r="DM23" s="4">
        <v>0.94799999999999995</v>
      </c>
      <c r="DN23" s="4">
        <v>0.84</v>
      </c>
      <c r="DO23" s="4">
        <v>0.86399999999999999</v>
      </c>
      <c r="DP23" s="10">
        <v>0.78800000000000003</v>
      </c>
      <c r="DQ23" s="10">
        <v>0.91300000000000003</v>
      </c>
      <c r="DR23" s="10">
        <v>0.96199999999999997</v>
      </c>
      <c r="DS23" s="4">
        <v>0.88900000000000001</v>
      </c>
      <c r="DT23" s="4">
        <v>0.91700000000000004</v>
      </c>
      <c r="DU23" s="4">
        <v>0.85799999999999998</v>
      </c>
      <c r="DV23" s="4">
        <v>0.96899999999999997</v>
      </c>
      <c r="DW23" s="4">
        <v>0.88</v>
      </c>
      <c r="DX23" s="4">
        <v>0.91400000000000003</v>
      </c>
      <c r="DY23" s="4">
        <v>0.94899999999999995</v>
      </c>
      <c r="DZ23" s="4">
        <v>0.93600000000000005</v>
      </c>
      <c r="EA23" s="4">
        <v>0.91700000000000004</v>
      </c>
      <c r="EB23" s="4">
        <v>0.93200000000000005</v>
      </c>
      <c r="EC23" s="4">
        <v>0.83199999999999996</v>
      </c>
      <c r="ED23" s="10">
        <v>0.94399999999999995</v>
      </c>
      <c r="EE23" s="4">
        <v>0.93400000000000005</v>
      </c>
      <c r="EF23" s="4">
        <v>0.96</v>
      </c>
      <c r="EG23" s="4">
        <v>0.99399999999999999</v>
      </c>
      <c r="EH23" s="4">
        <v>0.85699999999999998</v>
      </c>
      <c r="EI23" s="4">
        <v>0.86199999999999999</v>
      </c>
      <c r="EJ23" s="4">
        <v>0.85799999999999998</v>
      </c>
      <c r="EK23" s="4">
        <v>0.82299999999999995</v>
      </c>
      <c r="EL23" s="4">
        <v>0.85499999999999998</v>
      </c>
      <c r="EM23" s="4">
        <v>0.83799999999999997</v>
      </c>
      <c r="EN23" s="4">
        <v>0.876</v>
      </c>
      <c r="EO23" s="4">
        <v>0.92800000000000005</v>
      </c>
      <c r="EP23" s="4">
        <v>0.95499999999999996</v>
      </c>
      <c r="EQ23" s="4">
        <v>0.93799999999999994</v>
      </c>
      <c r="ER23" s="4">
        <v>0.94699999999999995</v>
      </c>
      <c r="ES23" s="4">
        <v>0.82</v>
      </c>
      <c r="ET23" s="4">
        <v>0.80900000000000005</v>
      </c>
      <c r="EU23" s="4">
        <v>0.91700000000000004</v>
      </c>
      <c r="EV23" s="4">
        <v>0.877</v>
      </c>
      <c r="EW23" s="4">
        <v>0.84599999999999997</v>
      </c>
      <c r="EX23" s="4">
        <v>0.83199999999999996</v>
      </c>
      <c r="EY23" s="4">
        <v>0.85699999999999998</v>
      </c>
      <c r="EZ23" s="4">
        <v>0.90100000000000002</v>
      </c>
      <c r="FA23" s="4">
        <v>0.85899999999999999</v>
      </c>
      <c r="FB23" s="4">
        <v>0.88500000000000001</v>
      </c>
      <c r="FC23" s="4">
        <v>0.69199999999999995</v>
      </c>
      <c r="FD23" s="4">
        <v>0.84399999999999997</v>
      </c>
      <c r="FE23" s="4">
        <v>0.77800000000000002</v>
      </c>
      <c r="FF23" s="4">
        <v>0.82599999999999996</v>
      </c>
      <c r="FG23" s="4"/>
      <c r="FH23" s="4"/>
      <c r="FI23" s="4"/>
      <c r="FJ23" s="4"/>
      <c r="FK23" s="4"/>
      <c r="FL23" s="4"/>
    </row>
    <row r="24" spans="1:168" x14ac:dyDescent="0.3">
      <c r="A24" t="s">
        <v>139</v>
      </c>
      <c r="B24" s="4">
        <v>5.6000000000000001E-2</v>
      </c>
      <c r="C24" s="4">
        <v>0.06</v>
      </c>
      <c r="D24" s="4">
        <v>6.3E-2</v>
      </c>
      <c r="E24" s="4">
        <v>5.7000000000000002E-2</v>
      </c>
      <c r="F24" s="4">
        <v>5.1999999999999998E-2</v>
      </c>
      <c r="G24" s="4">
        <v>5.6000000000000001E-2</v>
      </c>
      <c r="H24" s="4">
        <v>4.4999999999999998E-2</v>
      </c>
      <c r="I24" s="4">
        <v>4.4999999999999998E-2</v>
      </c>
      <c r="J24" s="4">
        <v>5.8999999999999997E-2</v>
      </c>
      <c r="K24" s="4">
        <v>5.5E-2</v>
      </c>
      <c r="L24" s="4">
        <v>8.2000000000000003E-2</v>
      </c>
      <c r="M24" s="4">
        <v>4.4999999999999998E-2</v>
      </c>
      <c r="N24" s="4">
        <v>6.4000000000000001E-2</v>
      </c>
      <c r="O24" s="4">
        <v>4.3999999999999997E-2</v>
      </c>
      <c r="P24" s="4">
        <v>5.0999999999999997E-2</v>
      </c>
      <c r="Q24" s="4">
        <v>5.7000000000000002E-2</v>
      </c>
      <c r="R24" s="4">
        <v>6.3E-2</v>
      </c>
      <c r="S24" s="4">
        <v>5.8999999999999997E-2</v>
      </c>
      <c r="T24" s="4">
        <v>4.8000000000000001E-2</v>
      </c>
      <c r="U24" s="4">
        <v>5.7000000000000002E-2</v>
      </c>
      <c r="V24" s="4">
        <v>4.7E-2</v>
      </c>
      <c r="W24" s="4">
        <v>0.05</v>
      </c>
      <c r="X24" s="4">
        <v>0.11</v>
      </c>
      <c r="Y24" s="4">
        <v>0.04</v>
      </c>
      <c r="Z24" s="4">
        <v>5.2999999999999999E-2</v>
      </c>
      <c r="AA24" s="4">
        <v>6.6000000000000003E-2</v>
      </c>
      <c r="AB24" s="4">
        <v>5.7000000000000002E-2</v>
      </c>
      <c r="AC24" s="4">
        <v>6.8000000000000005E-2</v>
      </c>
      <c r="AD24" s="4">
        <v>5.8999999999999997E-2</v>
      </c>
      <c r="AE24" s="4">
        <v>0.05</v>
      </c>
      <c r="AF24" s="4">
        <v>5.8999999999999997E-2</v>
      </c>
      <c r="AG24" s="4">
        <v>8.5000000000000006E-2</v>
      </c>
      <c r="AH24" s="4">
        <v>0.09</v>
      </c>
      <c r="AI24" s="4">
        <v>0.106</v>
      </c>
      <c r="AJ24" s="4">
        <v>4.2000000000000003E-2</v>
      </c>
      <c r="AK24" s="4">
        <v>4.2000000000000003E-2</v>
      </c>
      <c r="AL24" s="4">
        <v>4.2000000000000003E-2</v>
      </c>
      <c r="AM24" s="4">
        <v>0.121</v>
      </c>
      <c r="AN24" s="4">
        <v>8.2000000000000003E-2</v>
      </c>
      <c r="AO24" s="4">
        <v>5.6000000000000001E-2</v>
      </c>
      <c r="AP24" s="4">
        <v>4.5999999999999999E-2</v>
      </c>
      <c r="AQ24" s="10">
        <v>6.7000000000000004E-2</v>
      </c>
      <c r="AR24" s="10">
        <v>4.8000000000000001E-2</v>
      </c>
      <c r="AS24" s="4">
        <v>5.5E-2</v>
      </c>
      <c r="AT24" s="4">
        <v>6.7000000000000004E-2</v>
      </c>
      <c r="AU24" s="10">
        <v>5.3999999999999999E-2</v>
      </c>
      <c r="AV24" s="10">
        <v>6.0999999999999999E-2</v>
      </c>
      <c r="AW24" s="4">
        <v>4.1000000000000002E-2</v>
      </c>
      <c r="AX24" s="4">
        <v>7.0999999999999994E-2</v>
      </c>
      <c r="AY24" s="4">
        <v>5.3999999999999999E-2</v>
      </c>
      <c r="AZ24" s="4">
        <v>7.3999999999999996E-2</v>
      </c>
      <c r="BA24" s="4">
        <v>0.126</v>
      </c>
      <c r="BB24" s="4">
        <v>9.0999999999999998E-2</v>
      </c>
      <c r="BC24" s="4">
        <v>7.0000000000000007E-2</v>
      </c>
      <c r="BD24" s="4">
        <v>7.3999999999999996E-2</v>
      </c>
      <c r="BE24" s="4">
        <v>9.2999999999999999E-2</v>
      </c>
      <c r="BF24" s="4">
        <v>4.5999999999999999E-2</v>
      </c>
      <c r="BG24" s="4">
        <v>5.7000000000000002E-2</v>
      </c>
      <c r="BH24" s="4">
        <v>4.9000000000000002E-2</v>
      </c>
      <c r="BI24" s="4">
        <v>7.1999999999999995E-2</v>
      </c>
      <c r="BJ24" s="4">
        <v>5.3999999999999999E-2</v>
      </c>
      <c r="BK24" s="4">
        <v>4.3999999999999997E-2</v>
      </c>
      <c r="BL24" s="4">
        <v>0.124</v>
      </c>
      <c r="BM24" s="4">
        <v>6.3E-2</v>
      </c>
      <c r="BN24" s="4">
        <v>0.06</v>
      </c>
      <c r="BO24" s="4">
        <v>4.8000000000000001E-2</v>
      </c>
      <c r="BP24" s="4">
        <v>4.8000000000000001E-2</v>
      </c>
      <c r="BQ24" s="4">
        <v>4.2000000000000003E-2</v>
      </c>
      <c r="BR24" s="4">
        <v>5.7000000000000002E-2</v>
      </c>
      <c r="BS24" s="10">
        <v>5.7000000000000002E-2</v>
      </c>
      <c r="BT24" s="3">
        <v>0.1</v>
      </c>
      <c r="BU24" s="7">
        <v>5.8000000000000003E-2</v>
      </c>
      <c r="BV24" s="3">
        <v>0.06</v>
      </c>
      <c r="BW24" s="4">
        <v>5.8999999999999997E-2</v>
      </c>
      <c r="BX24" s="4">
        <v>4.3999999999999997E-2</v>
      </c>
      <c r="BY24" s="3">
        <v>6.9000000000000006E-2</v>
      </c>
      <c r="BZ24" s="4">
        <v>5.8999999999999997E-2</v>
      </c>
      <c r="CA24" s="4">
        <v>4.2999999999999997E-2</v>
      </c>
      <c r="CB24" s="4">
        <v>4.7E-2</v>
      </c>
      <c r="CC24" s="4">
        <v>4.8000000000000001E-2</v>
      </c>
      <c r="CD24" s="4">
        <v>5.1999999999999998E-2</v>
      </c>
      <c r="CE24" s="4">
        <v>4.9000000000000002E-2</v>
      </c>
      <c r="CF24" s="4">
        <v>4.1000000000000002E-2</v>
      </c>
      <c r="CG24" s="4">
        <v>0.04</v>
      </c>
      <c r="CH24" s="4">
        <v>4.1000000000000002E-2</v>
      </c>
      <c r="CI24" s="4">
        <v>5.0999999999999997E-2</v>
      </c>
      <c r="CJ24" s="4">
        <v>5.0999999999999997E-2</v>
      </c>
      <c r="CK24" s="4">
        <v>4.3999999999999997E-2</v>
      </c>
      <c r="CL24" s="4">
        <v>4.9000000000000002E-2</v>
      </c>
      <c r="CM24" s="4">
        <v>4.9000000000000002E-2</v>
      </c>
      <c r="CN24" s="4">
        <v>6.8000000000000005E-2</v>
      </c>
      <c r="CO24" s="4">
        <v>4.2999999999999997E-2</v>
      </c>
      <c r="CP24" s="4">
        <v>4.1000000000000002E-2</v>
      </c>
      <c r="CQ24" s="4">
        <v>2.9000000000000001E-2</v>
      </c>
      <c r="CR24" s="4">
        <v>4.8000000000000001E-2</v>
      </c>
      <c r="CS24" s="4">
        <v>9.0999999999999998E-2</v>
      </c>
      <c r="CT24" s="4">
        <v>4.2000000000000003E-2</v>
      </c>
      <c r="CU24" s="4">
        <v>4.2000000000000003E-2</v>
      </c>
      <c r="CV24" s="4">
        <v>0.08</v>
      </c>
      <c r="CW24" s="4">
        <v>6.2E-2</v>
      </c>
      <c r="CX24" s="4">
        <v>8.2000000000000003E-2</v>
      </c>
      <c r="CY24" s="4">
        <v>0.08</v>
      </c>
      <c r="CZ24" s="4">
        <v>6.2E-2</v>
      </c>
      <c r="DA24" s="4">
        <v>6.8000000000000005E-2</v>
      </c>
      <c r="DB24" s="4">
        <v>7.4999999999999997E-2</v>
      </c>
      <c r="DC24" s="4">
        <v>7.8E-2</v>
      </c>
      <c r="DD24" s="4">
        <v>5.5E-2</v>
      </c>
      <c r="DE24" s="4">
        <v>8.1000000000000003E-2</v>
      </c>
      <c r="DF24" s="4">
        <v>7.1999999999999995E-2</v>
      </c>
      <c r="DG24" s="4">
        <v>7.0000000000000001E-3</v>
      </c>
      <c r="DH24" s="4">
        <v>7.9000000000000001E-2</v>
      </c>
      <c r="DI24" s="4">
        <v>0.04</v>
      </c>
      <c r="DJ24" s="4">
        <v>3.4000000000000002E-2</v>
      </c>
      <c r="DK24" s="4">
        <v>5.6000000000000001E-2</v>
      </c>
      <c r="DL24" s="4">
        <v>3.7999999999999999E-2</v>
      </c>
      <c r="DM24" s="4">
        <v>6.6000000000000003E-2</v>
      </c>
      <c r="DN24" s="4">
        <v>0.156</v>
      </c>
      <c r="DO24" s="4">
        <v>0.157</v>
      </c>
      <c r="DP24" s="10">
        <v>0.20100000000000001</v>
      </c>
      <c r="DQ24" s="10">
        <v>0.11700000000000001</v>
      </c>
      <c r="DR24" s="10">
        <v>8.8999999999999996E-2</v>
      </c>
      <c r="DS24" s="4">
        <v>8.7999999999999995E-2</v>
      </c>
      <c r="DT24" s="4">
        <v>7.0000000000000007E-2</v>
      </c>
      <c r="DU24" s="4">
        <v>6.2E-2</v>
      </c>
      <c r="DV24" s="4">
        <v>4.4999999999999998E-2</v>
      </c>
      <c r="DW24" s="4">
        <v>0.10299999999999999</v>
      </c>
      <c r="DX24" s="4">
        <v>9.4E-2</v>
      </c>
      <c r="DY24" s="4">
        <v>8.4000000000000005E-2</v>
      </c>
      <c r="DZ24" s="4">
        <v>9.0999999999999998E-2</v>
      </c>
      <c r="EA24" s="4">
        <v>9.1999999999999998E-2</v>
      </c>
      <c r="EB24" s="4">
        <v>7.9000000000000001E-2</v>
      </c>
      <c r="EC24" s="4">
        <v>0.111</v>
      </c>
      <c r="ED24" s="10">
        <v>8.2000000000000003E-2</v>
      </c>
      <c r="EE24" s="4">
        <v>0.09</v>
      </c>
      <c r="EF24" s="4">
        <v>6.0999999999999999E-2</v>
      </c>
      <c r="EG24" s="4">
        <v>0.02</v>
      </c>
      <c r="EH24" s="4">
        <v>6.0999999999999999E-2</v>
      </c>
      <c r="EI24" s="4">
        <v>5.8000000000000003E-2</v>
      </c>
      <c r="EJ24" s="4">
        <v>6.2E-2</v>
      </c>
      <c r="EK24" s="4">
        <v>6.5000000000000002E-2</v>
      </c>
      <c r="EL24" s="4">
        <v>7.2999999999999995E-2</v>
      </c>
      <c r="EM24" s="4">
        <v>7.0000000000000007E-2</v>
      </c>
      <c r="EN24" s="4">
        <v>5.6000000000000001E-2</v>
      </c>
      <c r="EO24" s="4">
        <v>4.5999999999999999E-2</v>
      </c>
      <c r="EP24" s="4">
        <v>3.3000000000000002E-2</v>
      </c>
      <c r="EQ24" s="4">
        <v>4.4999999999999998E-2</v>
      </c>
      <c r="ER24" s="4">
        <v>4.2999999999999997E-2</v>
      </c>
      <c r="ES24" s="4">
        <v>6.2E-2</v>
      </c>
      <c r="ET24" s="4">
        <v>7.2999999999999995E-2</v>
      </c>
      <c r="EU24" s="4">
        <v>9.4E-2</v>
      </c>
      <c r="EV24" s="4">
        <v>8.5000000000000006E-2</v>
      </c>
      <c r="EW24" s="4">
        <v>8.2000000000000003E-2</v>
      </c>
      <c r="EX24" s="4">
        <v>6.2E-2</v>
      </c>
      <c r="EY24" s="4">
        <v>6.0999999999999999E-2</v>
      </c>
      <c r="EZ24" s="4">
        <v>5.7000000000000002E-2</v>
      </c>
      <c r="FA24" s="4">
        <v>6.6000000000000003E-2</v>
      </c>
      <c r="FB24" s="4">
        <v>5.2999999999999999E-2</v>
      </c>
      <c r="FC24" s="4">
        <v>7.1999999999999995E-2</v>
      </c>
      <c r="FD24" s="4">
        <v>5.8999999999999997E-2</v>
      </c>
      <c r="FE24" s="4">
        <v>6.5000000000000002E-2</v>
      </c>
      <c r="FF24" s="4">
        <v>6.5000000000000002E-2</v>
      </c>
      <c r="FG24" s="4"/>
      <c r="FH24" s="4"/>
      <c r="FI24" s="4"/>
      <c r="FJ24" s="4"/>
      <c r="FK24" s="4"/>
      <c r="FL24" s="4"/>
    </row>
    <row r="25" spans="1:168" x14ac:dyDescent="0.3">
      <c r="A25" t="s">
        <v>140</v>
      </c>
      <c r="B25" s="4">
        <v>0.04</v>
      </c>
      <c r="C25" s="4">
        <v>0.04</v>
      </c>
      <c r="D25" s="4">
        <v>0.04</v>
      </c>
      <c r="E25" s="4">
        <v>0.05</v>
      </c>
      <c r="F25" s="4">
        <v>0.06</v>
      </c>
      <c r="G25" s="4">
        <v>0.05</v>
      </c>
      <c r="H25" s="4">
        <v>0.05</v>
      </c>
      <c r="I25" s="4">
        <v>0.03</v>
      </c>
      <c r="J25" s="4">
        <v>0.03</v>
      </c>
      <c r="K25" s="4">
        <v>0.06</v>
      </c>
      <c r="L25" s="4">
        <v>0.05</v>
      </c>
      <c r="M25" s="4">
        <v>0.03</v>
      </c>
      <c r="N25" s="4">
        <v>0.05</v>
      </c>
      <c r="O25" s="4">
        <v>0.03</v>
      </c>
      <c r="P25" s="4">
        <v>0.03</v>
      </c>
      <c r="Q25" s="4">
        <v>0.02</v>
      </c>
      <c r="R25" s="4">
        <v>0.03</v>
      </c>
      <c r="S25" s="4">
        <v>0.04</v>
      </c>
      <c r="T25" s="4">
        <v>0.05</v>
      </c>
      <c r="U25" s="4">
        <v>0.05</v>
      </c>
      <c r="V25" s="4">
        <v>0.05</v>
      </c>
      <c r="W25" s="4">
        <v>0.04</v>
      </c>
      <c r="X25" s="4">
        <v>0.06</v>
      </c>
      <c r="Y25" s="4">
        <v>0.02</v>
      </c>
      <c r="Z25" s="4">
        <v>0.03</v>
      </c>
      <c r="AA25" s="4">
        <v>0.06</v>
      </c>
      <c r="AB25" s="4">
        <v>0.04</v>
      </c>
      <c r="AC25" s="4">
        <v>0.05</v>
      </c>
      <c r="AD25" s="4">
        <v>0.03</v>
      </c>
      <c r="AE25" s="4">
        <v>0.04</v>
      </c>
      <c r="AF25" s="4">
        <v>0.04</v>
      </c>
      <c r="AG25" s="4">
        <v>0.04</v>
      </c>
      <c r="AH25" s="4">
        <v>0.06</v>
      </c>
      <c r="AI25" s="4">
        <v>0.04</v>
      </c>
      <c r="AJ25" s="4">
        <v>0.04</v>
      </c>
      <c r="AK25" s="4">
        <v>0.04</v>
      </c>
      <c r="AL25" s="4">
        <v>0.04</v>
      </c>
      <c r="AM25" s="4">
        <v>7.0000000000000007E-2</v>
      </c>
      <c r="AN25" s="4">
        <v>0.05</v>
      </c>
      <c r="AO25" s="4">
        <v>0.03</v>
      </c>
      <c r="AP25" s="4">
        <v>0.04</v>
      </c>
      <c r="AQ25" s="10">
        <v>0.05</v>
      </c>
      <c r="AR25" s="10">
        <v>0.04</v>
      </c>
      <c r="AS25" s="4">
        <v>0.04</v>
      </c>
      <c r="AT25" s="4">
        <v>0.03</v>
      </c>
      <c r="AU25" s="10">
        <v>0.03</v>
      </c>
      <c r="AV25" s="10">
        <v>0.06</v>
      </c>
      <c r="AW25" s="4">
        <v>0.04</v>
      </c>
      <c r="AX25" s="4">
        <v>0.05</v>
      </c>
      <c r="AY25" s="4">
        <v>0.06</v>
      </c>
      <c r="AZ25" s="4">
        <v>0.05</v>
      </c>
      <c r="BA25" s="4">
        <v>0.04</v>
      </c>
      <c r="BB25" s="4">
        <v>0.04</v>
      </c>
      <c r="BC25" s="4">
        <v>0.02</v>
      </c>
      <c r="BD25" s="4">
        <v>0.02</v>
      </c>
      <c r="BE25" s="4">
        <v>0.06</v>
      </c>
      <c r="BF25" s="4">
        <v>0.04</v>
      </c>
      <c r="BG25" s="4">
        <v>0.02</v>
      </c>
      <c r="BH25" s="4">
        <v>0.05</v>
      </c>
      <c r="BI25" s="4">
        <v>0.05</v>
      </c>
      <c r="BJ25" s="4">
        <v>0.06</v>
      </c>
      <c r="BK25" s="4">
        <v>0.04</v>
      </c>
      <c r="BL25" s="4">
        <v>0.06</v>
      </c>
      <c r="BM25" s="4">
        <v>0.05</v>
      </c>
      <c r="BN25" s="4">
        <v>0.04</v>
      </c>
      <c r="BO25" s="4">
        <v>0.05</v>
      </c>
      <c r="BP25" s="4">
        <v>0.03</v>
      </c>
      <c r="BQ25" s="4">
        <v>0.03</v>
      </c>
      <c r="BR25" s="4">
        <v>0.04</v>
      </c>
      <c r="BS25" s="10">
        <v>0.05</v>
      </c>
      <c r="BT25" s="3">
        <v>0.06</v>
      </c>
      <c r="BU25" s="7">
        <v>0.06</v>
      </c>
      <c r="BV25" s="3">
        <v>0.03</v>
      </c>
      <c r="BW25" s="4">
        <v>0.05</v>
      </c>
      <c r="BX25" s="4">
        <v>7.0000000000000007E-2</v>
      </c>
      <c r="BY25" s="3">
        <v>0.06</v>
      </c>
      <c r="BZ25" s="4">
        <v>0.05</v>
      </c>
      <c r="CA25" s="4">
        <v>0.03</v>
      </c>
      <c r="CB25" s="4">
        <v>0.04</v>
      </c>
      <c r="CC25" s="4">
        <v>0.04</v>
      </c>
      <c r="CD25" s="4">
        <v>0.05</v>
      </c>
      <c r="CE25" s="4">
        <v>0.03</v>
      </c>
      <c r="CF25" s="4">
        <v>0.04</v>
      </c>
      <c r="CG25" s="4">
        <v>0.04</v>
      </c>
      <c r="CH25" s="4">
        <v>0.03</v>
      </c>
      <c r="CI25" s="4">
        <v>0.04</v>
      </c>
      <c r="CJ25" s="4">
        <v>0.04</v>
      </c>
      <c r="CK25" s="4">
        <v>0.04</v>
      </c>
      <c r="CL25" s="4">
        <v>0.03</v>
      </c>
      <c r="CM25" s="4">
        <v>0.03</v>
      </c>
      <c r="CN25" s="4">
        <v>0.04</v>
      </c>
      <c r="CO25" s="4">
        <v>0.04</v>
      </c>
      <c r="CP25" s="4">
        <v>0.01</v>
      </c>
      <c r="CQ25" s="4">
        <v>0.03</v>
      </c>
      <c r="CR25" s="4">
        <v>0.03</v>
      </c>
      <c r="CS25" s="4">
        <v>0.04</v>
      </c>
      <c r="CT25" s="4">
        <v>0.01</v>
      </c>
      <c r="CU25" s="4">
        <v>0.02</v>
      </c>
      <c r="CV25" s="4">
        <v>0.05</v>
      </c>
      <c r="CW25" s="4">
        <v>0.06</v>
      </c>
      <c r="CX25" s="4">
        <v>0.04</v>
      </c>
      <c r="CY25" s="4">
        <v>0.05</v>
      </c>
      <c r="CZ25" s="4">
        <v>0.03</v>
      </c>
      <c r="DA25" s="4">
        <v>0.03</v>
      </c>
      <c r="DB25" s="4">
        <v>0.03</v>
      </c>
      <c r="DC25" s="4">
        <v>0.05</v>
      </c>
      <c r="DD25" s="4">
        <v>0.04</v>
      </c>
      <c r="DE25" s="4">
        <v>0.06</v>
      </c>
      <c r="DF25" s="4">
        <v>0.05</v>
      </c>
      <c r="DG25" s="4">
        <v>0.01</v>
      </c>
      <c r="DH25" s="4">
        <v>0.05</v>
      </c>
      <c r="DI25" s="4">
        <v>0.02</v>
      </c>
      <c r="DJ25" s="4">
        <v>0.02</v>
      </c>
      <c r="DK25" s="4">
        <v>0.02</v>
      </c>
      <c r="DL25" s="4">
        <v>0.03</v>
      </c>
      <c r="DM25" s="4">
        <v>0.03</v>
      </c>
      <c r="DN25" s="4">
        <v>0.05</v>
      </c>
      <c r="DO25" s="4">
        <v>0.04</v>
      </c>
      <c r="DP25" s="10">
        <v>0.04</v>
      </c>
      <c r="DQ25" s="10">
        <v>0.03</v>
      </c>
      <c r="DR25" s="10">
        <v>0.03</v>
      </c>
      <c r="DS25" s="4">
        <v>0.05</v>
      </c>
      <c r="DT25" s="4">
        <v>0.04</v>
      </c>
      <c r="DU25" s="4">
        <v>0.05</v>
      </c>
      <c r="DV25" s="4">
        <v>0.03</v>
      </c>
      <c r="DW25" s="4">
        <v>0.04</v>
      </c>
      <c r="DX25" s="4">
        <v>0.04</v>
      </c>
      <c r="DY25" s="4">
        <v>0.02</v>
      </c>
      <c r="DZ25" s="4">
        <v>0.03</v>
      </c>
      <c r="EA25" s="4">
        <v>0.04</v>
      </c>
      <c r="EB25" s="4">
        <v>0.03</v>
      </c>
      <c r="EC25" s="4">
        <v>0.05</v>
      </c>
      <c r="ED25" s="10">
        <v>0.03</v>
      </c>
      <c r="EE25" s="4">
        <v>0.03</v>
      </c>
      <c r="EF25" s="4">
        <v>0.02</v>
      </c>
      <c r="EG25" s="4">
        <v>0.02</v>
      </c>
      <c r="EH25" s="4">
        <v>0.04</v>
      </c>
      <c r="EI25" s="4">
        <v>0.04</v>
      </c>
      <c r="EJ25" s="4">
        <v>0.04</v>
      </c>
      <c r="EK25" s="4">
        <v>0.05</v>
      </c>
      <c r="EL25" s="4">
        <v>0.04</v>
      </c>
      <c r="EM25" s="4">
        <v>0.04</v>
      </c>
      <c r="EN25" s="4">
        <v>0.04</v>
      </c>
      <c r="EO25" s="4">
        <v>0.02</v>
      </c>
      <c r="EP25" s="4">
        <v>0.02</v>
      </c>
      <c r="EQ25" s="4">
        <v>0.02</v>
      </c>
      <c r="ER25" s="4">
        <v>0.02</v>
      </c>
      <c r="ES25" s="4">
        <v>0.04</v>
      </c>
      <c r="ET25" s="4">
        <v>0.06</v>
      </c>
      <c r="EU25" s="4">
        <v>0.03</v>
      </c>
      <c r="EV25" s="4">
        <v>0.04</v>
      </c>
      <c r="EW25" s="4">
        <v>0.05</v>
      </c>
      <c r="EX25" s="4">
        <v>0.04</v>
      </c>
      <c r="EY25" s="4">
        <v>0.03</v>
      </c>
      <c r="EZ25" s="4">
        <v>0.03</v>
      </c>
      <c r="FA25" s="4">
        <v>0.04</v>
      </c>
      <c r="FB25" s="4">
        <v>0.03</v>
      </c>
      <c r="FC25" s="4">
        <v>0.06</v>
      </c>
      <c r="FD25" s="4">
        <v>0.04</v>
      </c>
      <c r="FE25" s="4">
        <v>0.05</v>
      </c>
      <c r="FF25" s="4">
        <v>0.04</v>
      </c>
      <c r="FG25" s="4"/>
      <c r="FH25" s="4"/>
      <c r="FI25" s="4"/>
      <c r="FJ25" s="4"/>
      <c r="FK25" s="4"/>
      <c r="FL25" s="4"/>
    </row>
    <row r="26" spans="1:168" x14ac:dyDescent="0.3">
      <c r="A26" t="s">
        <v>153</v>
      </c>
      <c r="B26" s="4">
        <v>0.105</v>
      </c>
      <c r="C26" s="4">
        <v>0.156</v>
      </c>
      <c r="D26" s="4">
        <v>0.14899999999999999</v>
      </c>
      <c r="E26" s="4">
        <v>0.128</v>
      </c>
      <c r="F26" s="4">
        <v>0.113</v>
      </c>
      <c r="G26" s="4">
        <v>0.127</v>
      </c>
      <c r="H26" s="4">
        <v>7.9000000000000001E-2</v>
      </c>
      <c r="I26" s="4">
        <v>0.16</v>
      </c>
      <c r="J26" s="4">
        <v>0.20899999999999999</v>
      </c>
      <c r="K26" s="4">
        <v>0.52</v>
      </c>
      <c r="L26" s="4">
        <v>0.64</v>
      </c>
      <c r="M26" s="4">
        <v>0.21</v>
      </c>
      <c r="N26" s="4">
        <v>0.41299999999999998</v>
      </c>
      <c r="O26" s="4">
        <v>0.33100000000000002</v>
      </c>
      <c r="P26" s="4">
        <v>0.52500000000000002</v>
      </c>
      <c r="Q26" s="4">
        <v>0.6</v>
      </c>
      <c r="R26" s="4">
        <v>0.17199999999999999</v>
      </c>
      <c r="S26" s="4">
        <v>0.24</v>
      </c>
      <c r="T26" s="4">
        <v>0.53</v>
      </c>
      <c r="U26" s="4">
        <v>0.33</v>
      </c>
      <c r="V26" s="4">
        <v>0.13100000000000001</v>
      </c>
      <c r="W26" s="4">
        <v>0.13100000000000001</v>
      </c>
      <c r="X26" s="4">
        <v>0.27</v>
      </c>
      <c r="Y26" s="4">
        <v>0.17199999999999999</v>
      </c>
      <c r="Z26" s="4">
        <v>0.19600000000000001</v>
      </c>
      <c r="AA26" s="4">
        <v>0.14000000000000001</v>
      </c>
      <c r="AB26" s="4">
        <v>0.11</v>
      </c>
      <c r="AC26" s="4">
        <v>0.17</v>
      </c>
      <c r="AD26" s="4">
        <v>0.24</v>
      </c>
      <c r="AE26" s="4">
        <v>0.16700000000000001</v>
      </c>
      <c r="AF26" s="4">
        <v>0.15</v>
      </c>
      <c r="AG26" s="4">
        <v>0.77</v>
      </c>
      <c r="AH26" s="4">
        <v>0.68</v>
      </c>
      <c r="AI26" s="4">
        <v>0.77</v>
      </c>
      <c r="AJ26" s="4">
        <v>0.13100000000000001</v>
      </c>
      <c r="AK26" s="4">
        <v>0.13</v>
      </c>
      <c r="AL26" s="4">
        <v>0.13500000000000001</v>
      </c>
      <c r="AM26" s="4">
        <v>0.36299999999999999</v>
      </c>
      <c r="AN26" s="4">
        <v>0.36</v>
      </c>
      <c r="AO26" s="4">
        <v>0.58299999999999996</v>
      </c>
      <c r="AP26" s="4">
        <v>0.56999999999999995</v>
      </c>
      <c r="AQ26" s="10">
        <v>0.64</v>
      </c>
      <c r="AR26" s="4">
        <v>0.57999999999999996</v>
      </c>
      <c r="AS26" s="4">
        <v>0.34</v>
      </c>
      <c r="AT26" s="4">
        <v>0.56000000000000005</v>
      </c>
      <c r="AU26" s="4">
        <v>0.32500000000000001</v>
      </c>
      <c r="AV26" s="10">
        <v>0.23499999999999999</v>
      </c>
      <c r="AW26" s="4">
        <v>0.20300000000000001</v>
      </c>
      <c r="AX26" s="4">
        <v>0.30199999999999999</v>
      </c>
      <c r="AY26" s="10">
        <v>0.30499999999999999</v>
      </c>
      <c r="AZ26" s="10">
        <v>0.34699999999999998</v>
      </c>
      <c r="BA26" s="10">
        <v>0.73</v>
      </c>
      <c r="BB26" s="10">
        <v>0.66</v>
      </c>
      <c r="BC26" s="10">
        <v>0.187</v>
      </c>
      <c r="BD26" s="10">
        <v>0.09</v>
      </c>
      <c r="BE26" s="10">
        <v>0.4</v>
      </c>
      <c r="BF26" s="10">
        <v>0.13300000000000001</v>
      </c>
      <c r="BG26" s="10">
        <v>0.73</v>
      </c>
      <c r="BH26" s="10">
        <v>0.27500000000000002</v>
      </c>
      <c r="BI26" s="10">
        <v>0.43</v>
      </c>
      <c r="BJ26" s="10">
        <v>0.111</v>
      </c>
      <c r="BK26" s="10">
        <v>0.154</v>
      </c>
      <c r="BL26" s="10">
        <v>0.41</v>
      </c>
      <c r="BM26" s="10">
        <v>9.8000000000000004E-2</v>
      </c>
      <c r="BN26" s="10">
        <v>0.153</v>
      </c>
      <c r="BO26" s="10">
        <v>9.6000000000000002E-2</v>
      </c>
      <c r="BP26" s="10">
        <v>0.17199999999999999</v>
      </c>
      <c r="BQ26" s="10">
        <v>0.252</v>
      </c>
      <c r="BR26" s="10">
        <v>0.20200000000000001</v>
      </c>
      <c r="BS26" s="10">
        <v>0.218</v>
      </c>
      <c r="BT26" s="3">
        <v>0.54</v>
      </c>
      <c r="BU26" s="3">
        <v>0.51</v>
      </c>
      <c r="BV26" s="3">
        <v>0.21</v>
      </c>
      <c r="BW26" s="4">
        <v>0.67</v>
      </c>
      <c r="BX26" s="4">
        <v>0.55000000000000004</v>
      </c>
      <c r="BY26" s="3">
        <v>0.57999999999999996</v>
      </c>
      <c r="BZ26" s="4">
        <v>0.17299999999999999</v>
      </c>
      <c r="CA26" s="4">
        <v>0.16200000000000001</v>
      </c>
      <c r="CB26" s="4">
        <v>0.16900000000000001</v>
      </c>
      <c r="CC26" s="4">
        <v>0.188</v>
      </c>
      <c r="CD26" s="4">
        <v>0.17699999999999999</v>
      </c>
      <c r="CE26" s="4">
        <v>0.20499999999999999</v>
      </c>
      <c r="CF26" s="4">
        <v>0.182</v>
      </c>
      <c r="CG26" s="4">
        <v>0.21</v>
      </c>
      <c r="CH26" s="4">
        <v>0.20799999999999999</v>
      </c>
      <c r="CI26" s="4">
        <v>0.222</v>
      </c>
      <c r="CJ26" s="4">
        <v>0.11899999999999999</v>
      </c>
      <c r="CK26" s="4">
        <v>0.21299999999999999</v>
      </c>
      <c r="CL26" s="4">
        <v>0.254</v>
      </c>
      <c r="CM26" s="4">
        <v>0.19500000000000001</v>
      </c>
      <c r="CN26" s="4">
        <v>0.28399999999999997</v>
      </c>
      <c r="CO26" s="4">
        <v>0.223</v>
      </c>
      <c r="CP26" s="4">
        <v>0.247</v>
      </c>
      <c r="CQ26" s="4">
        <v>0.221</v>
      </c>
      <c r="CR26" s="4">
        <v>0.26300000000000001</v>
      </c>
      <c r="CS26" s="4">
        <v>0.23699999999999999</v>
      </c>
      <c r="CT26" s="4">
        <v>0.24</v>
      </c>
      <c r="CU26" s="4">
        <v>0.28100000000000003</v>
      </c>
      <c r="CV26" s="4">
        <v>0.30299999999999999</v>
      </c>
      <c r="CW26" s="4">
        <v>0.24299999999999999</v>
      </c>
      <c r="CX26" s="4">
        <v>0.27</v>
      </c>
      <c r="CY26" s="4">
        <v>0.53</v>
      </c>
      <c r="CZ26" s="4">
        <v>0.56999999999999995</v>
      </c>
      <c r="DA26" s="4">
        <v>0.72</v>
      </c>
      <c r="DB26" s="4">
        <v>0.43</v>
      </c>
      <c r="DC26" s="4">
        <v>0.15</v>
      </c>
      <c r="DD26" s="4">
        <v>0.28000000000000003</v>
      </c>
      <c r="DE26" s="4">
        <v>0.11</v>
      </c>
      <c r="DF26" s="4">
        <v>0.2</v>
      </c>
      <c r="DG26" s="4">
        <v>0.18</v>
      </c>
      <c r="DH26" s="4">
        <v>0.1</v>
      </c>
      <c r="DI26" s="4">
        <v>0.48</v>
      </c>
      <c r="DJ26" s="4">
        <v>0.45</v>
      </c>
      <c r="DK26" s="4">
        <v>0.45</v>
      </c>
      <c r="DL26" s="4">
        <v>0.32</v>
      </c>
      <c r="DM26" s="4">
        <v>0.49</v>
      </c>
      <c r="DN26" s="4">
        <v>0.54</v>
      </c>
      <c r="DO26" s="4">
        <v>0.47</v>
      </c>
      <c r="DP26" s="10">
        <v>0.71</v>
      </c>
      <c r="DQ26" s="10">
        <v>0.26</v>
      </c>
      <c r="DR26" s="10">
        <v>0.68</v>
      </c>
      <c r="DS26" s="4">
        <v>0.06</v>
      </c>
      <c r="DT26" s="4">
        <v>0.03</v>
      </c>
      <c r="DU26" s="4">
        <v>0.13</v>
      </c>
      <c r="DV26" s="4">
        <v>0.46</v>
      </c>
      <c r="DW26" s="4">
        <v>0.49</v>
      </c>
      <c r="DX26" s="4">
        <v>0.11</v>
      </c>
      <c r="DY26" s="4">
        <v>0.52</v>
      </c>
      <c r="DZ26" s="4">
        <v>0.65</v>
      </c>
      <c r="EA26" s="4">
        <v>0.72</v>
      </c>
      <c r="EB26" s="4">
        <v>0.51</v>
      </c>
      <c r="EC26" s="4">
        <v>0.52</v>
      </c>
      <c r="ED26" s="10">
        <v>0.59</v>
      </c>
      <c r="EE26" s="4">
        <v>0.56000000000000005</v>
      </c>
      <c r="EF26" s="4">
        <v>0.45300000000000001</v>
      </c>
      <c r="EG26" s="4">
        <v>0.44800000000000001</v>
      </c>
      <c r="EH26" s="4">
        <v>0.42</v>
      </c>
      <c r="EI26" s="4">
        <v>0.443</v>
      </c>
      <c r="EJ26" s="4">
        <v>0.53</v>
      </c>
      <c r="EK26" s="4">
        <v>0.38</v>
      </c>
      <c r="EL26" s="4">
        <v>0.49</v>
      </c>
      <c r="EM26" s="4">
        <v>0.33700000000000002</v>
      </c>
      <c r="EN26" s="4">
        <v>0.42299999999999999</v>
      </c>
      <c r="EO26" s="4">
        <v>0.24</v>
      </c>
      <c r="EP26" s="4">
        <v>0.23200000000000001</v>
      </c>
      <c r="EQ26" s="4">
        <v>0.29099999999999998</v>
      </c>
      <c r="ER26" s="4">
        <v>0.27700000000000002</v>
      </c>
      <c r="ES26" s="4">
        <v>0.17100000000000001</v>
      </c>
      <c r="ET26" s="4">
        <v>0.26</v>
      </c>
      <c r="EU26" s="4">
        <v>0.28000000000000003</v>
      </c>
      <c r="EV26" s="4">
        <v>0.71</v>
      </c>
      <c r="EW26" s="4">
        <v>0.73</v>
      </c>
      <c r="EX26" s="4">
        <v>0.68</v>
      </c>
      <c r="EY26" s="4">
        <v>0.19</v>
      </c>
      <c r="EZ26" s="4">
        <v>0.33500000000000002</v>
      </c>
      <c r="FA26" s="4">
        <v>0.217</v>
      </c>
      <c r="FB26" s="4">
        <v>0.43</v>
      </c>
      <c r="FC26" s="4">
        <v>0.247</v>
      </c>
      <c r="FD26" s="4">
        <v>0.34200000000000003</v>
      </c>
      <c r="FE26" s="4">
        <v>0.26700000000000002</v>
      </c>
      <c r="FF26" s="4">
        <v>0.27300000000000002</v>
      </c>
      <c r="FG26" s="4"/>
      <c r="FH26" s="4"/>
      <c r="FI26" s="4"/>
      <c r="FJ26" s="4"/>
      <c r="FK26" s="4"/>
      <c r="FL26" s="4"/>
    </row>
    <row r="27" spans="1:168" x14ac:dyDescent="0.3">
      <c r="A27" t="s">
        <v>145</v>
      </c>
      <c r="B27" s="3">
        <f t="shared" ref="B27:AG27" si="90">(B22-B14)/B14</f>
        <v>1.846153846153846</v>
      </c>
      <c r="C27" s="3">
        <f t="shared" si="90"/>
        <v>1.4444444444444446</v>
      </c>
      <c r="D27" s="3">
        <f t="shared" si="90"/>
        <v>1.5</v>
      </c>
      <c r="E27" s="3">
        <f t="shared" si="90"/>
        <v>1.5294117647058822</v>
      </c>
      <c r="F27" s="3">
        <f t="shared" si="90"/>
        <v>1.6428571428571426</v>
      </c>
      <c r="G27" s="3">
        <f t="shared" si="90"/>
        <v>1.6428571428571426</v>
      </c>
      <c r="H27" s="3">
        <f t="shared" si="90"/>
        <v>2.6249999999999996</v>
      </c>
      <c r="I27" s="3">
        <f t="shared" si="90"/>
        <v>0.73684210526315796</v>
      </c>
      <c r="J27" s="3">
        <f t="shared" si="90"/>
        <v>1.5789473684210527</v>
      </c>
      <c r="K27" s="3">
        <f t="shared" si="90"/>
        <v>0.21428571428571425</v>
      </c>
      <c r="L27" s="3">
        <f t="shared" si="90"/>
        <v>0.16216216216216217</v>
      </c>
      <c r="M27" s="3">
        <f t="shared" si="90"/>
        <v>0.52380952380952395</v>
      </c>
      <c r="N27" s="3">
        <f t="shared" si="90"/>
        <v>0.36666666666666664</v>
      </c>
      <c r="O27" s="3">
        <f t="shared" si="90"/>
        <v>0.81818181818181823</v>
      </c>
      <c r="P27" s="3">
        <f t="shared" si="90"/>
        <v>0.17499999999999988</v>
      </c>
      <c r="Q27" s="3">
        <f t="shared" si="90"/>
        <v>0</v>
      </c>
      <c r="R27" s="3">
        <f t="shared" si="90"/>
        <v>1.7058823529411766</v>
      </c>
      <c r="S27" s="3">
        <f t="shared" si="90"/>
        <v>0.56000000000000005</v>
      </c>
      <c r="T27" s="3">
        <f t="shared" si="90"/>
        <v>0.24999999999999994</v>
      </c>
      <c r="U27" s="3">
        <f t="shared" si="90"/>
        <v>0.37037037037037024</v>
      </c>
      <c r="V27" s="3">
        <f t="shared" si="90"/>
        <v>1.9090909090909092</v>
      </c>
      <c r="W27" s="3">
        <f t="shared" si="90"/>
        <v>1.2222222222222223</v>
      </c>
      <c r="X27" s="3">
        <f t="shared" si="90"/>
        <v>0.51612903225806439</v>
      </c>
      <c r="Y27" s="3">
        <f t="shared" si="90"/>
        <v>1.4375</v>
      </c>
      <c r="Z27" s="3">
        <f t="shared" si="90"/>
        <v>1.0555555555555556</v>
      </c>
      <c r="AA27" s="3">
        <f t="shared" si="90"/>
        <v>1.0555555555555556</v>
      </c>
      <c r="AB27" s="3">
        <f t="shared" si="90"/>
        <v>1.357142857142857</v>
      </c>
      <c r="AC27" s="3">
        <f t="shared" si="90"/>
        <v>0.94736842105263153</v>
      </c>
      <c r="AD27" s="3">
        <f t="shared" si="90"/>
        <v>0.76</v>
      </c>
      <c r="AE27" s="3">
        <f t="shared" si="90"/>
        <v>1.1874999999999998</v>
      </c>
      <c r="AF27" s="3">
        <f t="shared" si="90"/>
        <v>1.0588235294117645</v>
      </c>
      <c r="AG27" s="3">
        <f t="shared" si="90"/>
        <v>8.0000000000000071E-2</v>
      </c>
      <c r="AH27" s="3">
        <f t="shared" ref="AH27:BM27" si="91">(AH22-AH14)/AH14</f>
        <v>0.10638297872340435</v>
      </c>
      <c r="AI27" s="3">
        <f t="shared" si="91"/>
        <v>5.0000000000000044E-2</v>
      </c>
      <c r="AJ27" s="3">
        <f t="shared" si="91"/>
        <v>1.375</v>
      </c>
      <c r="AK27" s="3">
        <f t="shared" si="91"/>
        <v>1.5294117647058822</v>
      </c>
      <c r="AL27" s="3">
        <f t="shared" si="91"/>
        <v>1.7692307692307689</v>
      </c>
      <c r="AM27" s="3">
        <f t="shared" si="91"/>
        <v>0.57575757575757569</v>
      </c>
      <c r="AN27" s="3">
        <f t="shared" si="91"/>
        <v>0.45714285714285724</v>
      </c>
      <c r="AO27" s="3">
        <f t="shared" si="91"/>
        <v>0.32558139534883712</v>
      </c>
      <c r="AP27" s="3">
        <f t="shared" si="91"/>
        <v>0.10256410256410251</v>
      </c>
      <c r="AQ27" s="7">
        <f t="shared" si="91"/>
        <v>0.15151515151515146</v>
      </c>
      <c r="AR27" s="3">
        <f t="shared" si="91"/>
        <v>0.13793103448275876</v>
      </c>
      <c r="AS27" s="3">
        <f t="shared" si="91"/>
        <v>0.48148148148148145</v>
      </c>
      <c r="AT27" s="3">
        <f t="shared" si="91"/>
        <v>-0.22727272727272721</v>
      </c>
      <c r="AU27" s="3">
        <f t="shared" si="91"/>
        <v>0.93333333333333324</v>
      </c>
      <c r="AV27" s="7">
        <f t="shared" si="91"/>
        <v>0.60869565217391297</v>
      </c>
      <c r="AW27" s="3">
        <f t="shared" si="91"/>
        <v>0.59090909090909083</v>
      </c>
      <c r="AX27" s="3">
        <f t="shared" si="91"/>
        <v>0.56521739130434767</v>
      </c>
      <c r="AY27" s="3">
        <f t="shared" si="91"/>
        <v>0.53571428571428559</v>
      </c>
      <c r="AZ27" s="3">
        <f t="shared" si="91"/>
        <v>0.29729729729729726</v>
      </c>
      <c r="BA27" s="3">
        <f t="shared" si="91"/>
        <v>9.6774193548387177E-2</v>
      </c>
      <c r="BB27" s="3">
        <f t="shared" si="91"/>
        <v>0.16666666666666669</v>
      </c>
      <c r="BC27" s="3">
        <f t="shared" si="91"/>
        <v>1.8999999999999997</v>
      </c>
      <c r="BD27" s="3">
        <f t="shared" si="91"/>
        <v>2.9230769230769229</v>
      </c>
      <c r="BE27" s="3">
        <f t="shared" si="91"/>
        <v>0.20512820512820501</v>
      </c>
      <c r="BF27" s="3">
        <f t="shared" si="91"/>
        <v>1.8181818181818183</v>
      </c>
      <c r="BG27" s="3">
        <f t="shared" si="91"/>
        <v>0.13636363636363635</v>
      </c>
      <c r="BH27" s="3">
        <f t="shared" si="91"/>
        <v>0.57894736842105254</v>
      </c>
      <c r="BI27" s="3">
        <f t="shared" si="91"/>
        <v>0.34482758620689669</v>
      </c>
      <c r="BJ27" s="3">
        <f t="shared" si="91"/>
        <v>1.8333333333333337</v>
      </c>
      <c r="BK27" s="3">
        <f t="shared" si="91"/>
        <v>0.94736842105263153</v>
      </c>
      <c r="BL27" s="3">
        <f t="shared" si="91"/>
        <v>0.38461538461538464</v>
      </c>
      <c r="BM27" s="3">
        <f t="shared" si="91"/>
        <v>2.0714285714285712</v>
      </c>
      <c r="BN27" s="3">
        <f t="shared" ref="BN27:CS27" si="92">(BN22-BN14)/BN14</f>
        <v>1.5294117647058822</v>
      </c>
      <c r="BO27" s="3">
        <f t="shared" si="92"/>
        <v>2.4</v>
      </c>
      <c r="BP27" s="3">
        <f t="shared" si="92"/>
        <v>1.214285714285714</v>
      </c>
      <c r="BQ27" s="3">
        <f t="shared" si="92"/>
        <v>1</v>
      </c>
      <c r="BR27" s="3">
        <f t="shared" si="92"/>
        <v>1.0476190476190477</v>
      </c>
      <c r="BS27" s="7">
        <f t="shared" si="92"/>
        <v>1.2</v>
      </c>
      <c r="BT27" s="3">
        <f t="shared" si="92"/>
        <v>0.1875</v>
      </c>
      <c r="BU27" s="3">
        <f t="shared" si="92"/>
        <v>0.17142857142857143</v>
      </c>
      <c r="BV27" s="3">
        <f t="shared" si="92"/>
        <v>0.22916666666666666</v>
      </c>
      <c r="BW27" s="3">
        <f t="shared" si="92"/>
        <v>9.3749999999999903E-2</v>
      </c>
      <c r="BX27" s="3">
        <f t="shared" si="92"/>
        <v>0.15151515151515146</v>
      </c>
      <c r="BY27" s="3">
        <f t="shared" si="92"/>
        <v>0.15624999999999997</v>
      </c>
      <c r="BZ27" s="3">
        <f t="shared" si="92"/>
        <v>1.5294117647058822</v>
      </c>
      <c r="CA27" s="3">
        <f t="shared" si="92"/>
        <v>1.5333333333333334</v>
      </c>
      <c r="CB27" s="3">
        <f t="shared" si="92"/>
        <v>1.5714285714285712</v>
      </c>
      <c r="CC27" s="3">
        <f t="shared" si="92"/>
        <v>1.4444444444444446</v>
      </c>
      <c r="CD27" s="3">
        <f t="shared" si="92"/>
        <v>1.5624999999999998</v>
      </c>
      <c r="CE27" s="3">
        <f t="shared" si="92"/>
        <v>1.1499999999999999</v>
      </c>
      <c r="CF27" s="3">
        <f t="shared" si="92"/>
        <v>1.6428571428571426</v>
      </c>
      <c r="CG27" s="3">
        <f t="shared" si="92"/>
        <v>1.2666666666666668</v>
      </c>
      <c r="CH27" s="3">
        <f t="shared" si="92"/>
        <v>1.3181818181818183</v>
      </c>
      <c r="CI27" s="3">
        <f t="shared" si="92"/>
        <v>1.4499999999999997</v>
      </c>
      <c r="CJ27" s="3">
        <f t="shared" si="92"/>
        <v>1.4166666666666665</v>
      </c>
      <c r="CK27" s="3">
        <f t="shared" si="92"/>
        <v>1.1904761904761905</v>
      </c>
      <c r="CL27" s="3">
        <f t="shared" si="92"/>
        <v>1.3181818181818183</v>
      </c>
      <c r="CM27" s="3">
        <f t="shared" si="92"/>
        <v>1.3888888888888888</v>
      </c>
      <c r="CN27" s="3">
        <f t="shared" si="92"/>
        <v>1.1481481481481479</v>
      </c>
      <c r="CO27" s="3">
        <f t="shared" si="92"/>
        <v>1.142857142857143</v>
      </c>
      <c r="CP27" s="3">
        <f t="shared" si="92"/>
        <v>1.5000000000000002</v>
      </c>
      <c r="CQ27" s="3">
        <f t="shared" si="92"/>
        <v>1.2777777777777777</v>
      </c>
      <c r="CR27" s="3">
        <f t="shared" si="92"/>
        <v>1.04</v>
      </c>
      <c r="CS27" s="3">
        <f t="shared" si="92"/>
        <v>1</v>
      </c>
      <c r="CT27" s="3">
        <f t="shared" ref="CT27:DY27" si="93">(CT22-CT14)/CT14</f>
        <v>1.5454545454545459</v>
      </c>
      <c r="CU27" s="3">
        <f t="shared" si="93"/>
        <v>1.1200000000000001</v>
      </c>
      <c r="CV27" s="3">
        <f t="shared" si="93"/>
        <v>0.54166666666666674</v>
      </c>
      <c r="CW27" s="3">
        <f t="shared" si="93"/>
        <v>0.75000000000000011</v>
      </c>
      <c r="CX27" s="3">
        <f t="shared" si="93"/>
        <v>0.76</v>
      </c>
      <c r="CY27" s="3">
        <f t="shared" si="93"/>
        <v>0.2195121951219513</v>
      </c>
      <c r="CZ27" s="3">
        <f t="shared" si="93"/>
        <v>0.22727272727272735</v>
      </c>
      <c r="DA27" s="3">
        <f t="shared" si="93"/>
        <v>0.12500000000000011</v>
      </c>
      <c r="DB27" s="3">
        <f t="shared" si="93"/>
        <v>0.38888888888888895</v>
      </c>
      <c r="DC27" s="3">
        <f t="shared" si="93"/>
        <v>0.50000000000000011</v>
      </c>
      <c r="DD27" s="3">
        <f t="shared" si="93"/>
        <v>0.57894736842105254</v>
      </c>
      <c r="DE27" s="3">
        <f t="shared" si="93"/>
        <v>0.5555555555555558</v>
      </c>
      <c r="DF27" s="3">
        <f t="shared" si="93"/>
        <v>0.61111111111111105</v>
      </c>
      <c r="DG27" s="3">
        <f t="shared" si="93"/>
        <v>0.65384615384615374</v>
      </c>
      <c r="DH27" s="3">
        <f t="shared" si="93"/>
        <v>0.62500000000000011</v>
      </c>
      <c r="DI27" s="3">
        <f t="shared" si="93"/>
        <v>0.34374999999999994</v>
      </c>
      <c r="DJ27" s="3">
        <f t="shared" si="93"/>
        <v>0.24324324324324331</v>
      </c>
      <c r="DK27" s="3">
        <f t="shared" si="93"/>
        <v>0.29729729729729726</v>
      </c>
      <c r="DL27" s="3">
        <f t="shared" si="93"/>
        <v>0.37931034482758635</v>
      </c>
      <c r="DM27" s="3">
        <f t="shared" si="93"/>
        <v>0.30555555555555552</v>
      </c>
      <c r="DN27" s="3">
        <f t="shared" si="93"/>
        <v>0.27083333333333337</v>
      </c>
      <c r="DO27" s="3">
        <f t="shared" si="93"/>
        <v>0.2156862745098039</v>
      </c>
      <c r="DP27" s="7">
        <f t="shared" si="93"/>
        <v>0.12962962962962954</v>
      </c>
      <c r="DQ27" s="7">
        <f t="shared" si="93"/>
        <v>0.25</v>
      </c>
      <c r="DR27" s="7">
        <f t="shared" si="93"/>
        <v>0.14545454545454536</v>
      </c>
      <c r="DS27" s="3">
        <f t="shared" si="93"/>
        <v>0.36111111111111116</v>
      </c>
      <c r="DT27" s="3">
        <f t="shared" si="93"/>
        <v>0.43750000000000006</v>
      </c>
      <c r="DU27" s="3">
        <f t="shared" si="93"/>
        <v>0.66666666666666663</v>
      </c>
      <c r="DV27" s="3">
        <f t="shared" si="93"/>
        <v>0.1999999999999999</v>
      </c>
      <c r="DW27" s="3">
        <f t="shared" si="93"/>
        <v>0.22727272727272735</v>
      </c>
      <c r="DX27" s="3">
        <f t="shared" si="93"/>
        <v>0.39534883720930231</v>
      </c>
      <c r="DY27" s="3">
        <f t="shared" si="93"/>
        <v>0.31034482758620702</v>
      </c>
      <c r="DZ27" s="3">
        <f t="shared" ref="DZ27:EY27" si="94">(DZ22-DZ14)/DZ14</f>
        <v>0.2</v>
      </c>
      <c r="EA27" s="3">
        <f t="shared" si="94"/>
        <v>0.1666666666666666</v>
      </c>
      <c r="EB27" s="3">
        <f t="shared" si="94"/>
        <v>0.31914893617021284</v>
      </c>
      <c r="EC27" s="3">
        <f t="shared" si="94"/>
        <v>0.28571428571428586</v>
      </c>
      <c r="ED27" s="7">
        <f t="shared" si="94"/>
        <v>0.20689655172413793</v>
      </c>
      <c r="EE27" s="3">
        <f t="shared" si="94"/>
        <v>0.24561403508771934</v>
      </c>
      <c r="EF27" s="3">
        <f t="shared" si="94"/>
        <v>0.68292682926829262</v>
      </c>
      <c r="EG27" s="3">
        <f t="shared" si="94"/>
        <v>0.63414634146341486</v>
      </c>
      <c r="EH27" s="3">
        <f t="shared" si="94"/>
        <v>0.29629629629629611</v>
      </c>
      <c r="EI27" s="3">
        <f t="shared" si="94"/>
        <v>0.32000000000000006</v>
      </c>
      <c r="EJ27" s="3">
        <f t="shared" si="94"/>
        <v>0.21428571428571425</v>
      </c>
      <c r="EK27" s="3">
        <f t="shared" si="94"/>
        <v>0.50000000000000011</v>
      </c>
      <c r="EL27" s="3">
        <f t="shared" si="94"/>
        <v>0.31249999999999994</v>
      </c>
      <c r="EM27" s="3">
        <f t="shared" si="94"/>
        <v>0.32142857142857129</v>
      </c>
      <c r="EN27" s="3">
        <f t="shared" si="94"/>
        <v>0.26923076923076927</v>
      </c>
      <c r="EO27" s="3">
        <f t="shared" si="94"/>
        <v>0.90322580645161277</v>
      </c>
      <c r="EP27" s="3">
        <f t="shared" si="94"/>
        <v>0.67741935483870974</v>
      </c>
      <c r="EQ27" s="3">
        <f t="shared" si="94"/>
        <v>0.78124999999999978</v>
      </c>
      <c r="ER27" s="3">
        <f t="shared" si="94"/>
        <v>0.57499999999999996</v>
      </c>
      <c r="ES27" s="3">
        <f t="shared" si="94"/>
        <v>1.4761904761904765</v>
      </c>
      <c r="ET27" s="3">
        <f t="shared" si="94"/>
        <v>0.47826086956521741</v>
      </c>
      <c r="EU27" s="3">
        <f t="shared" si="94"/>
        <v>6.1538461538461417E-2</v>
      </c>
      <c r="EV27" s="3">
        <f t="shared" si="94"/>
        <v>9.090909090909087E-2</v>
      </c>
      <c r="EW27" s="3">
        <f t="shared" si="94"/>
        <v>0.13888888888888887</v>
      </c>
      <c r="EX27" s="3">
        <f t="shared" si="94"/>
        <v>6.7796610169491595E-2</v>
      </c>
      <c r="EY27" s="3">
        <f t="shared" si="94"/>
        <v>2.9850746268656577E-2</v>
      </c>
      <c r="EZ27" s="3">
        <f t="shared" ref="EZ27" si="95">(EZ22-EZ14)/EZ14</f>
        <v>0.38709677419354838</v>
      </c>
      <c r="FA27" s="3">
        <f t="shared" ref="FA27:FB27" si="96">(FA22-FA14)/FA14</f>
        <v>0.46666666666666673</v>
      </c>
      <c r="FB27" s="3">
        <f t="shared" si="96"/>
        <v>0.38461538461538453</v>
      </c>
      <c r="FC27" s="3">
        <f t="shared" ref="FC27:FD27" si="97">(FC22-FC14)/FC14</f>
        <v>0.86666666666666692</v>
      </c>
      <c r="FD27" s="3">
        <f t="shared" si="97"/>
        <v>0.44444444444444442</v>
      </c>
      <c r="FE27" s="3">
        <f t="shared" ref="FE27:FF27" si="98">(FE22-FE14)/FE14</f>
        <v>0.52173913043478248</v>
      </c>
      <c r="FF27" s="3">
        <f t="shared" si="98"/>
        <v>0.83333333333333348</v>
      </c>
      <c r="FG27" s="4"/>
      <c r="FH27" s="4"/>
      <c r="FI27" s="4"/>
      <c r="FJ27" s="4"/>
      <c r="FK27" s="4"/>
      <c r="FL27" s="4"/>
    </row>
    <row r="28" spans="1:168" x14ac:dyDescent="0.3">
      <c r="A28" t="s">
        <v>146</v>
      </c>
      <c r="B28" s="3">
        <f t="shared" ref="B28:AG28" si="99">(B23-B15)/B15</f>
        <v>2.1806722689075633</v>
      </c>
      <c r="C28" s="3">
        <f t="shared" si="99"/>
        <v>1.5541401273885351</v>
      </c>
      <c r="D28" s="3">
        <f t="shared" si="99"/>
        <v>1.6561403508771932</v>
      </c>
      <c r="E28" s="3">
        <f t="shared" si="99"/>
        <v>1.6855123674911663</v>
      </c>
      <c r="F28" s="3">
        <f t="shared" si="99"/>
        <v>1.5714285714285716</v>
      </c>
      <c r="G28" s="3">
        <f t="shared" si="99"/>
        <v>1.7047970479704795</v>
      </c>
      <c r="H28" s="3">
        <f t="shared" si="99"/>
        <v>2.707865168539326</v>
      </c>
      <c r="I28" s="3">
        <f t="shared" si="99"/>
        <v>0.51826086956521755</v>
      </c>
      <c r="J28" s="3">
        <f t="shared" si="99"/>
        <v>1.810810810810811</v>
      </c>
      <c r="K28" s="3">
        <f t="shared" si="99"/>
        <v>0.11124999999999996</v>
      </c>
      <c r="L28" s="3">
        <f t="shared" si="99"/>
        <v>0.15114709851551955</v>
      </c>
      <c r="M28" s="3">
        <f t="shared" si="99"/>
        <v>0.35874439461883406</v>
      </c>
      <c r="N28" s="3">
        <f t="shared" si="99"/>
        <v>0.36915077989601403</v>
      </c>
      <c r="O28" s="3">
        <f t="shared" si="99"/>
        <v>0.31844380403458228</v>
      </c>
      <c r="P28" s="3">
        <f t="shared" si="99"/>
        <v>7.5514874141876367E-2</v>
      </c>
      <c r="Q28" s="3">
        <f t="shared" si="99"/>
        <v>7.199100112485933E-2</v>
      </c>
      <c r="R28" s="3">
        <f t="shared" si="99"/>
        <v>2.431906614785992</v>
      </c>
      <c r="S28" s="3">
        <f t="shared" si="99"/>
        <v>0.49566724436741777</v>
      </c>
      <c r="T28" s="3">
        <f t="shared" si="99"/>
        <v>0.17408906882591094</v>
      </c>
      <c r="U28" s="3">
        <f t="shared" si="99"/>
        <v>0.28785607196401791</v>
      </c>
      <c r="V28" s="3">
        <f t="shared" si="99"/>
        <v>1.7272727272727271</v>
      </c>
      <c r="W28" s="3">
        <f t="shared" si="99"/>
        <v>1.0047393364928909</v>
      </c>
      <c r="X28" s="3">
        <f t="shared" si="99"/>
        <v>0.63559322033898313</v>
      </c>
      <c r="Y28" s="3">
        <f t="shared" si="99"/>
        <v>1.0195227765726682</v>
      </c>
      <c r="Z28" s="3">
        <f t="shared" si="99"/>
        <v>0.88351648351648338</v>
      </c>
      <c r="AA28" s="3">
        <f t="shared" si="99"/>
        <v>1.0930232558139537</v>
      </c>
      <c r="AB28" s="3">
        <f t="shared" si="99"/>
        <v>1.7836065573770494</v>
      </c>
      <c r="AC28" s="3">
        <f t="shared" si="99"/>
        <v>0.74162679425837319</v>
      </c>
      <c r="AD28" s="3">
        <f t="shared" si="99"/>
        <v>0.79051383399209485</v>
      </c>
      <c r="AE28" s="3">
        <f t="shared" si="99"/>
        <v>1.4575342465753425</v>
      </c>
      <c r="AF28" s="3">
        <f t="shared" si="99"/>
        <v>1.1662468513853903</v>
      </c>
      <c r="AG28" s="3">
        <f t="shared" si="99"/>
        <v>6.8019093078759016E-2</v>
      </c>
      <c r="AH28" s="3">
        <f t="shared" ref="AH28:BM28" si="100">(AH23-AH15)/AH15</f>
        <v>7.1782178217821707E-2</v>
      </c>
      <c r="AI28" s="3">
        <f t="shared" si="100"/>
        <v>3.0552291421856666E-2</v>
      </c>
      <c r="AJ28" s="3">
        <f t="shared" si="100"/>
        <v>1.1275510204081631</v>
      </c>
      <c r="AK28" s="3">
        <f t="shared" si="100"/>
        <v>1.1936339522546418</v>
      </c>
      <c r="AL28" s="3">
        <f t="shared" si="100"/>
        <v>1.5331325301204815</v>
      </c>
      <c r="AM28" s="3">
        <f t="shared" si="100"/>
        <v>0.63307493540051674</v>
      </c>
      <c r="AN28" s="3">
        <f t="shared" si="100"/>
        <v>0.47222222222222221</v>
      </c>
      <c r="AO28" s="3">
        <f t="shared" si="100"/>
        <v>0.3444283646888569</v>
      </c>
      <c r="AP28" s="3">
        <f t="shared" si="100"/>
        <v>3.6105032822757017E-2</v>
      </c>
      <c r="AQ28" s="7">
        <f t="shared" si="100"/>
        <v>7.4534161490683148E-2</v>
      </c>
      <c r="AR28" s="3">
        <f t="shared" si="100"/>
        <v>3.3975084937712376E-2</v>
      </c>
      <c r="AS28" s="3">
        <f t="shared" si="100"/>
        <v>0.52833333333333343</v>
      </c>
      <c r="AT28" s="3">
        <f t="shared" si="100"/>
        <v>0.15144230769230771</v>
      </c>
      <c r="AU28" s="3">
        <f t="shared" si="100"/>
        <v>0.70181818181818179</v>
      </c>
      <c r="AV28" s="7">
        <f t="shared" si="100"/>
        <v>0.34348561759729285</v>
      </c>
      <c r="AW28" s="3">
        <f t="shared" si="100"/>
        <v>0.41627543035993742</v>
      </c>
      <c r="AX28" s="3">
        <f t="shared" si="100"/>
        <v>-0.13409090909090909</v>
      </c>
      <c r="AY28" s="3">
        <f t="shared" si="100"/>
        <v>0.31839258114374025</v>
      </c>
      <c r="AZ28" s="3">
        <f t="shared" si="100"/>
        <v>0.2820512820512821</v>
      </c>
      <c r="BA28" s="3">
        <f t="shared" si="100"/>
        <v>0.1169305724725945</v>
      </c>
      <c r="BB28" s="3">
        <f t="shared" si="100"/>
        <v>0.15549936788874841</v>
      </c>
      <c r="BC28" s="3">
        <f t="shared" si="100"/>
        <v>1.7484662576687118</v>
      </c>
      <c r="BD28" s="3">
        <f t="shared" si="100"/>
        <v>2.3041666666666671</v>
      </c>
      <c r="BE28" s="3">
        <f t="shared" si="100"/>
        <v>9.6774193548387039E-2</v>
      </c>
      <c r="BF28" s="3">
        <f t="shared" si="100"/>
        <v>0.59166666666666679</v>
      </c>
      <c r="BG28" s="3">
        <f t="shared" si="100"/>
        <v>7.8651685393258369E-2</v>
      </c>
      <c r="BH28" s="3">
        <f t="shared" si="100"/>
        <v>0.37592592592592583</v>
      </c>
      <c r="BI28" s="3">
        <f t="shared" si="100"/>
        <v>0.16689655172413792</v>
      </c>
      <c r="BJ28" s="3">
        <f t="shared" si="100"/>
        <v>1.5611510791366903</v>
      </c>
      <c r="BK28" s="3">
        <f t="shared" si="100"/>
        <v>8.8607594936708792E-2</v>
      </c>
      <c r="BL28" s="3">
        <f t="shared" si="100"/>
        <v>0.65731462925851691</v>
      </c>
      <c r="BM28" s="3">
        <f t="shared" si="100"/>
        <v>2.5625000000000004</v>
      </c>
      <c r="BN28" s="3">
        <f t="shared" ref="BN28:CS28" si="101">(BN23-BN15)/BN15</f>
        <v>1.490066225165563</v>
      </c>
      <c r="BO28" s="3">
        <f t="shared" si="101"/>
        <v>2.5076142131979693</v>
      </c>
      <c r="BP28" s="3">
        <f t="shared" si="101"/>
        <v>0.34126984126984122</v>
      </c>
      <c r="BQ28" s="3">
        <f t="shared" si="101"/>
        <v>0.8192307692307691</v>
      </c>
      <c r="BR28" s="3">
        <f t="shared" si="101"/>
        <v>0.97278911564625847</v>
      </c>
      <c r="BS28" s="7">
        <f t="shared" si="101"/>
        <v>1.1758793969849244</v>
      </c>
      <c r="BT28" s="3">
        <f t="shared" si="101"/>
        <v>8.6158192090395561E-2</v>
      </c>
      <c r="BU28" s="3">
        <f t="shared" si="101"/>
        <v>9.3862815884476619E-2</v>
      </c>
      <c r="BV28" s="3">
        <f t="shared" si="101"/>
        <v>0.10069444444444441</v>
      </c>
      <c r="BW28" s="3">
        <f t="shared" si="101"/>
        <v>5.2878965922444232E-2</v>
      </c>
      <c r="BX28" s="3">
        <f t="shared" si="101"/>
        <v>5.5367231638418127E-2</v>
      </c>
      <c r="BY28" s="3">
        <f t="shared" si="101"/>
        <v>9.6080910240202211E-2</v>
      </c>
      <c r="BZ28" s="3">
        <f t="shared" si="101"/>
        <v>1.6902356902356903</v>
      </c>
      <c r="CA28" s="3">
        <f t="shared" si="101"/>
        <v>1.5099150141643061</v>
      </c>
      <c r="CB28" s="3">
        <f t="shared" si="101"/>
        <v>1.4606413994169092</v>
      </c>
      <c r="CC28" s="3">
        <f t="shared" si="101"/>
        <v>1.4730878186968839</v>
      </c>
      <c r="CD28" s="3">
        <f t="shared" si="101"/>
        <v>1.5548780487804879</v>
      </c>
      <c r="CE28" s="3">
        <f t="shared" si="101"/>
        <v>1.0983213429256595</v>
      </c>
      <c r="CF28" s="3">
        <f t="shared" si="101"/>
        <v>1.4816901408450707</v>
      </c>
      <c r="CG28" s="3">
        <f t="shared" si="101"/>
        <v>1.0046082949308757</v>
      </c>
      <c r="CH28" s="3">
        <f t="shared" si="101"/>
        <v>1.6524216524216526</v>
      </c>
      <c r="CI28" s="3">
        <f t="shared" si="101"/>
        <v>1.4500000000000002</v>
      </c>
      <c r="CJ28" s="3">
        <f t="shared" si="101"/>
        <v>0.95064935064935063</v>
      </c>
      <c r="CK28" s="3">
        <f t="shared" si="101"/>
        <v>1.3061224489795917</v>
      </c>
      <c r="CL28" s="3">
        <f t="shared" si="101"/>
        <v>1.5307262569832405</v>
      </c>
      <c r="CM28" s="3">
        <f t="shared" si="101"/>
        <v>1.531791907514451</v>
      </c>
      <c r="CN28" s="3">
        <f t="shared" si="101"/>
        <v>1.3288043478260869</v>
      </c>
      <c r="CO28" s="3">
        <f t="shared" si="101"/>
        <v>1.0467289719626169</v>
      </c>
      <c r="CP28" s="3">
        <f t="shared" si="101"/>
        <v>2.1100323624595467</v>
      </c>
      <c r="CQ28" s="3">
        <f t="shared" si="101"/>
        <v>1.0467091295116773</v>
      </c>
      <c r="CR28" s="3">
        <f t="shared" si="101"/>
        <v>1.2668329177057356</v>
      </c>
      <c r="CS28" s="3">
        <f t="shared" si="101"/>
        <v>1.0613496932515338</v>
      </c>
      <c r="CT28" s="3">
        <f t="shared" ref="CT28:DY28" si="102">(CT23-CT15)/CT15</f>
        <v>2.154098360655738</v>
      </c>
      <c r="CU28" s="3">
        <f t="shared" si="102"/>
        <v>1.2671394799054374</v>
      </c>
      <c r="CV28" s="3">
        <f t="shared" si="102"/>
        <v>0.43403441682600374</v>
      </c>
      <c r="CW28" s="3">
        <f t="shared" si="102"/>
        <v>0.65999999999999992</v>
      </c>
      <c r="CX28" s="3">
        <f t="shared" si="102"/>
        <v>0.80728051391862943</v>
      </c>
      <c r="CY28" s="3">
        <f t="shared" si="102"/>
        <v>0.12102689486552579</v>
      </c>
      <c r="CZ28" s="3">
        <f t="shared" si="102"/>
        <v>0.17647058823529416</v>
      </c>
      <c r="DA28" s="3">
        <f t="shared" si="102"/>
        <v>6.5848214285714218E-2</v>
      </c>
      <c r="DB28" s="3">
        <f t="shared" si="102"/>
        <v>0.33142857142857157</v>
      </c>
      <c r="DC28" s="3">
        <f t="shared" si="102"/>
        <v>0.51090909090909076</v>
      </c>
      <c r="DD28" s="3">
        <f t="shared" si="102"/>
        <v>0.76771653543307083</v>
      </c>
      <c r="DE28" s="3">
        <f t="shared" si="102"/>
        <v>2.8030303030303028</v>
      </c>
      <c r="DF28" s="3">
        <f t="shared" si="102"/>
        <v>0.57446808510638281</v>
      </c>
      <c r="DG28" s="3">
        <f t="shared" si="102"/>
        <v>0.78074866310160407</v>
      </c>
      <c r="DH28" s="3">
        <f t="shared" si="102"/>
        <v>0.61930783242258647</v>
      </c>
      <c r="DI28" s="3">
        <f t="shared" si="102"/>
        <v>0.40172166427546635</v>
      </c>
      <c r="DJ28" s="3">
        <f t="shared" si="102"/>
        <v>0.22332506203473937</v>
      </c>
      <c r="DK28" s="3">
        <f t="shared" si="102"/>
        <v>0.279840848806366</v>
      </c>
      <c r="DL28" s="3">
        <f t="shared" si="102"/>
        <v>0.27118644067796605</v>
      </c>
      <c r="DM28" s="3">
        <f t="shared" si="102"/>
        <v>0.22007722007721997</v>
      </c>
      <c r="DN28" s="3">
        <f t="shared" si="102"/>
        <v>0.23711340206185555</v>
      </c>
      <c r="DO28" s="3">
        <f t="shared" si="102"/>
        <v>6.5351418002466008E-2</v>
      </c>
      <c r="DP28" s="7">
        <f t="shared" si="102"/>
        <v>-4.4848484848484756E-2</v>
      </c>
      <c r="DQ28" s="7">
        <f t="shared" si="102"/>
        <v>9.6038415366146546E-2</v>
      </c>
      <c r="DR28" s="7">
        <f t="shared" si="102"/>
        <v>0.16324062877871828</v>
      </c>
      <c r="DS28" s="3">
        <f t="shared" si="102"/>
        <v>0.20788043478260873</v>
      </c>
      <c r="DT28" s="3">
        <f t="shared" si="102"/>
        <v>0.33478893740902471</v>
      </c>
      <c r="DU28" s="3">
        <f t="shared" si="102"/>
        <v>0.77272727272727271</v>
      </c>
      <c r="DV28" s="3">
        <f t="shared" si="102"/>
        <v>0.12674418604651161</v>
      </c>
      <c r="DW28" s="3">
        <f t="shared" si="102"/>
        <v>0.24822695035461001</v>
      </c>
      <c r="DX28" s="3">
        <f t="shared" si="102"/>
        <v>0.33821376281112731</v>
      </c>
      <c r="DY28" s="3">
        <f t="shared" si="102"/>
        <v>0.70990990990990965</v>
      </c>
      <c r="DZ28" s="3">
        <f t="shared" ref="DZ28:EY28" si="103">(DZ23-DZ15)/DZ15</f>
        <v>0.36244541484716153</v>
      </c>
      <c r="EA28" s="3">
        <f t="shared" si="103"/>
        <v>0.17263427109974425</v>
      </c>
      <c r="EB28" s="3">
        <f t="shared" si="103"/>
        <v>0.50322580645161297</v>
      </c>
      <c r="EC28" s="3">
        <f t="shared" si="103"/>
        <v>0.3143759873617693</v>
      </c>
      <c r="ED28" s="7">
        <f t="shared" si="103"/>
        <v>0.34090909090909094</v>
      </c>
      <c r="EE28" s="3">
        <f t="shared" si="103"/>
        <v>0.4825396825396826</v>
      </c>
      <c r="EF28" s="3">
        <f t="shared" si="103"/>
        <v>1.0338983050847459</v>
      </c>
      <c r="EG28" s="3">
        <f t="shared" si="103"/>
        <v>0.86491557223264526</v>
      </c>
      <c r="EH28" s="3">
        <f t="shared" si="103"/>
        <v>0.1518817204301075</v>
      </c>
      <c r="EI28" s="3">
        <f t="shared" si="103"/>
        <v>0.2039106145251397</v>
      </c>
      <c r="EJ28" s="3">
        <f t="shared" si="103"/>
        <v>7.2499999999999926E-2</v>
      </c>
      <c r="EK28" s="3">
        <f t="shared" si="103"/>
        <v>0.29199372056514905</v>
      </c>
      <c r="EL28" s="3">
        <f t="shared" si="103"/>
        <v>0.19915848527349231</v>
      </c>
      <c r="EM28" s="3">
        <f t="shared" si="103"/>
        <v>0.15109890109890109</v>
      </c>
      <c r="EN28" s="3">
        <f t="shared" si="103"/>
        <v>0.11877394636015322</v>
      </c>
      <c r="EO28" s="3">
        <f t="shared" si="103"/>
        <v>0.73457943925233649</v>
      </c>
      <c r="EP28" s="3">
        <f t="shared" si="103"/>
        <v>0.44259818731117812</v>
      </c>
      <c r="EQ28" s="3">
        <f t="shared" si="103"/>
        <v>0.56333333333333335</v>
      </c>
      <c r="ER28" s="3">
        <f t="shared" si="103"/>
        <v>0.3300561797752809</v>
      </c>
      <c r="ES28" s="3">
        <f t="shared" si="103"/>
        <v>1.1465968586387434</v>
      </c>
      <c r="ET28" s="3">
        <f t="shared" si="103"/>
        <v>0.33278418451400343</v>
      </c>
      <c r="EU28" s="3">
        <f t="shared" si="103"/>
        <v>4.9199084668192263E-2</v>
      </c>
      <c r="EV28" s="3">
        <f t="shared" si="103"/>
        <v>8.6741016109045777E-2</v>
      </c>
      <c r="EW28" s="3">
        <f t="shared" si="103"/>
        <v>9.4437257438551039E-2</v>
      </c>
      <c r="EX28" s="3">
        <f t="shared" si="103"/>
        <v>7.772020725388594E-2</v>
      </c>
      <c r="EY28" s="3">
        <f t="shared" si="103"/>
        <v>3.0048076923076952E-2</v>
      </c>
      <c r="EZ28" s="3">
        <f t="shared" ref="EZ28" si="104">(EZ23-EZ15)/EZ15</f>
        <v>0.23593964334705081</v>
      </c>
      <c r="FA28" s="3">
        <f t="shared" ref="FA28:FB28" si="105">(FA23-FA15)/FA15</f>
        <v>0.21843971631205678</v>
      </c>
      <c r="FB28" s="3">
        <f t="shared" si="105"/>
        <v>0.25176803394625186</v>
      </c>
      <c r="FC28" s="3">
        <f t="shared" ref="FC28:FD28" si="106">(FC23-FC15)/FC15</f>
        <v>0.80208333333333315</v>
      </c>
      <c r="FD28" s="3">
        <f t="shared" si="106"/>
        <v>0.29249617151607954</v>
      </c>
      <c r="FE28" s="3">
        <f t="shared" ref="FE28:FF28" si="107">(FE23-FE15)/FE15</f>
        <v>0.34137931034482771</v>
      </c>
      <c r="FF28" s="3">
        <f t="shared" si="107"/>
        <v>0.87301587301587291</v>
      </c>
      <c r="FG28" s="4"/>
      <c r="FH28" s="4"/>
      <c r="FI28" s="4"/>
      <c r="FJ28" s="4"/>
      <c r="FK28" s="4"/>
      <c r="FL28" s="4"/>
    </row>
    <row r="29" spans="1:168" x14ac:dyDescent="0.3">
      <c r="A29" t="s">
        <v>147</v>
      </c>
      <c r="B29" s="3">
        <f t="shared" ref="B29:AG29" si="108">(B24-B16)/B16</f>
        <v>-0.43434343434343436</v>
      </c>
      <c r="C29" s="3">
        <f t="shared" si="108"/>
        <v>-0.46902654867256638</v>
      </c>
      <c r="D29" s="3">
        <f t="shared" si="108"/>
        <v>-0.41666666666666663</v>
      </c>
      <c r="E29" s="3">
        <f t="shared" si="108"/>
        <v>-0.42424242424242425</v>
      </c>
      <c r="F29" s="3">
        <f t="shared" si="108"/>
        <v>-0.40909090909090906</v>
      </c>
      <c r="G29" s="3">
        <f t="shared" si="108"/>
        <v>-0.39784946236559138</v>
      </c>
      <c r="H29" s="3">
        <f t="shared" si="108"/>
        <v>-0.35714285714285721</v>
      </c>
      <c r="I29" s="3">
        <f t="shared" si="108"/>
        <v>-0.45121951219512202</v>
      </c>
      <c r="J29" s="3">
        <f t="shared" si="108"/>
        <v>-0.51239669421487599</v>
      </c>
      <c r="K29" s="3">
        <f t="shared" si="108"/>
        <v>-0.25675675675675674</v>
      </c>
      <c r="L29" s="3">
        <f t="shared" si="108"/>
        <v>-0.24770642201834858</v>
      </c>
      <c r="M29" s="3">
        <f t="shared" si="108"/>
        <v>-0.47674418604651159</v>
      </c>
      <c r="N29" s="3">
        <f t="shared" si="108"/>
        <v>-0.29670329670329665</v>
      </c>
      <c r="O29" s="3">
        <f t="shared" si="108"/>
        <v>-0.46987951807228923</v>
      </c>
      <c r="P29" s="3">
        <f t="shared" si="108"/>
        <v>-0.3108108108108108</v>
      </c>
      <c r="Q29" s="3">
        <f t="shared" si="108"/>
        <v>-0.35227272727272724</v>
      </c>
      <c r="R29" s="3">
        <f t="shared" si="108"/>
        <v>-0.60377358490566035</v>
      </c>
      <c r="S29" s="3">
        <f t="shared" si="108"/>
        <v>-0.43269230769230771</v>
      </c>
      <c r="T29" s="3">
        <f t="shared" si="108"/>
        <v>-0.28358208955223885</v>
      </c>
      <c r="U29" s="3">
        <f t="shared" si="108"/>
        <v>-0.35955056179775274</v>
      </c>
      <c r="V29" s="3">
        <f t="shared" si="108"/>
        <v>-0.41975308641975312</v>
      </c>
      <c r="W29" s="3">
        <f t="shared" si="108"/>
        <v>-0.50980392156862742</v>
      </c>
      <c r="X29" s="3">
        <f t="shared" si="108"/>
        <v>-0.34523809523809529</v>
      </c>
      <c r="Y29" s="3">
        <f t="shared" si="108"/>
        <v>-0.63963963963963966</v>
      </c>
      <c r="Z29" s="3">
        <f t="shared" si="108"/>
        <v>-0.4854368932038835</v>
      </c>
      <c r="AA29" s="3">
        <f t="shared" si="108"/>
        <v>-0.45454545454545453</v>
      </c>
      <c r="AB29" s="3">
        <f t="shared" si="108"/>
        <v>-0.53658536585365857</v>
      </c>
      <c r="AC29" s="3">
        <f t="shared" si="108"/>
        <v>-0.46031746031746029</v>
      </c>
      <c r="AD29" s="3">
        <f t="shared" si="108"/>
        <v>-0.562962962962963</v>
      </c>
      <c r="AE29" s="3">
        <f t="shared" si="108"/>
        <v>-0.59677419354838712</v>
      </c>
      <c r="AF29" s="3">
        <f t="shared" si="108"/>
        <v>-0.51639344262295084</v>
      </c>
      <c r="AG29" s="3">
        <f t="shared" si="108"/>
        <v>-0.19047619047619038</v>
      </c>
      <c r="AH29" s="3">
        <f t="shared" ref="AH29:BM29" si="109">(AH24-AH16)/AH16</f>
        <v>-0.16666666666666669</v>
      </c>
      <c r="AI29" s="3">
        <f t="shared" si="109"/>
        <v>-8.6206896551724213E-2</v>
      </c>
      <c r="AJ29" s="3">
        <f t="shared" si="109"/>
        <v>-0.49397590361445781</v>
      </c>
      <c r="AK29" s="3">
        <f t="shared" si="109"/>
        <v>-0.48148148148148145</v>
      </c>
      <c r="AL29" s="3">
        <f t="shared" si="109"/>
        <v>-0.5116279069767441</v>
      </c>
      <c r="AM29" s="3">
        <f t="shared" si="109"/>
        <v>-0.22435897435897437</v>
      </c>
      <c r="AN29" s="3">
        <f t="shared" si="109"/>
        <v>-0.33333333333333331</v>
      </c>
      <c r="AO29" s="3">
        <f t="shared" si="109"/>
        <v>-0.51724137931034486</v>
      </c>
      <c r="AP29" s="3">
        <f t="shared" si="109"/>
        <v>-0.22033898305084743</v>
      </c>
      <c r="AQ29" s="7">
        <f t="shared" si="109"/>
        <v>-0.1728395061728395</v>
      </c>
      <c r="AR29" s="3">
        <f t="shared" si="109"/>
        <v>-0.23809523809523808</v>
      </c>
      <c r="AS29" s="3">
        <f t="shared" si="109"/>
        <v>-0.54166666666666674</v>
      </c>
      <c r="AT29" s="3">
        <f t="shared" si="109"/>
        <v>-0.49624060150375937</v>
      </c>
      <c r="AU29" s="3">
        <f t="shared" si="109"/>
        <v>-0.625</v>
      </c>
      <c r="AV29" s="7">
        <f t="shared" si="109"/>
        <v>-0.29885057471264365</v>
      </c>
      <c r="AW29" s="3">
        <f t="shared" si="109"/>
        <v>-0.48749999999999999</v>
      </c>
      <c r="AX29" s="3">
        <f t="shared" si="109"/>
        <v>-0.2365591397849463</v>
      </c>
      <c r="AY29" s="3">
        <f t="shared" si="109"/>
        <v>-0.36470588235294121</v>
      </c>
      <c r="AZ29" s="3">
        <f t="shared" si="109"/>
        <v>-0.2745098039215686</v>
      </c>
      <c r="BA29" s="3">
        <f t="shared" si="109"/>
        <v>-0.31521739130434778</v>
      </c>
      <c r="BB29" s="3">
        <f t="shared" si="109"/>
        <v>-0.35915492957746475</v>
      </c>
      <c r="BC29" s="3">
        <f t="shared" si="109"/>
        <v>-0.60893854748603349</v>
      </c>
      <c r="BD29" s="3">
        <f t="shared" si="109"/>
        <v>-0.47887323943661969</v>
      </c>
      <c r="BE29" s="3">
        <f t="shared" si="109"/>
        <v>-0.23140495867768593</v>
      </c>
      <c r="BF29" s="3">
        <f t="shared" si="109"/>
        <v>-0.4320987654320988</v>
      </c>
      <c r="BG29" s="3">
        <f t="shared" si="109"/>
        <v>-0.3936170212765957</v>
      </c>
      <c r="BH29" s="3">
        <f t="shared" si="109"/>
        <v>-0.24615384615384614</v>
      </c>
      <c r="BI29" s="3">
        <f t="shared" si="109"/>
        <v>-0.25000000000000006</v>
      </c>
      <c r="BJ29" s="3">
        <f t="shared" si="109"/>
        <v>-0.37209302325581389</v>
      </c>
      <c r="BK29" s="3">
        <f t="shared" si="109"/>
        <v>-0.48837209302325579</v>
      </c>
      <c r="BL29" s="3">
        <f t="shared" si="109"/>
        <v>-0.41509433962264147</v>
      </c>
      <c r="BM29" s="3">
        <f t="shared" si="109"/>
        <v>-0.4375</v>
      </c>
      <c r="BN29" s="3">
        <f t="shared" ref="BN29:CS29" si="110">(BN24-BN16)/BN16</f>
        <v>-0.40594059405940602</v>
      </c>
      <c r="BO29" s="3">
        <f t="shared" si="110"/>
        <v>-0.38461538461538458</v>
      </c>
      <c r="BP29" s="3">
        <f t="shared" si="110"/>
        <v>-0.49473684210526314</v>
      </c>
      <c r="BQ29" s="3">
        <f t="shared" si="110"/>
        <v>-0.66399999999999992</v>
      </c>
      <c r="BR29" s="3">
        <f t="shared" si="110"/>
        <v>-0.52100840336134446</v>
      </c>
      <c r="BS29" s="7">
        <f t="shared" si="110"/>
        <v>-0.53278688524590168</v>
      </c>
      <c r="BT29" s="3">
        <f t="shared" si="110"/>
        <v>-0.11504424778761059</v>
      </c>
      <c r="BU29" s="3">
        <f t="shared" si="110"/>
        <v>-0.27499999999999997</v>
      </c>
      <c r="BV29" s="3">
        <f t="shared" si="110"/>
        <v>-0.40000000000000008</v>
      </c>
      <c r="BW29" s="3">
        <f t="shared" si="110"/>
        <v>-0.16901408450704222</v>
      </c>
      <c r="BX29" s="3">
        <f t="shared" si="110"/>
        <v>-0.24137931034482768</v>
      </c>
      <c r="BY29" s="3">
        <f t="shared" si="110"/>
        <v>-0.19767441860465104</v>
      </c>
      <c r="BZ29" s="3">
        <f t="shared" si="110"/>
        <v>-0.46846846846846851</v>
      </c>
      <c r="CA29" s="3">
        <f t="shared" si="110"/>
        <v>-0.57843137254901966</v>
      </c>
      <c r="CB29" s="3">
        <f t="shared" si="110"/>
        <v>-0.51041666666666663</v>
      </c>
      <c r="CC29" s="3">
        <f t="shared" si="110"/>
        <v>-0.56756756756756754</v>
      </c>
      <c r="CD29" s="3">
        <f t="shared" si="110"/>
        <v>-0.5140186915887851</v>
      </c>
      <c r="CE29" s="3">
        <f t="shared" si="110"/>
        <v>-0.53773584905660377</v>
      </c>
      <c r="CF29" s="3">
        <f t="shared" si="110"/>
        <v>-0.56842105263157894</v>
      </c>
      <c r="CG29" s="3">
        <f t="shared" si="110"/>
        <v>-0.51807228915662651</v>
      </c>
      <c r="CH29" s="3">
        <f t="shared" si="110"/>
        <v>-0.67716535433070857</v>
      </c>
      <c r="CI29" s="3">
        <f t="shared" si="110"/>
        <v>-0.57851239669421495</v>
      </c>
      <c r="CJ29" s="3">
        <f t="shared" si="110"/>
        <v>-0.36250000000000004</v>
      </c>
      <c r="CK29" s="3">
        <f t="shared" si="110"/>
        <v>-0.60714285714285721</v>
      </c>
      <c r="CL29" s="3">
        <f t="shared" si="110"/>
        <v>-0.62015503875968991</v>
      </c>
      <c r="CM29" s="3">
        <f t="shared" si="110"/>
        <v>-0.5663716814159292</v>
      </c>
      <c r="CN29" s="3">
        <f t="shared" si="110"/>
        <v>-0.53103448275862064</v>
      </c>
      <c r="CO29" s="3">
        <f t="shared" si="110"/>
        <v>-0.53763440860215062</v>
      </c>
      <c r="CP29" s="3">
        <f t="shared" si="110"/>
        <v>-0.7616279069767441</v>
      </c>
      <c r="CQ29" s="3">
        <f t="shared" si="110"/>
        <v>-0.7410714285714286</v>
      </c>
      <c r="CR29" s="3">
        <f t="shared" si="110"/>
        <v>-0.6097560975609756</v>
      </c>
      <c r="CS29" s="3">
        <f t="shared" si="110"/>
        <v>-0.30534351145038174</v>
      </c>
      <c r="CT29" s="3">
        <f t="shared" ref="CT29:DY29" si="111">(CT24-CT16)/CT16</f>
        <v>-0.76271186440677963</v>
      </c>
      <c r="CU29" s="3">
        <f t="shared" si="111"/>
        <v>-0.73248407643312097</v>
      </c>
      <c r="CV29" s="3">
        <f t="shared" si="111"/>
        <v>-0.27927927927927926</v>
      </c>
      <c r="CW29" s="3">
        <f t="shared" si="111"/>
        <v>-0.32608695652173914</v>
      </c>
      <c r="CX29" s="3">
        <f t="shared" si="111"/>
        <v>-0.46052631578947367</v>
      </c>
      <c r="CY29" s="3">
        <f t="shared" si="111"/>
        <v>-0.33333333333333331</v>
      </c>
      <c r="CZ29" s="3">
        <f t="shared" si="111"/>
        <v>-0.53383458646616544</v>
      </c>
      <c r="DA29" s="3">
        <f t="shared" si="111"/>
        <v>-0.34615384615384609</v>
      </c>
      <c r="DB29" s="3">
        <f t="shared" si="111"/>
        <v>-0.52531645569620256</v>
      </c>
      <c r="DC29" s="3">
        <f t="shared" si="111"/>
        <v>-0.390625</v>
      </c>
      <c r="DD29" s="3">
        <f t="shared" si="111"/>
        <v>-0.54918032786885251</v>
      </c>
      <c r="DE29" s="3">
        <f t="shared" si="111"/>
        <v>-0.30172413793103448</v>
      </c>
      <c r="DF29" s="3">
        <f t="shared" si="111"/>
        <v>-0.38461538461538469</v>
      </c>
      <c r="DG29" s="3">
        <f t="shared" si="111"/>
        <v>-0.95882352941176463</v>
      </c>
      <c r="DH29" s="3">
        <f t="shared" si="111"/>
        <v>-0.50314465408805031</v>
      </c>
      <c r="DI29" s="3">
        <f t="shared" si="111"/>
        <v>-0.72413793103448265</v>
      </c>
      <c r="DJ29" s="3">
        <f t="shared" si="111"/>
        <v>-0.73015873015873012</v>
      </c>
      <c r="DK29" s="3">
        <f t="shared" si="111"/>
        <v>-0.62416107382550334</v>
      </c>
      <c r="DL29" s="3">
        <f t="shared" si="111"/>
        <v>-0.67521367521367526</v>
      </c>
      <c r="DM29" s="3">
        <f t="shared" si="111"/>
        <v>-0.51824817518248179</v>
      </c>
      <c r="DN29" s="3">
        <f t="shared" si="111"/>
        <v>-0.29729729729729731</v>
      </c>
      <c r="DO29" s="3">
        <f t="shared" si="111"/>
        <v>-0.15135135135135133</v>
      </c>
      <c r="DP29" s="7">
        <f t="shared" si="111"/>
        <v>9.8360655737705013E-2</v>
      </c>
      <c r="DQ29" s="7">
        <f t="shared" si="111"/>
        <v>-0.2822085889570552</v>
      </c>
      <c r="DR29" s="7">
        <f t="shared" si="111"/>
        <v>-0.52910052910052907</v>
      </c>
      <c r="DS29" s="3">
        <f t="shared" si="111"/>
        <v>-0.34814814814814821</v>
      </c>
      <c r="DT29" s="3">
        <f t="shared" si="111"/>
        <v>-0.48148148148148145</v>
      </c>
      <c r="DU29" s="3">
        <f t="shared" si="111"/>
        <v>-0.47457627118644063</v>
      </c>
      <c r="DV29" s="3">
        <f t="shared" si="111"/>
        <v>-0.52631578947368418</v>
      </c>
      <c r="DW29" s="3">
        <f t="shared" si="111"/>
        <v>-0.36024844720496901</v>
      </c>
      <c r="DX29" s="3">
        <f t="shared" si="111"/>
        <v>-0.48066298342541436</v>
      </c>
      <c r="DY29" s="3">
        <f t="shared" si="111"/>
        <v>-0.66399999999999992</v>
      </c>
      <c r="DZ29" s="3">
        <f t="shared" ref="DZ29:EY29" si="112">(DZ24-DZ16)/DZ16</f>
        <v>-0.54726368159203986</v>
      </c>
      <c r="EA29" s="3">
        <f t="shared" si="112"/>
        <v>-0.3825503355704698</v>
      </c>
      <c r="EB29" s="3">
        <f t="shared" si="112"/>
        <v>-0.58201058201058198</v>
      </c>
      <c r="EC29" s="3">
        <f t="shared" si="112"/>
        <v>-0.32727272727272727</v>
      </c>
      <c r="ED29" s="7">
        <f t="shared" si="112"/>
        <v>-0.56149732620320858</v>
      </c>
      <c r="EE29" s="3">
        <f t="shared" si="112"/>
        <v>-0.58139534883720934</v>
      </c>
      <c r="EF29" s="3">
        <f t="shared" si="112"/>
        <v>-0.72398190045248867</v>
      </c>
      <c r="EG29" s="3">
        <f t="shared" si="112"/>
        <v>-0.89690721649484539</v>
      </c>
      <c r="EH29" s="3">
        <f t="shared" si="112"/>
        <v>-0.25609756097560982</v>
      </c>
      <c r="EI29" s="3">
        <f t="shared" si="112"/>
        <v>-0.30952380952380953</v>
      </c>
      <c r="EJ29" s="3">
        <f t="shared" si="112"/>
        <v>-0.15068493150684928</v>
      </c>
      <c r="EK29" s="3">
        <f t="shared" si="112"/>
        <v>-0.30107526881720426</v>
      </c>
      <c r="EL29" s="3">
        <f t="shared" si="112"/>
        <v>-0.29126213592233008</v>
      </c>
      <c r="EM29" s="3">
        <f t="shared" si="112"/>
        <v>-0.23076923076923067</v>
      </c>
      <c r="EN29" s="3">
        <f t="shared" si="112"/>
        <v>-0.2432432432432432</v>
      </c>
      <c r="EO29" s="3">
        <f t="shared" si="112"/>
        <v>-0.61016949152542377</v>
      </c>
      <c r="EP29" s="3">
        <f t="shared" si="112"/>
        <v>-0.64130434782608692</v>
      </c>
      <c r="EQ29" s="3">
        <f t="shared" si="112"/>
        <v>-0.60526315789473684</v>
      </c>
      <c r="ER29" s="3">
        <f t="shared" si="112"/>
        <v>-0.57843137254901966</v>
      </c>
      <c r="ES29" s="3">
        <f t="shared" si="112"/>
        <v>-0.46551724137931039</v>
      </c>
      <c r="ET29" s="3">
        <f t="shared" si="112"/>
        <v>-0.31132075471698117</v>
      </c>
      <c r="EU29" s="3">
        <f t="shared" si="112"/>
        <v>-0.18965517241379315</v>
      </c>
      <c r="EV29" s="3">
        <f t="shared" si="112"/>
        <v>-0.19811320754716974</v>
      </c>
      <c r="EW29" s="3">
        <f t="shared" si="112"/>
        <v>-0.17171717171717171</v>
      </c>
      <c r="EX29" s="3">
        <f t="shared" si="112"/>
        <v>-0.13888888888888884</v>
      </c>
      <c r="EY29" s="3">
        <f t="shared" si="112"/>
        <v>-7.5757575757575815E-2</v>
      </c>
      <c r="EZ29" s="3">
        <f t="shared" ref="EZ29" si="113">(EZ24-EZ16)/EZ16</f>
        <v>-0.39999999999999997</v>
      </c>
      <c r="FA29" s="3">
        <f t="shared" ref="FA29:FB29" si="114">(FA24-FA16)/FA16</f>
        <v>-0.31958762886597936</v>
      </c>
      <c r="FB29" s="3">
        <f t="shared" si="114"/>
        <v>-0.37647058823529417</v>
      </c>
      <c r="FC29" s="3">
        <f t="shared" ref="FC29:FD29" si="115">(FC24-FC16)/FC16</f>
        <v>-0.29411764705882354</v>
      </c>
      <c r="FD29" s="3">
        <f t="shared" si="115"/>
        <v>-0.32954545454545453</v>
      </c>
      <c r="FE29" s="3">
        <f t="shared" ref="FE29:FF29" si="116">(FE24-FE16)/FE16</f>
        <v>-0.26966292134831454</v>
      </c>
      <c r="FF29" s="3">
        <f t="shared" si="116"/>
        <v>-0.43965517241379309</v>
      </c>
      <c r="FG29" s="4"/>
      <c r="FH29" s="4"/>
      <c r="FI29" s="4"/>
      <c r="FJ29" s="4"/>
      <c r="FK29" s="4"/>
      <c r="FL29" s="4"/>
    </row>
    <row r="30" spans="1:168" x14ac:dyDescent="0.3">
      <c r="A30" t="s">
        <v>148</v>
      </c>
      <c r="B30" s="3">
        <f t="shared" ref="B30:AG30" si="117">(B25-B17)/B17</f>
        <v>-0.69230769230769229</v>
      </c>
      <c r="C30" s="3">
        <f t="shared" si="117"/>
        <v>-0.7142857142857143</v>
      </c>
      <c r="D30" s="3">
        <f t="shared" si="117"/>
        <v>-0.69230769230769229</v>
      </c>
      <c r="E30" s="3">
        <f t="shared" si="117"/>
        <v>-0.6428571428571429</v>
      </c>
      <c r="F30" s="3">
        <f t="shared" si="117"/>
        <v>-0.53846153846153855</v>
      </c>
      <c r="G30" s="3">
        <f t="shared" si="117"/>
        <v>-0.61538461538461542</v>
      </c>
      <c r="H30" s="3">
        <f t="shared" si="117"/>
        <v>-0.54545454545454541</v>
      </c>
      <c r="I30" s="3">
        <f t="shared" si="117"/>
        <v>-0.625</v>
      </c>
      <c r="J30" s="3">
        <f t="shared" si="117"/>
        <v>-0.7857142857142857</v>
      </c>
      <c r="K30" s="3">
        <f t="shared" si="117"/>
        <v>-0.14285714285714296</v>
      </c>
      <c r="L30" s="3">
        <f t="shared" si="117"/>
        <v>-0.375</v>
      </c>
      <c r="M30" s="3">
        <f t="shared" si="117"/>
        <v>-0.625</v>
      </c>
      <c r="N30" s="3">
        <f t="shared" si="117"/>
        <v>-0.44444444444444442</v>
      </c>
      <c r="O30" s="3">
        <f t="shared" si="117"/>
        <v>-0.57142857142857151</v>
      </c>
      <c r="P30" s="3">
        <f t="shared" si="117"/>
        <v>-0.40000000000000008</v>
      </c>
      <c r="Q30" s="3">
        <f t="shared" si="117"/>
        <v>-0.5</v>
      </c>
      <c r="R30" s="3">
        <f t="shared" si="117"/>
        <v>-0.82352941176470595</v>
      </c>
      <c r="S30" s="3">
        <f t="shared" si="117"/>
        <v>-0.6</v>
      </c>
      <c r="T30" s="3">
        <f t="shared" si="117"/>
        <v>-0.28571428571428575</v>
      </c>
      <c r="U30" s="3">
        <f t="shared" si="117"/>
        <v>-0.44444444444444442</v>
      </c>
      <c r="V30" s="3">
        <f t="shared" si="117"/>
        <v>-0.58333333333333326</v>
      </c>
      <c r="W30" s="3">
        <f t="shared" si="117"/>
        <v>-0.66666666666666663</v>
      </c>
      <c r="X30" s="3">
        <f t="shared" si="117"/>
        <v>-0.625</v>
      </c>
      <c r="Y30" s="3">
        <f t="shared" si="117"/>
        <v>-0.81818181818181812</v>
      </c>
      <c r="Z30" s="3">
        <f t="shared" si="117"/>
        <v>-0.75</v>
      </c>
      <c r="AA30" s="3">
        <f t="shared" si="117"/>
        <v>-0.6</v>
      </c>
      <c r="AB30" s="3">
        <f t="shared" si="117"/>
        <v>-0.7142857142857143</v>
      </c>
      <c r="AC30" s="3">
        <f t="shared" si="117"/>
        <v>-0.66666666666666663</v>
      </c>
      <c r="AD30" s="3">
        <f t="shared" si="117"/>
        <v>-0.7857142857142857</v>
      </c>
      <c r="AE30" s="3">
        <f t="shared" si="117"/>
        <v>-0.73333333333333328</v>
      </c>
      <c r="AF30" s="3">
        <f t="shared" si="117"/>
        <v>-0.7142857142857143</v>
      </c>
      <c r="AG30" s="3">
        <f t="shared" si="117"/>
        <v>-0.33333333333333331</v>
      </c>
      <c r="AH30" s="3">
        <f t="shared" ref="AH30:BM30" si="118">(AH25-AH17)/AH17</f>
        <v>-0.14285714285714296</v>
      </c>
      <c r="AI30" s="3">
        <f t="shared" si="118"/>
        <v>-0.20000000000000004</v>
      </c>
      <c r="AJ30" s="3">
        <f t="shared" si="118"/>
        <v>-0.66666666666666663</v>
      </c>
      <c r="AK30" s="3">
        <f t="shared" si="118"/>
        <v>-0.69230769230769229</v>
      </c>
      <c r="AL30" s="3">
        <f t="shared" si="118"/>
        <v>-0.66666666666666663</v>
      </c>
      <c r="AM30" s="3">
        <f t="shared" si="118"/>
        <v>-0.5625</v>
      </c>
      <c r="AN30" s="3">
        <f t="shared" si="118"/>
        <v>-0.58333333333333326</v>
      </c>
      <c r="AO30" s="3">
        <f t="shared" si="118"/>
        <v>-0.70000000000000007</v>
      </c>
      <c r="AP30" s="3">
        <f t="shared" si="118"/>
        <v>-0.33333333333333331</v>
      </c>
      <c r="AQ30" s="7">
        <f t="shared" si="118"/>
        <v>-0.28571428571428575</v>
      </c>
      <c r="AR30" s="3">
        <f t="shared" si="118"/>
        <v>-0.20000000000000004</v>
      </c>
      <c r="AS30" s="3">
        <f t="shared" si="118"/>
        <v>-0.69230769230769229</v>
      </c>
      <c r="AT30" s="3">
        <f t="shared" si="118"/>
        <v>-0.57142857142857151</v>
      </c>
      <c r="AU30" s="3">
        <f t="shared" si="118"/>
        <v>-0.72727272727272729</v>
      </c>
      <c r="AV30" s="7">
        <f t="shared" si="118"/>
        <v>-0.40000000000000008</v>
      </c>
      <c r="AW30" s="3">
        <f t="shared" si="118"/>
        <v>-0.55555555555555558</v>
      </c>
      <c r="AX30" s="3">
        <f t="shared" si="118"/>
        <v>-0.375</v>
      </c>
      <c r="AY30" s="3">
        <f t="shared" si="118"/>
        <v>-0.40000000000000008</v>
      </c>
      <c r="AZ30" s="3">
        <f t="shared" si="118"/>
        <v>-0.5</v>
      </c>
      <c r="BA30" s="3">
        <f t="shared" si="118"/>
        <v>-0.33333333333333331</v>
      </c>
      <c r="BB30" s="3">
        <f t="shared" si="118"/>
        <v>-0.4285714285714286</v>
      </c>
      <c r="BC30" s="3">
        <f t="shared" si="118"/>
        <v>-0.8571428571428571</v>
      </c>
      <c r="BD30" s="3">
        <f t="shared" si="118"/>
        <v>-0.83333333333333326</v>
      </c>
      <c r="BE30" s="3">
        <f t="shared" si="118"/>
        <v>-0.33333333333333331</v>
      </c>
      <c r="BF30" s="3">
        <f t="shared" si="118"/>
        <v>-0.63636363636363646</v>
      </c>
      <c r="BG30" s="3">
        <f t="shared" si="118"/>
        <v>-0.66666666666666663</v>
      </c>
      <c r="BH30" s="3">
        <f t="shared" si="118"/>
        <v>-0.375</v>
      </c>
      <c r="BI30" s="3">
        <f t="shared" si="118"/>
        <v>-0.375</v>
      </c>
      <c r="BJ30" s="3">
        <f t="shared" si="118"/>
        <v>-0.53846153846153855</v>
      </c>
      <c r="BK30" s="3">
        <f t="shared" si="118"/>
        <v>-0.6</v>
      </c>
      <c r="BL30" s="3">
        <f t="shared" si="118"/>
        <v>-0.57142857142857151</v>
      </c>
      <c r="BM30" s="3">
        <f t="shared" si="118"/>
        <v>-0.6875</v>
      </c>
      <c r="BN30" s="3">
        <f t="shared" ref="BN30:CS30" si="119">(BN25-BN17)/BN17</f>
        <v>-0.66666666666666663</v>
      </c>
      <c r="BO30" s="3">
        <f t="shared" si="119"/>
        <v>-0.61538461538461542</v>
      </c>
      <c r="BP30" s="3">
        <f t="shared" si="119"/>
        <v>-0.70000000000000007</v>
      </c>
      <c r="BQ30" s="3">
        <f t="shared" si="119"/>
        <v>-0.75</v>
      </c>
      <c r="BR30" s="3">
        <f t="shared" si="119"/>
        <v>-0.69230769230769229</v>
      </c>
      <c r="BS30" s="7">
        <f t="shared" si="119"/>
        <v>-0.66666666666666663</v>
      </c>
      <c r="BT30" s="3">
        <f t="shared" si="119"/>
        <v>-0.25000000000000006</v>
      </c>
      <c r="BU30" s="3">
        <f t="shared" si="119"/>
        <v>-0.25000000000000006</v>
      </c>
      <c r="BV30" s="3">
        <f t="shared" si="119"/>
        <v>-0.70000000000000007</v>
      </c>
      <c r="BW30" s="3">
        <f t="shared" si="119"/>
        <v>-0.1666666666666666</v>
      </c>
      <c r="BX30" s="3">
        <f t="shared" si="119"/>
        <v>-0.12499999999999993</v>
      </c>
      <c r="BY30" s="3">
        <f t="shared" si="119"/>
        <v>-0.14285714285714296</v>
      </c>
      <c r="BZ30" s="3">
        <f t="shared" si="119"/>
        <v>-0.66666666666666663</v>
      </c>
      <c r="CA30" s="3">
        <f t="shared" si="119"/>
        <v>-0.75</v>
      </c>
      <c r="CB30" s="3">
        <f t="shared" si="119"/>
        <v>-0.66666666666666663</v>
      </c>
      <c r="CC30" s="3">
        <f t="shared" si="119"/>
        <v>-0.73333333333333328</v>
      </c>
      <c r="CD30" s="3">
        <f t="shared" si="119"/>
        <v>-0.61538461538461542</v>
      </c>
      <c r="CE30" s="3">
        <f t="shared" si="119"/>
        <v>-0.72727272727272729</v>
      </c>
      <c r="CF30" s="3">
        <f t="shared" si="119"/>
        <v>-0.69230769230769229</v>
      </c>
      <c r="CG30" s="3">
        <f t="shared" si="119"/>
        <v>-0.63636363636363646</v>
      </c>
      <c r="CH30" s="3">
        <f t="shared" si="119"/>
        <v>-0.8</v>
      </c>
      <c r="CI30" s="3">
        <f t="shared" si="119"/>
        <v>-0.75</v>
      </c>
      <c r="CJ30" s="3">
        <f t="shared" si="119"/>
        <v>-0.55555555555555558</v>
      </c>
      <c r="CK30" s="3">
        <f t="shared" si="119"/>
        <v>-0.69230769230769229</v>
      </c>
      <c r="CL30" s="3">
        <f t="shared" si="119"/>
        <v>-0.8</v>
      </c>
      <c r="CM30" s="3">
        <f t="shared" si="119"/>
        <v>-0.7857142857142857</v>
      </c>
      <c r="CN30" s="3">
        <f t="shared" si="119"/>
        <v>-0.77777777777777768</v>
      </c>
      <c r="CO30" s="3">
        <f t="shared" si="119"/>
        <v>-0.7142857142857143</v>
      </c>
      <c r="CP30" s="3">
        <f t="shared" si="119"/>
        <v>-0.94117647058823528</v>
      </c>
      <c r="CQ30" s="3">
        <f t="shared" si="119"/>
        <v>-0.75</v>
      </c>
      <c r="CR30" s="3">
        <f t="shared" si="119"/>
        <v>-0.8125</v>
      </c>
      <c r="CS30" s="3">
        <f t="shared" si="119"/>
        <v>-0.7142857142857143</v>
      </c>
      <c r="CT30" s="3">
        <f t="shared" ref="CT30:DY30" si="120">(CT25-CT17)/CT17</f>
        <v>-0.94117647058823528</v>
      </c>
      <c r="CU30" s="3">
        <f t="shared" si="120"/>
        <v>-0.8666666666666667</v>
      </c>
      <c r="CV30" s="3">
        <f t="shared" si="120"/>
        <v>-0.5</v>
      </c>
      <c r="CW30" s="3">
        <f t="shared" si="120"/>
        <v>-0.40000000000000008</v>
      </c>
      <c r="CX30" s="3">
        <f t="shared" si="120"/>
        <v>-0.69230769230769229</v>
      </c>
      <c r="CY30" s="3">
        <f t="shared" si="120"/>
        <v>-0.44444444444444442</v>
      </c>
      <c r="CZ30" s="3">
        <f t="shared" si="120"/>
        <v>-0.66666666666666663</v>
      </c>
      <c r="DA30" s="3">
        <f t="shared" si="120"/>
        <v>-0.5</v>
      </c>
      <c r="DB30" s="3">
        <f t="shared" si="120"/>
        <v>-0.75</v>
      </c>
      <c r="DC30" s="3">
        <f t="shared" si="120"/>
        <v>-0.54545454545454541</v>
      </c>
      <c r="DD30" s="3">
        <f t="shared" si="120"/>
        <v>-0.63636363636363646</v>
      </c>
      <c r="DE30" s="3">
        <f t="shared" si="120"/>
        <v>-0.45454545454545459</v>
      </c>
      <c r="DF30" s="3">
        <f t="shared" si="120"/>
        <v>-0.54545454545454541</v>
      </c>
      <c r="DG30" s="3">
        <f t="shared" si="120"/>
        <v>-0.93333333333333324</v>
      </c>
      <c r="DH30" s="3">
        <f t="shared" si="120"/>
        <v>-0.6428571428571429</v>
      </c>
      <c r="DI30" s="3">
        <f t="shared" si="120"/>
        <v>-0.77777777777777768</v>
      </c>
      <c r="DJ30" s="3">
        <f t="shared" si="120"/>
        <v>-0.75</v>
      </c>
      <c r="DK30" s="3">
        <f t="shared" si="120"/>
        <v>-0.77777777777777768</v>
      </c>
      <c r="DL30" s="3">
        <f t="shared" si="120"/>
        <v>-0.625</v>
      </c>
      <c r="DM30" s="3">
        <f t="shared" si="120"/>
        <v>-0.66666666666666663</v>
      </c>
      <c r="DN30" s="7">
        <f t="shared" si="120"/>
        <v>-0.54545454545454541</v>
      </c>
      <c r="DO30" s="3">
        <f t="shared" si="120"/>
        <v>-0.55555555555555558</v>
      </c>
      <c r="DP30" s="7">
        <f t="shared" si="120"/>
        <v>-0.4285714285714286</v>
      </c>
      <c r="DQ30" s="7">
        <f t="shared" si="120"/>
        <v>-0.70000000000000007</v>
      </c>
      <c r="DR30" s="7">
        <f t="shared" si="120"/>
        <v>-0.57142857142857151</v>
      </c>
      <c r="DS30" s="3">
        <f t="shared" si="120"/>
        <v>-0.58333333333333326</v>
      </c>
      <c r="DT30" s="3">
        <f t="shared" si="120"/>
        <v>-0.69230769230769229</v>
      </c>
      <c r="DU30" s="3">
        <f t="shared" si="120"/>
        <v>-0.58333333333333326</v>
      </c>
      <c r="DV30" s="3">
        <f t="shared" si="120"/>
        <v>-0.625</v>
      </c>
      <c r="DW30" s="3">
        <f t="shared" si="120"/>
        <v>-0.6</v>
      </c>
      <c r="DX30" s="3">
        <f t="shared" si="120"/>
        <v>-0.75</v>
      </c>
      <c r="DY30" s="3">
        <f t="shared" si="120"/>
        <v>-0.88235294117647067</v>
      </c>
      <c r="DZ30" s="3">
        <f t="shared" ref="DZ30:EY30" si="121">(DZ25-DZ17)/DZ17</f>
        <v>-0.72727272727272729</v>
      </c>
      <c r="EA30" s="3">
        <f t="shared" si="121"/>
        <v>-0.5</v>
      </c>
      <c r="EB30" s="3">
        <f t="shared" si="121"/>
        <v>-0.7857142857142857</v>
      </c>
      <c r="EC30" s="3">
        <f t="shared" si="121"/>
        <v>-0.58333333333333326</v>
      </c>
      <c r="ED30" s="7">
        <f t="shared" si="121"/>
        <v>-0.75</v>
      </c>
      <c r="EE30" s="3">
        <f t="shared" si="121"/>
        <v>-0.76923076923076927</v>
      </c>
      <c r="EF30" s="3">
        <f t="shared" si="121"/>
        <v>-0.8666666666666667</v>
      </c>
      <c r="EG30" s="3">
        <f t="shared" si="121"/>
        <v>-0.8571428571428571</v>
      </c>
      <c r="EH30" s="3">
        <f t="shared" si="121"/>
        <v>-0.4285714285714286</v>
      </c>
      <c r="EI30" s="3">
        <f t="shared" si="121"/>
        <v>-0.4285714285714286</v>
      </c>
      <c r="EJ30" s="3">
        <f t="shared" si="121"/>
        <v>-0.20000000000000004</v>
      </c>
      <c r="EK30" s="3">
        <f t="shared" si="121"/>
        <v>-0.375</v>
      </c>
      <c r="EL30" s="3">
        <f t="shared" si="121"/>
        <v>-0.5</v>
      </c>
      <c r="EM30" s="3">
        <f t="shared" si="121"/>
        <v>-0.4285714285714286</v>
      </c>
      <c r="EN30" s="3">
        <f t="shared" si="121"/>
        <v>-0.33333333333333331</v>
      </c>
      <c r="EO30" s="3">
        <f t="shared" si="121"/>
        <v>-0.83333333333333326</v>
      </c>
      <c r="EP30" s="3">
        <f t="shared" si="121"/>
        <v>-0.77777777777777768</v>
      </c>
      <c r="EQ30" s="3">
        <f t="shared" si="121"/>
        <v>-0.77777777777777768</v>
      </c>
      <c r="ER30" s="3">
        <f t="shared" si="121"/>
        <v>-0.77777777777777768</v>
      </c>
      <c r="ES30" s="3">
        <f t="shared" si="121"/>
        <v>-0.69230769230769229</v>
      </c>
      <c r="ET30" s="3">
        <f t="shared" si="121"/>
        <v>-0.5</v>
      </c>
      <c r="EU30" s="3">
        <f t="shared" si="121"/>
        <v>-0.25000000000000006</v>
      </c>
      <c r="EV30" s="3">
        <f t="shared" si="121"/>
        <v>-0.33333333333333331</v>
      </c>
      <c r="EW30" s="3">
        <f t="shared" si="121"/>
        <v>-0.28571428571428575</v>
      </c>
      <c r="EX30" s="3">
        <f t="shared" si="121"/>
        <v>-0.33333333333333331</v>
      </c>
      <c r="EY30" s="3">
        <f t="shared" si="121"/>
        <v>-0.25000000000000006</v>
      </c>
      <c r="EZ30" s="3">
        <f t="shared" ref="EZ30" si="122">(EZ25-EZ17)/EZ17</f>
        <v>-0.57142857142857151</v>
      </c>
      <c r="FA30" s="3">
        <f t="shared" ref="FA30:FB30" si="123">(FA25-FA17)/FA17</f>
        <v>-0.5</v>
      </c>
      <c r="FB30" s="3">
        <f t="shared" si="123"/>
        <v>-0.625</v>
      </c>
      <c r="FC30" s="3">
        <f t="shared" ref="FC30:FD30" si="124">(FC25-FC17)/FC17</f>
        <v>-0.45454545454545459</v>
      </c>
      <c r="FD30" s="3">
        <f t="shared" si="124"/>
        <v>-0.5</v>
      </c>
      <c r="FE30" s="3">
        <f t="shared" ref="FE30:FF30" si="125">(FE25-FE17)/FE17</f>
        <v>-0.375</v>
      </c>
      <c r="FF30" s="3">
        <f t="shared" si="125"/>
        <v>-0.66666666666666663</v>
      </c>
      <c r="FG30" s="4"/>
      <c r="FH30" s="4"/>
      <c r="FI30" s="4"/>
      <c r="FJ30" s="4"/>
      <c r="FK30" s="4"/>
      <c r="FL30" s="4"/>
    </row>
    <row r="31" spans="1:168" x14ac:dyDescent="0.3">
      <c r="A31" t="s">
        <v>141</v>
      </c>
      <c r="B31" s="4">
        <v>0.44</v>
      </c>
      <c r="C31" s="4">
        <v>0.5</v>
      </c>
      <c r="D31" s="4">
        <v>0.46</v>
      </c>
      <c r="E31" s="8">
        <v>0.49</v>
      </c>
      <c r="F31" s="8">
        <v>0.43</v>
      </c>
      <c r="G31" s="4">
        <v>0.43</v>
      </c>
      <c r="H31" s="4">
        <v>0.31</v>
      </c>
      <c r="I31" s="4">
        <v>0.41</v>
      </c>
      <c r="J31" s="4">
        <v>0.55000000000000004</v>
      </c>
      <c r="K31" s="4">
        <v>0.41</v>
      </c>
      <c r="L31" s="4">
        <v>0.53</v>
      </c>
      <c r="M31" s="4">
        <v>0.38</v>
      </c>
      <c r="N31" s="4">
        <v>0.51</v>
      </c>
      <c r="O31" s="4">
        <v>0.45</v>
      </c>
      <c r="P31" s="4">
        <v>0.56999999999999995</v>
      </c>
      <c r="Q31" s="4">
        <v>0.67</v>
      </c>
      <c r="R31" s="4">
        <v>0.53</v>
      </c>
      <c r="S31" s="4">
        <v>0.42</v>
      </c>
      <c r="T31" s="4">
        <v>0.3</v>
      </c>
      <c r="U31" s="4">
        <v>0.41</v>
      </c>
      <c r="V31" s="4">
        <v>0.37</v>
      </c>
      <c r="W31" s="4">
        <v>0.46</v>
      </c>
      <c r="X31" s="4">
        <v>0.53</v>
      </c>
      <c r="Y31" s="4">
        <v>0.46</v>
      </c>
      <c r="Z31" s="4">
        <v>0.42</v>
      </c>
      <c r="AA31" s="4">
        <v>0.47</v>
      </c>
      <c r="AB31" s="8">
        <v>0.4</v>
      </c>
      <c r="AC31" s="4">
        <v>0.46</v>
      </c>
      <c r="AD31" s="4">
        <v>0.52</v>
      </c>
      <c r="AE31" s="4">
        <v>0.44</v>
      </c>
      <c r="AF31" s="8">
        <v>0.42</v>
      </c>
      <c r="AG31" s="4">
        <v>0.63</v>
      </c>
      <c r="AH31" s="4">
        <v>0.61</v>
      </c>
      <c r="AI31" s="4">
        <v>0.78</v>
      </c>
      <c r="AJ31" s="4">
        <v>0.45</v>
      </c>
      <c r="AK31" s="8">
        <v>0.51</v>
      </c>
      <c r="AL31" s="4">
        <v>0.44</v>
      </c>
      <c r="AM31" s="8">
        <v>0.61</v>
      </c>
      <c r="AN31" s="4">
        <v>0.56999999999999995</v>
      </c>
      <c r="AO31" s="4">
        <v>0.63</v>
      </c>
      <c r="AP31" s="4">
        <v>0.5</v>
      </c>
      <c r="AQ31" s="10">
        <v>0.5</v>
      </c>
      <c r="AR31" s="4">
        <v>0.45</v>
      </c>
      <c r="AS31" s="4">
        <v>0.47</v>
      </c>
      <c r="AT31" s="4">
        <v>0.67</v>
      </c>
      <c r="AU31" s="4">
        <v>0.69</v>
      </c>
      <c r="AV31" s="10">
        <v>0.42</v>
      </c>
      <c r="AW31" s="4">
        <v>0.41</v>
      </c>
      <c r="AX31" s="4">
        <v>0.4</v>
      </c>
      <c r="AY31" s="8">
        <v>0.49</v>
      </c>
      <c r="AZ31" s="4">
        <v>0.54</v>
      </c>
      <c r="BA31" s="4">
        <v>0.75</v>
      </c>
      <c r="BB31" s="4">
        <v>0.48</v>
      </c>
      <c r="BC31" s="4">
        <v>0.63</v>
      </c>
      <c r="BD31" s="4">
        <v>0.56000000000000005</v>
      </c>
      <c r="BE31" s="4">
        <v>0.5</v>
      </c>
      <c r="BF31" s="4">
        <v>0.31</v>
      </c>
      <c r="BG31" s="4">
        <v>0.59</v>
      </c>
      <c r="BH31" s="4">
        <v>0.4</v>
      </c>
      <c r="BI31" s="4">
        <v>0.5</v>
      </c>
      <c r="BJ31" s="8">
        <v>0.34</v>
      </c>
      <c r="BK31" s="8">
        <v>0.46</v>
      </c>
      <c r="BL31" s="8">
        <v>0.55000000000000004</v>
      </c>
      <c r="BM31" s="8">
        <v>0.5</v>
      </c>
      <c r="BN31" s="4">
        <v>0.51</v>
      </c>
      <c r="BO31" s="4">
        <v>0.39</v>
      </c>
      <c r="BP31" s="4">
        <v>0.36</v>
      </c>
      <c r="BQ31" s="4">
        <v>0.52</v>
      </c>
      <c r="BR31" s="4">
        <v>0.5</v>
      </c>
      <c r="BS31" s="10">
        <v>0.5</v>
      </c>
      <c r="BT31" s="3">
        <v>0.47</v>
      </c>
      <c r="BU31" s="9">
        <v>0.51</v>
      </c>
      <c r="BV31" s="3">
        <v>0.64</v>
      </c>
      <c r="BW31" s="4">
        <v>0.41</v>
      </c>
      <c r="BX31" s="4">
        <v>0.43</v>
      </c>
      <c r="BY31" s="9">
        <v>0.46</v>
      </c>
      <c r="BZ31" s="4">
        <v>0.49</v>
      </c>
      <c r="CA31" s="4">
        <v>0.43</v>
      </c>
      <c r="CB31" s="4">
        <v>0.4</v>
      </c>
      <c r="CC31" s="4">
        <v>0.49</v>
      </c>
      <c r="CD31" s="4">
        <v>0.46</v>
      </c>
      <c r="CE31" s="4">
        <v>0.48</v>
      </c>
      <c r="CF31" s="4">
        <v>0.42</v>
      </c>
      <c r="CG31" s="4">
        <v>0.39</v>
      </c>
      <c r="CH31" s="4">
        <v>0.56000000000000005</v>
      </c>
      <c r="CI31" s="4">
        <v>0.55000000000000004</v>
      </c>
      <c r="CJ31" s="4">
        <v>0.32</v>
      </c>
      <c r="CK31" s="4">
        <v>0.52</v>
      </c>
      <c r="CL31" s="4">
        <v>0.56999999999999995</v>
      </c>
      <c r="CM31" s="4">
        <v>0.48</v>
      </c>
      <c r="CN31" s="4">
        <v>0.65</v>
      </c>
      <c r="CO31" s="8">
        <v>0.54</v>
      </c>
      <c r="CP31" s="4">
        <v>0.63</v>
      </c>
      <c r="CQ31" s="4">
        <v>0.49</v>
      </c>
      <c r="CR31" s="4">
        <v>0.61</v>
      </c>
      <c r="CS31" s="8">
        <v>0.59</v>
      </c>
      <c r="CT31" s="4">
        <v>0.65</v>
      </c>
      <c r="CU31" s="4">
        <v>0.62</v>
      </c>
      <c r="CV31" s="4">
        <v>0.43</v>
      </c>
      <c r="CW31" s="4">
        <v>0.33</v>
      </c>
      <c r="CX31" s="4">
        <v>0.5</v>
      </c>
      <c r="CY31" s="4">
        <v>0.56000000000000005</v>
      </c>
      <c r="CZ31" s="4">
        <v>0.59</v>
      </c>
      <c r="DA31" s="4">
        <v>0.6</v>
      </c>
      <c r="DB31" s="4">
        <v>0.55000000000000004</v>
      </c>
      <c r="DC31" s="4">
        <v>0.38</v>
      </c>
      <c r="DD31" s="4">
        <v>0.41</v>
      </c>
      <c r="DE31" s="4">
        <v>0.32</v>
      </c>
      <c r="DF31" s="4">
        <v>0.36</v>
      </c>
      <c r="DG31" s="4">
        <v>0.51</v>
      </c>
      <c r="DH31" s="4">
        <v>0.44</v>
      </c>
      <c r="DI31" s="4">
        <v>0.5</v>
      </c>
      <c r="DJ31" s="4">
        <v>0.57999999999999996</v>
      </c>
      <c r="DK31" s="4">
        <v>0.56999999999999995</v>
      </c>
      <c r="DL31" s="4">
        <v>0.55000000000000004</v>
      </c>
      <c r="DM31" s="4">
        <v>0.56000000000000005</v>
      </c>
      <c r="DN31" s="10">
        <v>0.61</v>
      </c>
      <c r="DO31" s="10">
        <v>0.69</v>
      </c>
      <c r="DP31" s="10">
        <v>0.65</v>
      </c>
      <c r="DQ31" s="10">
        <v>0.66</v>
      </c>
      <c r="DR31" s="10">
        <v>0.62</v>
      </c>
      <c r="DS31" s="4">
        <v>0.54</v>
      </c>
      <c r="DT31" s="4">
        <v>0.51</v>
      </c>
      <c r="DU31" s="4">
        <v>0.35</v>
      </c>
      <c r="DV31" s="4">
        <v>0.53</v>
      </c>
      <c r="DW31" s="4">
        <v>0.59</v>
      </c>
      <c r="DX31" s="4">
        <v>0.64</v>
      </c>
      <c r="DY31" s="4">
        <v>0.83</v>
      </c>
      <c r="DZ31" s="4">
        <v>0.79</v>
      </c>
      <c r="EA31" s="4">
        <v>0.73</v>
      </c>
      <c r="EB31" s="4">
        <v>0.74</v>
      </c>
      <c r="EC31" s="8">
        <v>0.69</v>
      </c>
      <c r="ED31" s="10">
        <v>0.78</v>
      </c>
      <c r="EE31" s="4">
        <v>0.8</v>
      </c>
      <c r="EF31" s="4">
        <v>0.74</v>
      </c>
      <c r="EG31" s="4">
        <v>0.72</v>
      </c>
      <c r="EH31" s="4">
        <v>0.43</v>
      </c>
      <c r="EI31" s="4">
        <v>0.43</v>
      </c>
      <c r="EJ31" s="4">
        <v>0.41599999999999998</v>
      </c>
      <c r="EK31" s="4">
        <v>0.39</v>
      </c>
      <c r="EL31" s="4">
        <v>0.52</v>
      </c>
      <c r="EM31" s="4">
        <v>0.45</v>
      </c>
      <c r="EN31" s="4">
        <v>0.41</v>
      </c>
      <c r="EO31" s="4">
        <v>0.63</v>
      </c>
      <c r="EP31" s="4">
        <v>0.56000000000000005</v>
      </c>
      <c r="EQ31" s="4">
        <v>0.61</v>
      </c>
      <c r="ER31" s="4">
        <v>0.68</v>
      </c>
      <c r="ES31" s="4">
        <v>0.56999999999999995</v>
      </c>
      <c r="ET31" s="4">
        <v>0.43</v>
      </c>
      <c r="EU31" s="4">
        <v>0.75</v>
      </c>
      <c r="EV31" s="4">
        <v>0.56000000000000005</v>
      </c>
      <c r="EW31" s="4">
        <v>0.49</v>
      </c>
      <c r="EX31" s="4">
        <v>0.7</v>
      </c>
      <c r="EY31" s="4">
        <v>0.75</v>
      </c>
      <c r="EZ31" s="4">
        <v>0.5</v>
      </c>
      <c r="FA31" s="4">
        <v>0.49</v>
      </c>
      <c r="FB31" s="4">
        <v>0.42</v>
      </c>
      <c r="FC31" s="4">
        <v>0.35</v>
      </c>
      <c r="FD31" s="4">
        <v>0.45</v>
      </c>
      <c r="FE31" s="4">
        <v>0.4</v>
      </c>
      <c r="FF31" s="4">
        <v>0.4</v>
      </c>
      <c r="FG31" s="4"/>
      <c r="FH31" s="4"/>
      <c r="FI31" s="4"/>
      <c r="FJ31" s="4"/>
      <c r="FK31" s="4"/>
      <c r="FL31" s="4"/>
    </row>
    <row r="32" spans="1:168" x14ac:dyDescent="0.3">
      <c r="A32" t="s">
        <v>142</v>
      </c>
      <c r="B32" s="4">
        <v>0.68</v>
      </c>
      <c r="C32" s="4">
        <v>0.74</v>
      </c>
      <c r="D32" s="4">
        <v>0.69499999999999995</v>
      </c>
      <c r="E32" s="8">
        <v>0.17699999999999999</v>
      </c>
      <c r="F32" s="8">
        <v>0.13400000000000001</v>
      </c>
      <c r="G32" s="4">
        <v>0.56100000000000005</v>
      </c>
      <c r="H32" s="4">
        <v>0.436</v>
      </c>
      <c r="I32" s="4">
        <v>0.82099999999999995</v>
      </c>
      <c r="J32" s="4">
        <v>0.77800000000000002</v>
      </c>
      <c r="K32" s="4">
        <v>0.72</v>
      </c>
      <c r="L32" s="4">
        <v>0.75</v>
      </c>
      <c r="M32" s="4">
        <v>0.879</v>
      </c>
      <c r="N32" s="4">
        <v>0.63500000000000001</v>
      </c>
      <c r="O32" s="4">
        <v>0.84699999999999998</v>
      </c>
      <c r="P32" s="4">
        <v>0.874</v>
      </c>
      <c r="Q32" s="4">
        <v>0.92900000000000005</v>
      </c>
      <c r="R32" s="4">
        <v>0.83799999999999997</v>
      </c>
      <c r="S32" s="4">
        <v>0.84199999999999997</v>
      </c>
      <c r="T32" s="4">
        <v>0.79300000000000004</v>
      </c>
      <c r="U32" s="4">
        <v>0.80800000000000005</v>
      </c>
      <c r="V32" s="4">
        <v>0.48299999999999998</v>
      </c>
      <c r="W32" s="4">
        <v>0.752</v>
      </c>
      <c r="X32" s="4">
        <v>0.73199999999999998</v>
      </c>
      <c r="Y32" s="4">
        <v>0.91600000000000004</v>
      </c>
      <c r="Z32" s="4">
        <v>0.83099999999999996</v>
      </c>
      <c r="AA32" s="4">
        <v>0.48699999999999999</v>
      </c>
      <c r="AB32" s="8">
        <v>0.747</v>
      </c>
      <c r="AC32" s="4">
        <v>6.9099999999999995E-2</v>
      </c>
      <c r="AD32" s="4">
        <v>0.873</v>
      </c>
      <c r="AE32" s="4">
        <v>0.81699999999999995</v>
      </c>
      <c r="AF32" s="8">
        <v>0.79600000000000004</v>
      </c>
      <c r="AG32" s="4">
        <v>0.87</v>
      </c>
      <c r="AH32" s="4">
        <v>0.81</v>
      </c>
      <c r="AI32" s="4">
        <v>0.85299999999999998</v>
      </c>
      <c r="AJ32" s="4">
        <v>0.64300000000000002</v>
      </c>
      <c r="AK32" s="8">
        <v>8.5999999999999993E-2</v>
      </c>
      <c r="AL32" s="4">
        <v>0.65400000000000003</v>
      </c>
      <c r="AM32" s="8">
        <v>0.34599999999999997</v>
      </c>
      <c r="AN32" s="4">
        <v>0.73</v>
      </c>
      <c r="AO32" s="4">
        <v>0.88</v>
      </c>
      <c r="AP32" s="4">
        <v>0.79100000000000004</v>
      </c>
      <c r="AQ32" s="10">
        <v>0.621</v>
      </c>
      <c r="AR32" s="4">
        <v>0.85699999999999998</v>
      </c>
      <c r="AS32" s="4">
        <v>0.86699999999999999</v>
      </c>
      <c r="AT32" s="4">
        <v>0.93500000000000005</v>
      </c>
      <c r="AU32" s="4">
        <v>0.66600000000000004</v>
      </c>
      <c r="AV32" s="10">
        <v>0.64800000000000002</v>
      </c>
      <c r="AW32" s="4">
        <v>0.83</v>
      </c>
      <c r="AX32" s="4">
        <v>0.71699999999999997</v>
      </c>
      <c r="AY32" s="8">
        <v>7.6999999999999999E-2</v>
      </c>
      <c r="AZ32" s="4">
        <v>0.71899999999999997</v>
      </c>
      <c r="BA32" s="4">
        <v>0.87</v>
      </c>
      <c r="BB32" s="4">
        <v>0.876</v>
      </c>
      <c r="BC32" s="4">
        <v>0.83099999999999996</v>
      </c>
      <c r="BD32" s="4">
        <v>0.68</v>
      </c>
      <c r="BE32" s="4">
        <v>0.83799999999999997</v>
      </c>
      <c r="BF32" s="4">
        <v>0.76400000000000001</v>
      </c>
      <c r="BG32" s="4">
        <v>0.94899999999999995</v>
      </c>
      <c r="BH32" s="4">
        <v>0.124</v>
      </c>
      <c r="BI32" s="4">
        <v>0.78200000000000003</v>
      </c>
      <c r="BJ32" s="8">
        <v>0.71199999999999997</v>
      </c>
      <c r="BK32" s="8">
        <v>0.73599999999999999</v>
      </c>
      <c r="BL32" s="8">
        <v>0.80700000000000005</v>
      </c>
      <c r="BM32" s="8">
        <v>0.23599999999999999</v>
      </c>
      <c r="BN32" s="4">
        <v>0.63500000000000001</v>
      </c>
      <c r="BO32" s="4">
        <v>0.47099999999999997</v>
      </c>
      <c r="BP32" s="4">
        <v>0.81599999999999995</v>
      </c>
      <c r="BQ32" s="4">
        <v>0.879</v>
      </c>
      <c r="BR32" s="4">
        <v>0.81</v>
      </c>
      <c r="BS32" s="10">
        <v>0.73699999999999999</v>
      </c>
      <c r="BT32" s="3">
        <v>0.70599999999999996</v>
      </c>
      <c r="BU32" s="9">
        <v>0.129</v>
      </c>
      <c r="BV32" s="3">
        <v>0.90900000000000003</v>
      </c>
      <c r="BW32" s="4">
        <v>0.83</v>
      </c>
      <c r="BX32" s="4">
        <v>0.69599999999999995</v>
      </c>
      <c r="BY32" s="9">
        <v>0.747</v>
      </c>
      <c r="BZ32" s="4">
        <v>0.56999999999999995</v>
      </c>
      <c r="CA32" s="4">
        <v>0.84499999999999997</v>
      </c>
      <c r="CB32" s="4">
        <v>0.75900000000000001</v>
      </c>
      <c r="CC32" s="4">
        <v>0.71199999999999997</v>
      </c>
      <c r="CD32" s="4">
        <v>0.69899999999999995</v>
      </c>
      <c r="CE32" s="4">
        <v>0.80100000000000005</v>
      </c>
      <c r="CF32" s="4">
        <v>0.78200000000000003</v>
      </c>
      <c r="CG32" s="4">
        <v>0.751</v>
      </c>
      <c r="CH32" s="4">
        <v>0.86499999999999999</v>
      </c>
      <c r="CI32" s="4">
        <v>0.74199999999999999</v>
      </c>
      <c r="CJ32" s="4">
        <v>0.69</v>
      </c>
      <c r="CK32" s="4">
        <v>0.78700000000000003</v>
      </c>
      <c r="CL32" s="4">
        <v>0.86799999999999999</v>
      </c>
      <c r="CM32" s="4">
        <v>0.8</v>
      </c>
      <c r="CN32" s="4">
        <v>0.752</v>
      </c>
      <c r="CO32" s="8">
        <v>0.375</v>
      </c>
      <c r="CP32" s="4">
        <v>0.94899999999999995</v>
      </c>
      <c r="CQ32" s="4">
        <v>0.88600000000000001</v>
      </c>
      <c r="CR32" s="4">
        <v>0.82099999999999995</v>
      </c>
      <c r="CS32" s="8">
        <v>9.9000000000000005E-2</v>
      </c>
      <c r="CT32" s="4">
        <v>0.94499999999999995</v>
      </c>
      <c r="CU32" s="4">
        <v>0.94499999999999995</v>
      </c>
      <c r="CV32" s="4">
        <v>0.68100000000000005</v>
      </c>
      <c r="CW32" s="4">
        <v>0.60599999999999998</v>
      </c>
      <c r="CX32" s="4">
        <v>0.77500000000000002</v>
      </c>
      <c r="CY32" s="4">
        <v>0.84199999999999997</v>
      </c>
      <c r="CZ32" s="4">
        <v>0.93600000000000005</v>
      </c>
      <c r="DA32" s="4">
        <v>0.93700000000000006</v>
      </c>
      <c r="DB32" s="4">
        <v>0.91500000000000004</v>
      </c>
      <c r="DC32" s="4">
        <v>0.77200000000000002</v>
      </c>
      <c r="DD32" s="4">
        <v>0.83099999999999996</v>
      </c>
      <c r="DE32" s="4">
        <v>0.72299999999999998</v>
      </c>
      <c r="DF32" s="4">
        <v>0.77200000000000002</v>
      </c>
      <c r="DG32" s="4">
        <v>0.99399999999999999</v>
      </c>
      <c r="DH32" s="4">
        <v>0.79600000000000004</v>
      </c>
      <c r="DI32" s="4">
        <v>0.96699999999999997</v>
      </c>
      <c r="DJ32" s="4">
        <v>0.94599999999999995</v>
      </c>
      <c r="DK32" s="4">
        <v>0.88500000000000001</v>
      </c>
      <c r="DL32" s="4">
        <v>0.94299999999999995</v>
      </c>
      <c r="DM32" s="4">
        <v>0.85499999999999998</v>
      </c>
      <c r="DN32" s="10">
        <v>0.74399999999999999</v>
      </c>
      <c r="DO32" s="10">
        <v>0.86499999999999999</v>
      </c>
      <c r="DP32" s="10">
        <v>0.91300000000000003</v>
      </c>
      <c r="DQ32" s="10">
        <v>0.89</v>
      </c>
      <c r="DR32" s="10">
        <v>0.95899999999999996</v>
      </c>
      <c r="DS32" s="4">
        <v>0.83799999999999997</v>
      </c>
      <c r="DT32" s="4">
        <v>0.876</v>
      </c>
      <c r="DU32" s="4">
        <v>0.79200000000000004</v>
      </c>
      <c r="DV32" s="4">
        <v>0.94799999999999995</v>
      </c>
      <c r="DW32" s="4">
        <v>0.86699999999999999</v>
      </c>
      <c r="DX32" s="4">
        <v>0.90100000000000002</v>
      </c>
      <c r="DY32" s="4">
        <v>0.94499999999999995</v>
      </c>
      <c r="DZ32" s="4">
        <v>0.93400000000000005</v>
      </c>
      <c r="EA32" s="4">
        <v>0.91</v>
      </c>
      <c r="EB32" s="4">
        <v>0.93100000000000005</v>
      </c>
      <c r="EC32" s="8">
        <v>0.76300000000000001</v>
      </c>
      <c r="ED32" s="10">
        <v>0.93</v>
      </c>
      <c r="EE32" s="4">
        <v>0.91</v>
      </c>
      <c r="EF32" s="4">
        <v>0.94399999999999995</v>
      </c>
      <c r="EG32" s="4">
        <v>0.93799999999999994</v>
      </c>
      <c r="EH32" s="4">
        <v>0.89500000000000002</v>
      </c>
      <c r="EI32" s="4">
        <v>0.88800000000000001</v>
      </c>
      <c r="EJ32" s="4">
        <v>0.89400000000000002</v>
      </c>
      <c r="EK32" s="4">
        <v>0.77700000000000002</v>
      </c>
      <c r="EL32" s="4">
        <v>0.81499999999999995</v>
      </c>
      <c r="EM32" s="4">
        <v>0.80300000000000005</v>
      </c>
      <c r="EN32" s="4">
        <v>0.84199999999999997</v>
      </c>
      <c r="EO32" s="4">
        <v>0.85399999999999998</v>
      </c>
      <c r="EP32" s="4">
        <v>0.93300000000000005</v>
      </c>
      <c r="EQ32" s="4">
        <v>0.92</v>
      </c>
      <c r="ER32" s="4">
        <v>0.83899999999999997</v>
      </c>
      <c r="ES32" s="4">
        <v>0.69699999999999995</v>
      </c>
      <c r="ET32" s="4">
        <v>0.64300000000000002</v>
      </c>
      <c r="EU32" s="4">
        <v>0.91300000000000003</v>
      </c>
      <c r="EV32" s="4">
        <v>0.81200000000000006</v>
      </c>
      <c r="EW32" s="4">
        <v>0.80900000000000005</v>
      </c>
      <c r="EX32" s="4">
        <v>0.378</v>
      </c>
      <c r="EY32" s="4">
        <v>0.41699999999999998</v>
      </c>
      <c r="EZ32" s="4">
        <v>0.86299999999999999</v>
      </c>
      <c r="FA32" s="4">
        <v>0.79600000000000004</v>
      </c>
      <c r="FB32" s="4">
        <v>0.85299999999999998</v>
      </c>
      <c r="FC32" s="4">
        <v>0.56499999999999995</v>
      </c>
      <c r="FD32" s="4">
        <v>0.8</v>
      </c>
      <c r="FE32" s="4">
        <v>0.69799999999999995</v>
      </c>
      <c r="FF32" s="4">
        <v>0.77800000000000002</v>
      </c>
      <c r="FG32" s="4"/>
      <c r="FH32" s="4"/>
      <c r="FI32" s="4"/>
      <c r="FJ32" s="4"/>
      <c r="FK32" s="4"/>
      <c r="FL32" s="4"/>
    </row>
    <row r="33" spans="1:168" x14ac:dyDescent="0.3">
      <c r="A33" t="s">
        <v>143</v>
      </c>
      <c r="B33" s="4">
        <v>7.5999999999999998E-2</v>
      </c>
      <c r="C33" s="4">
        <v>8.1000000000000003E-2</v>
      </c>
      <c r="D33" s="4">
        <v>8.3000000000000004E-2</v>
      </c>
      <c r="E33" s="8">
        <v>0.19600000000000001</v>
      </c>
      <c r="F33" s="8">
        <v>0.186</v>
      </c>
      <c r="G33" s="4">
        <v>0.09</v>
      </c>
      <c r="H33" s="4">
        <v>7.3999999999999996E-2</v>
      </c>
      <c r="I33" s="4">
        <v>6.6000000000000003E-2</v>
      </c>
      <c r="J33" s="4">
        <v>7.8E-2</v>
      </c>
      <c r="K33" s="4">
        <v>0.113</v>
      </c>
      <c r="L33" s="4">
        <v>0.13500000000000001</v>
      </c>
      <c r="M33" s="4">
        <v>0.06</v>
      </c>
      <c r="N33" s="4">
        <v>0.111</v>
      </c>
      <c r="O33" s="4">
        <v>7.0999999999999994E-2</v>
      </c>
      <c r="P33" s="4">
        <v>9.0999999999999998E-2</v>
      </c>
      <c r="Q33" s="4">
        <v>0.08</v>
      </c>
      <c r="R33" s="4">
        <v>8.5999999999999993E-2</v>
      </c>
      <c r="S33" s="4">
        <v>6.8000000000000005E-2</v>
      </c>
      <c r="T33" s="4">
        <v>7.1999999999999995E-2</v>
      </c>
      <c r="U33" s="4">
        <v>7.3999999999999996E-2</v>
      </c>
      <c r="V33" s="4">
        <v>4.7E-2</v>
      </c>
      <c r="W33" s="4">
        <v>7.8E-2</v>
      </c>
      <c r="X33" s="4">
        <v>0.13700000000000001</v>
      </c>
      <c r="Y33" s="4">
        <v>5.1999999999999998E-2</v>
      </c>
      <c r="Z33" s="4">
        <v>6.4000000000000001E-2</v>
      </c>
      <c r="AA33" s="4">
        <v>0.16</v>
      </c>
      <c r="AB33" s="8">
        <v>9.2999999999999999E-2</v>
      </c>
      <c r="AC33" s="4">
        <v>0.11799999999999999</v>
      </c>
      <c r="AD33" s="4">
        <v>8.1000000000000003E-2</v>
      </c>
      <c r="AE33" s="4">
        <v>8.4000000000000005E-2</v>
      </c>
      <c r="AF33" s="8">
        <v>8.5999999999999993E-2</v>
      </c>
      <c r="AG33" s="4">
        <v>0.109</v>
      </c>
      <c r="AH33" s="4">
        <v>0.128</v>
      </c>
      <c r="AI33" s="4">
        <v>0.14899999999999999</v>
      </c>
      <c r="AJ33" s="4">
        <v>0.08</v>
      </c>
      <c r="AK33" s="8">
        <v>0.20599999999999999</v>
      </c>
      <c r="AL33" s="4">
        <v>7.9000000000000001E-2</v>
      </c>
      <c r="AM33" s="8">
        <v>0.23400000000000001</v>
      </c>
      <c r="AN33" s="4">
        <v>0.108</v>
      </c>
      <c r="AO33" s="4">
        <v>8.2000000000000003E-2</v>
      </c>
      <c r="AP33" s="4">
        <v>0.114</v>
      </c>
      <c r="AQ33" s="10">
        <v>0.16300000000000001</v>
      </c>
      <c r="AR33" s="4">
        <v>8.2000000000000003E-2</v>
      </c>
      <c r="AS33" s="4">
        <v>8.2000000000000003E-2</v>
      </c>
      <c r="AT33" s="4">
        <v>0.106</v>
      </c>
      <c r="AU33" s="4">
        <v>0.16300000000000001</v>
      </c>
      <c r="AV33" s="10">
        <v>9.7000000000000003E-2</v>
      </c>
      <c r="AW33" s="4">
        <v>6.5000000000000002E-2</v>
      </c>
      <c r="AX33" s="4">
        <v>8.6999999999999994E-2</v>
      </c>
      <c r="AY33" s="8">
        <v>0.26700000000000002</v>
      </c>
      <c r="AZ33" s="4">
        <v>0.10199999999999999</v>
      </c>
      <c r="BA33" s="4">
        <v>0.182</v>
      </c>
      <c r="BB33" s="4">
        <v>0.128</v>
      </c>
      <c r="BC33" s="4">
        <v>0.10100000000000001</v>
      </c>
      <c r="BD33" s="4">
        <v>0.108</v>
      </c>
      <c r="BE33" s="4">
        <v>0.11799999999999999</v>
      </c>
      <c r="BF33" s="4">
        <v>4.5999999999999999E-2</v>
      </c>
      <c r="BG33" s="4">
        <v>7.5999999999999998E-2</v>
      </c>
      <c r="BH33" s="4">
        <v>0.20699999999999999</v>
      </c>
      <c r="BI33" s="4">
        <v>0.11</v>
      </c>
      <c r="BJ33" s="8">
        <v>5.3999999999999999E-2</v>
      </c>
      <c r="BK33" s="8">
        <v>7.8E-2</v>
      </c>
      <c r="BL33" s="8">
        <v>0.13700000000000001</v>
      </c>
      <c r="BM33" s="8">
        <v>0.17799999999999999</v>
      </c>
      <c r="BN33" s="4">
        <v>8.8999999999999996E-2</v>
      </c>
      <c r="BO33" s="4">
        <v>8.3000000000000004E-2</v>
      </c>
      <c r="BP33" s="4">
        <v>6.0999999999999999E-2</v>
      </c>
      <c r="BQ33" s="4">
        <v>7.5999999999999998E-2</v>
      </c>
      <c r="BR33" s="4">
        <v>8.2000000000000003E-2</v>
      </c>
      <c r="BS33" s="10">
        <v>9.5000000000000001E-2</v>
      </c>
      <c r="BT33" s="3">
        <v>0.13900000000000001</v>
      </c>
      <c r="BU33" s="9">
        <v>0.38300000000000001</v>
      </c>
      <c r="BV33" s="3">
        <v>9.0999999999999998E-2</v>
      </c>
      <c r="BW33" s="4">
        <v>8.8999999999999996E-2</v>
      </c>
      <c r="BX33" s="4">
        <v>0.12</v>
      </c>
      <c r="BY33" s="9">
        <v>0.124</v>
      </c>
      <c r="BZ33" s="4">
        <v>0.108</v>
      </c>
      <c r="CA33" s="4">
        <v>5.6000000000000001E-2</v>
      </c>
      <c r="CB33" s="4">
        <v>6.6000000000000003E-2</v>
      </c>
      <c r="CC33" s="4">
        <v>8.7999999999999995E-2</v>
      </c>
      <c r="CD33" s="4">
        <v>8.5000000000000006E-2</v>
      </c>
      <c r="CE33" s="4">
        <v>7.1999999999999995E-2</v>
      </c>
      <c r="CF33" s="4">
        <v>6.4000000000000001E-2</v>
      </c>
      <c r="CG33" s="4">
        <v>6.5000000000000002E-2</v>
      </c>
      <c r="CH33" s="4">
        <v>6.6000000000000003E-2</v>
      </c>
      <c r="CI33" s="4">
        <v>9.0999999999999998E-2</v>
      </c>
      <c r="CJ33" s="4">
        <v>6.4000000000000001E-2</v>
      </c>
      <c r="CK33" s="4">
        <v>7.6999999999999999E-2</v>
      </c>
      <c r="CL33" s="4">
        <v>6.6000000000000003E-2</v>
      </c>
      <c r="CM33" s="4">
        <v>7.0999999999999994E-2</v>
      </c>
      <c r="CN33" s="4">
        <v>0.106</v>
      </c>
      <c r="CO33" s="8">
        <v>0.157</v>
      </c>
      <c r="CP33" s="4">
        <v>5.5E-2</v>
      </c>
      <c r="CQ33" s="4">
        <v>6.3E-2</v>
      </c>
      <c r="CR33" s="4">
        <v>8.3000000000000004E-2</v>
      </c>
      <c r="CS33" s="8">
        <v>0.30199999999999999</v>
      </c>
      <c r="CT33" s="4">
        <v>5.8999999999999997E-2</v>
      </c>
      <c r="CU33" s="4">
        <v>5.7000000000000002E-2</v>
      </c>
      <c r="CV33" s="4">
        <v>0.108</v>
      </c>
      <c r="CW33" s="4">
        <v>9.7000000000000003E-2</v>
      </c>
      <c r="CX33" s="4">
        <v>0.11600000000000001</v>
      </c>
      <c r="CY33" s="4">
        <v>0.128</v>
      </c>
      <c r="CZ33" s="4">
        <v>8.7999999999999995E-2</v>
      </c>
      <c r="DA33" s="4">
        <v>9.0999999999999998E-2</v>
      </c>
      <c r="DB33" s="4">
        <v>9.4E-2</v>
      </c>
      <c r="DC33" s="4">
        <v>0.10299999999999999</v>
      </c>
      <c r="DD33" s="4">
        <v>9.8000000000000004E-2</v>
      </c>
      <c r="DE33" s="4">
        <v>0.01</v>
      </c>
      <c r="DF33" s="4">
        <v>0.01</v>
      </c>
      <c r="DG33" s="4">
        <v>2.5000000000000001E-2</v>
      </c>
      <c r="DH33" s="4">
        <v>0.13300000000000001</v>
      </c>
      <c r="DI33" s="4">
        <v>5.7000000000000002E-2</v>
      </c>
      <c r="DJ33" s="4">
        <v>8.7999999999999995E-2</v>
      </c>
      <c r="DK33" s="4">
        <v>0.127</v>
      </c>
      <c r="DL33" s="4">
        <v>8.3000000000000004E-2</v>
      </c>
      <c r="DM33" s="4">
        <v>0.13800000000000001</v>
      </c>
      <c r="DN33" s="10">
        <v>0.20699999999999999</v>
      </c>
      <c r="DO33" s="10">
        <v>0.17699999999999999</v>
      </c>
      <c r="DP33" s="10">
        <v>0.126</v>
      </c>
      <c r="DQ33" s="10">
        <v>0.14799999999999999</v>
      </c>
      <c r="DR33" s="10">
        <v>8.8999999999999996E-2</v>
      </c>
      <c r="DS33" s="4">
        <v>0.121</v>
      </c>
      <c r="DT33" s="4">
        <v>9.5000000000000001E-2</v>
      </c>
      <c r="DU33" s="4">
        <v>8.7999999999999995E-2</v>
      </c>
      <c r="DV33" s="4">
        <v>6.5000000000000002E-2</v>
      </c>
      <c r="DW33" s="4">
        <v>0.11799999999999999</v>
      </c>
      <c r="DX33" s="4">
        <v>0.108</v>
      </c>
      <c r="DY33" s="4">
        <v>0.1</v>
      </c>
      <c r="DZ33" s="4">
        <v>0.105</v>
      </c>
      <c r="EA33" s="4">
        <v>0.113</v>
      </c>
      <c r="EB33" s="4">
        <v>9.9000000000000005E-2</v>
      </c>
      <c r="EC33" s="8">
        <v>0.18099999999999999</v>
      </c>
      <c r="ED33" s="10">
        <v>0.104</v>
      </c>
      <c r="EE33" s="4">
        <v>0.125</v>
      </c>
      <c r="EF33" s="4">
        <v>0.08</v>
      </c>
      <c r="EG33" s="4">
        <v>7.6999999999999999E-2</v>
      </c>
      <c r="EH33" s="4">
        <v>6.3E-2</v>
      </c>
      <c r="EI33" s="4">
        <v>6.5000000000000002E-2</v>
      </c>
      <c r="EJ33" s="4">
        <v>7.5999999999999998E-2</v>
      </c>
      <c r="EK33" s="4">
        <v>8.6999999999999994E-2</v>
      </c>
      <c r="EL33" s="4">
        <v>0.10199999999999999</v>
      </c>
      <c r="EM33" s="4">
        <v>9.1999999999999998E-2</v>
      </c>
      <c r="EN33" s="4">
        <v>7.5999999999999998E-2</v>
      </c>
      <c r="EO33" s="4">
        <v>7.1999999999999995E-2</v>
      </c>
      <c r="EP33" s="4">
        <v>4.3999999999999997E-2</v>
      </c>
      <c r="EQ33" s="4">
        <v>5.6000000000000001E-2</v>
      </c>
      <c r="ER33" s="4">
        <v>8.5000000000000006E-2</v>
      </c>
      <c r="ES33" s="4">
        <v>9.2999999999999999E-2</v>
      </c>
      <c r="ET33" s="4">
        <v>0.13600000000000001</v>
      </c>
      <c r="EU33" s="4">
        <v>0.107</v>
      </c>
      <c r="EV33" s="4">
        <v>0.125</v>
      </c>
      <c r="EW33" s="4">
        <v>0.108</v>
      </c>
      <c r="EX33" s="4">
        <v>0.191</v>
      </c>
      <c r="EY33" s="4">
        <v>0.189</v>
      </c>
      <c r="EZ33" s="4">
        <v>7.6999999999999999E-2</v>
      </c>
      <c r="FA33" s="4">
        <v>0.09</v>
      </c>
      <c r="FB33" s="4">
        <v>6.9000000000000006E-2</v>
      </c>
      <c r="FC33" s="4">
        <v>0.109</v>
      </c>
      <c r="FD33" s="4">
        <v>7.6999999999999999E-2</v>
      </c>
      <c r="FE33" s="4">
        <v>8.8999999999999996E-2</v>
      </c>
      <c r="FF33" s="4">
        <v>8.6999999999999994E-2</v>
      </c>
      <c r="FG33" s="4"/>
      <c r="FH33" s="4"/>
      <c r="FI33" s="4"/>
      <c r="FJ33" s="4"/>
      <c r="FK33" s="4"/>
      <c r="FL33" s="4"/>
    </row>
    <row r="34" spans="1:168" x14ac:dyDescent="0.3">
      <c r="A34" t="s">
        <v>144</v>
      </c>
      <c r="B34" s="4">
        <v>0.05</v>
      </c>
      <c r="C34" s="4">
        <v>0.05</v>
      </c>
      <c r="D34" s="4">
        <v>0.05</v>
      </c>
      <c r="E34" s="8">
        <v>0.06</v>
      </c>
      <c r="F34" s="8">
        <v>7.0000000000000007E-2</v>
      </c>
      <c r="G34" s="4">
        <v>0.06</v>
      </c>
      <c r="H34" s="4">
        <v>0.06</v>
      </c>
      <c r="I34" s="4">
        <v>0.04</v>
      </c>
      <c r="J34" s="4">
        <v>0.03</v>
      </c>
      <c r="K34" s="4">
        <v>7.0000000000000007E-2</v>
      </c>
      <c r="L34" s="4">
        <v>0.06</v>
      </c>
      <c r="M34" s="4">
        <v>0.04</v>
      </c>
      <c r="N34" s="4">
        <v>0.05</v>
      </c>
      <c r="O34" s="4">
        <v>0.03</v>
      </c>
      <c r="P34" s="4">
        <v>0.04</v>
      </c>
      <c r="Q34" s="4">
        <v>0.02</v>
      </c>
      <c r="R34" s="4">
        <v>0.04</v>
      </c>
      <c r="S34" s="4">
        <v>0.04</v>
      </c>
      <c r="T34" s="4">
        <v>0.06</v>
      </c>
      <c r="U34" s="4">
        <v>0.05</v>
      </c>
      <c r="V34" s="4">
        <v>0.05</v>
      </c>
      <c r="W34" s="4">
        <v>0.04</v>
      </c>
      <c r="X34" s="4">
        <v>7.0000000000000007E-2</v>
      </c>
      <c r="Y34" s="4">
        <v>0.02</v>
      </c>
      <c r="Z34" s="4">
        <v>0.03</v>
      </c>
      <c r="AA34" s="4">
        <v>7.0000000000000007E-2</v>
      </c>
      <c r="AB34" s="8">
        <v>0.05</v>
      </c>
      <c r="AC34" s="4">
        <v>0.06</v>
      </c>
      <c r="AD34" s="4">
        <v>0.04</v>
      </c>
      <c r="AE34" s="4">
        <v>0.05</v>
      </c>
      <c r="AF34" s="8">
        <v>0.05</v>
      </c>
      <c r="AG34" s="4">
        <v>0.04</v>
      </c>
      <c r="AH34" s="4">
        <v>0.05</v>
      </c>
      <c r="AI34" s="4">
        <v>0.03</v>
      </c>
      <c r="AJ34" s="4">
        <v>0.05</v>
      </c>
      <c r="AK34" s="8">
        <v>0.05</v>
      </c>
      <c r="AL34" s="4">
        <v>0.04</v>
      </c>
      <c r="AM34" s="8">
        <v>7.0000000000000007E-2</v>
      </c>
      <c r="AN34" s="4">
        <v>0.05</v>
      </c>
      <c r="AO34" s="4">
        <v>0.03</v>
      </c>
      <c r="AP34" s="4">
        <v>0.06</v>
      </c>
      <c r="AQ34" s="10">
        <v>0.06</v>
      </c>
      <c r="AR34" s="4">
        <v>0.05</v>
      </c>
      <c r="AS34" s="4">
        <v>0.05</v>
      </c>
      <c r="AT34" s="4">
        <v>0.03</v>
      </c>
      <c r="AU34" s="4">
        <v>0.03</v>
      </c>
      <c r="AV34" s="10">
        <v>0.06</v>
      </c>
      <c r="AW34" s="4">
        <v>0.04</v>
      </c>
      <c r="AX34" s="4">
        <v>0.05</v>
      </c>
      <c r="AY34" s="8">
        <v>7.0000000000000007E-2</v>
      </c>
      <c r="AZ34" s="4">
        <v>0.05</v>
      </c>
      <c r="BA34" s="4">
        <v>0.04</v>
      </c>
      <c r="BB34" s="4">
        <v>0.04</v>
      </c>
      <c r="BC34" s="4">
        <v>0.02</v>
      </c>
      <c r="BD34" s="4">
        <v>0.02</v>
      </c>
      <c r="BE34" s="4">
        <v>0.06</v>
      </c>
      <c r="BF34" s="4">
        <v>0.04</v>
      </c>
      <c r="BG34" s="4">
        <v>0.03</v>
      </c>
      <c r="BH34" s="4">
        <v>0.06</v>
      </c>
      <c r="BI34" s="4">
        <v>0.05</v>
      </c>
      <c r="BJ34" s="8">
        <v>0.06</v>
      </c>
      <c r="BK34" s="8">
        <v>0.04</v>
      </c>
      <c r="BL34" s="8">
        <v>0.06</v>
      </c>
      <c r="BM34" s="8">
        <v>0.06</v>
      </c>
      <c r="BN34" s="4">
        <v>0.05</v>
      </c>
      <c r="BO34" s="4">
        <v>0.06</v>
      </c>
      <c r="BP34" s="4">
        <v>0.04</v>
      </c>
      <c r="BQ34" s="4">
        <v>0.03</v>
      </c>
      <c r="BR34" s="4">
        <v>0.05</v>
      </c>
      <c r="BS34" s="10">
        <v>0.05</v>
      </c>
      <c r="BT34" s="3">
        <v>7.0000000000000007E-2</v>
      </c>
      <c r="BU34" s="9">
        <v>0.08</v>
      </c>
      <c r="BV34" s="3">
        <v>0.03</v>
      </c>
      <c r="BW34" s="4">
        <v>0.05</v>
      </c>
      <c r="BX34" s="4">
        <v>7.0000000000000007E-2</v>
      </c>
      <c r="BY34" s="9">
        <v>0.06</v>
      </c>
      <c r="BZ34" s="4">
        <v>0.06</v>
      </c>
      <c r="CA34" s="4">
        <v>0.03</v>
      </c>
      <c r="CB34" s="4">
        <v>0.04</v>
      </c>
      <c r="CC34" s="4">
        <v>0.05</v>
      </c>
      <c r="CD34" s="4">
        <v>0.05</v>
      </c>
      <c r="CE34" s="4">
        <v>0.04</v>
      </c>
      <c r="CF34" s="4">
        <v>0.04</v>
      </c>
      <c r="CG34" s="4">
        <v>0.05</v>
      </c>
      <c r="CH34" s="4">
        <v>0.03</v>
      </c>
      <c r="CI34" s="4">
        <v>0.05</v>
      </c>
      <c r="CJ34" s="4">
        <v>0.05</v>
      </c>
      <c r="CK34" s="4">
        <v>0.04</v>
      </c>
      <c r="CL34" s="4">
        <v>0.03</v>
      </c>
      <c r="CM34" s="4">
        <v>0.04</v>
      </c>
      <c r="CN34" s="4">
        <v>0.04</v>
      </c>
      <c r="CO34" s="8">
        <v>0.04</v>
      </c>
      <c r="CP34" s="4">
        <v>0.02</v>
      </c>
      <c r="CQ34" s="4">
        <v>0.04</v>
      </c>
      <c r="CR34" s="4">
        <v>0.03</v>
      </c>
      <c r="CS34" s="8">
        <v>0.05</v>
      </c>
      <c r="CT34" s="4">
        <v>0.02</v>
      </c>
      <c r="CU34" s="4">
        <v>0.02</v>
      </c>
      <c r="CV34" s="4">
        <v>0.06</v>
      </c>
      <c r="CW34" s="4">
        <v>7.0000000000000007E-2</v>
      </c>
      <c r="CX34" s="4">
        <v>0.05</v>
      </c>
      <c r="CY34" s="4">
        <v>0.05</v>
      </c>
      <c r="CZ34" s="4">
        <v>0.03</v>
      </c>
      <c r="DA34" s="4">
        <v>0.03</v>
      </c>
      <c r="DB34" s="4">
        <v>0.03</v>
      </c>
      <c r="DC34" s="4">
        <v>0.05</v>
      </c>
      <c r="DD34" s="4">
        <v>0.05</v>
      </c>
      <c r="DE34" s="4">
        <v>0.06</v>
      </c>
      <c r="DF34" s="4">
        <v>0.06</v>
      </c>
      <c r="DG34" s="4">
        <v>0.01</v>
      </c>
      <c r="DH34" s="4">
        <v>0.06</v>
      </c>
      <c r="DI34" s="4">
        <v>0.02</v>
      </c>
      <c r="DJ34" s="4">
        <v>0.02</v>
      </c>
      <c r="DK34" s="4">
        <v>0.04</v>
      </c>
      <c r="DL34" s="4">
        <v>0.03</v>
      </c>
      <c r="DM34" s="4">
        <v>0.04</v>
      </c>
      <c r="DN34" s="10">
        <v>0.06</v>
      </c>
      <c r="DO34" s="10">
        <v>0.03</v>
      </c>
      <c r="DP34" s="10">
        <v>0.03</v>
      </c>
      <c r="DQ34" s="10">
        <v>0.03</v>
      </c>
      <c r="DR34" s="10">
        <v>0.03</v>
      </c>
      <c r="DS34" s="4">
        <v>0.05</v>
      </c>
      <c r="DT34" s="4">
        <v>0.05</v>
      </c>
      <c r="DU34" s="4">
        <v>0.06</v>
      </c>
      <c r="DV34" s="4">
        <v>0.04</v>
      </c>
      <c r="DW34" s="4">
        <v>0.04</v>
      </c>
      <c r="DX34" s="4">
        <v>0.04</v>
      </c>
      <c r="DY34" s="4">
        <v>0.02</v>
      </c>
      <c r="DZ34" s="4">
        <v>0.02</v>
      </c>
      <c r="EA34" s="4">
        <v>0.03</v>
      </c>
      <c r="EB34" s="4">
        <v>0.03</v>
      </c>
      <c r="EC34" s="8">
        <v>0.05</v>
      </c>
      <c r="ED34" s="10">
        <v>0.03</v>
      </c>
      <c r="EE34" s="4">
        <v>0.02</v>
      </c>
      <c r="EF34" s="4">
        <v>0.02</v>
      </c>
      <c r="EG34" s="4">
        <v>0.02</v>
      </c>
      <c r="EH34" s="4">
        <v>0.04</v>
      </c>
      <c r="EI34" s="4">
        <v>0.04</v>
      </c>
      <c r="EJ34" s="4">
        <v>5.1999999999999998E-2</v>
      </c>
      <c r="EK34" s="4">
        <v>0.05</v>
      </c>
      <c r="EL34" s="4">
        <v>0.04</v>
      </c>
      <c r="EM34" s="4">
        <v>0.05</v>
      </c>
      <c r="EN34" s="4">
        <v>0.04</v>
      </c>
      <c r="EO34" s="4">
        <v>0.03</v>
      </c>
      <c r="EP34" s="4">
        <v>0.02</v>
      </c>
      <c r="EQ34" s="4">
        <v>0.02</v>
      </c>
      <c r="ER34" s="4">
        <v>0.02</v>
      </c>
      <c r="ES34" s="4">
        <v>0.04</v>
      </c>
      <c r="ET34" s="4">
        <v>0.08</v>
      </c>
      <c r="EU34" s="4">
        <v>0.03</v>
      </c>
      <c r="EV34" s="4">
        <v>0.05</v>
      </c>
      <c r="EW34" s="4">
        <v>0.05</v>
      </c>
      <c r="EX34" s="4">
        <v>0.04</v>
      </c>
      <c r="EY34" s="4">
        <v>0.03</v>
      </c>
      <c r="EZ34" s="4">
        <v>0.03</v>
      </c>
      <c r="FA34" s="4">
        <v>0.04</v>
      </c>
      <c r="FB34" s="4">
        <v>0.04</v>
      </c>
      <c r="FC34" s="4">
        <v>7.0000000000000007E-2</v>
      </c>
      <c r="FD34" s="4">
        <v>0.04</v>
      </c>
      <c r="FE34" s="4">
        <v>0.05</v>
      </c>
      <c r="FF34" s="4">
        <v>0.05</v>
      </c>
      <c r="FG34" s="4"/>
      <c r="FH34" s="4"/>
      <c r="FI34" s="4"/>
      <c r="FJ34" s="4"/>
      <c r="FK34" s="4"/>
      <c r="FL34" s="4"/>
    </row>
    <row r="35" spans="1:168" x14ac:dyDescent="0.3">
      <c r="A35" t="s">
        <v>154</v>
      </c>
      <c r="B35" s="4">
        <v>0.112</v>
      </c>
      <c r="C35" s="4">
        <v>0.158</v>
      </c>
      <c r="D35" s="4">
        <v>0.154</v>
      </c>
      <c r="E35" s="8">
        <v>0.128</v>
      </c>
      <c r="F35" s="8">
        <v>0.108</v>
      </c>
      <c r="G35" s="4">
        <v>0.13200000000000001</v>
      </c>
      <c r="H35" s="4">
        <v>5.6000000000000001E-2</v>
      </c>
      <c r="I35" s="4">
        <v>0.17799999999999999</v>
      </c>
      <c r="J35" s="4">
        <v>0.219</v>
      </c>
      <c r="K35" s="4">
        <v>0.53</v>
      </c>
      <c r="L35" s="4">
        <v>0.65</v>
      </c>
      <c r="M35" s="4">
        <v>0.23</v>
      </c>
      <c r="N35" s="4">
        <v>0.41299999999999998</v>
      </c>
      <c r="O35" s="4">
        <v>0.48599999999999999</v>
      </c>
      <c r="P35" s="4">
        <v>0.5</v>
      </c>
      <c r="Q35" s="4">
        <v>0.6</v>
      </c>
      <c r="R35" s="4">
        <v>0.17</v>
      </c>
      <c r="S35" s="4">
        <v>0.24</v>
      </c>
      <c r="T35" s="4">
        <v>0.52</v>
      </c>
      <c r="U35" s="4">
        <v>0.33700000000000002</v>
      </c>
      <c r="V35" s="4">
        <v>0.127</v>
      </c>
      <c r="W35" s="4">
        <v>0.13900000000000001</v>
      </c>
      <c r="X35" s="4">
        <v>0.28999999999999998</v>
      </c>
      <c r="Y35" s="4">
        <v>0.17699999999999999</v>
      </c>
      <c r="Z35" s="4">
        <v>0.19400000000000001</v>
      </c>
      <c r="AA35" s="4">
        <v>0.157</v>
      </c>
      <c r="AB35" s="8">
        <v>0.08</v>
      </c>
      <c r="AC35" s="4">
        <v>0.19</v>
      </c>
      <c r="AD35" s="4">
        <v>0.24</v>
      </c>
      <c r="AE35" s="4">
        <v>0.17</v>
      </c>
      <c r="AF35" s="8">
        <v>0.15</v>
      </c>
      <c r="AG35" s="4">
        <v>0.99</v>
      </c>
      <c r="AH35" s="4">
        <v>0.72</v>
      </c>
      <c r="AI35" s="4">
        <v>0.86</v>
      </c>
      <c r="AJ35" s="4">
        <v>0.13300000000000001</v>
      </c>
      <c r="AK35" s="8">
        <v>0.13200000000000001</v>
      </c>
      <c r="AL35" s="4">
        <v>0.13700000000000001</v>
      </c>
      <c r="AM35" s="8">
        <v>0.373</v>
      </c>
      <c r="AN35" s="4">
        <v>0.37</v>
      </c>
      <c r="AO35" s="4">
        <v>0.6</v>
      </c>
      <c r="AP35" s="4">
        <v>0.57999999999999996</v>
      </c>
      <c r="AQ35" s="10">
        <v>0.65</v>
      </c>
      <c r="AR35" s="4">
        <v>0.6</v>
      </c>
      <c r="AS35" s="4">
        <v>0.32</v>
      </c>
      <c r="AT35" s="4">
        <v>0.57999999999999996</v>
      </c>
      <c r="AU35" s="4">
        <v>0.443</v>
      </c>
      <c r="AV35" s="10">
        <v>0.252</v>
      </c>
      <c r="AW35" s="4">
        <v>0.20300000000000001</v>
      </c>
      <c r="AX35" s="4">
        <v>0.28999999999999998</v>
      </c>
      <c r="AY35" s="8">
        <v>0.442</v>
      </c>
      <c r="AZ35" s="4">
        <v>0.35299999999999998</v>
      </c>
      <c r="BA35" s="4">
        <v>0.76</v>
      </c>
      <c r="BB35" s="4">
        <v>0.66</v>
      </c>
      <c r="BC35" s="4">
        <v>0.19600000000000001</v>
      </c>
      <c r="BD35" s="4">
        <v>9.0999999999999998E-2</v>
      </c>
      <c r="BE35" s="4">
        <v>0.35</v>
      </c>
      <c r="BF35" s="4">
        <v>0.13300000000000001</v>
      </c>
      <c r="BG35" s="4">
        <v>0.76</v>
      </c>
      <c r="BH35" s="4">
        <v>0.253</v>
      </c>
      <c r="BI35" s="4">
        <v>0.45</v>
      </c>
      <c r="BJ35" s="8">
        <v>0.111</v>
      </c>
      <c r="BK35" s="8">
        <v>0.154</v>
      </c>
      <c r="BL35" s="8">
        <v>0.43</v>
      </c>
      <c r="BM35" s="8">
        <v>9.7000000000000003E-2</v>
      </c>
      <c r="BN35" s="10">
        <v>0.156</v>
      </c>
      <c r="BO35" s="10">
        <v>9.7000000000000003E-2</v>
      </c>
      <c r="BP35" s="10">
        <v>0.17199999999999999</v>
      </c>
      <c r="BQ35" s="10">
        <v>0.26500000000000001</v>
      </c>
      <c r="BR35" s="10">
        <v>0.21</v>
      </c>
      <c r="BS35" s="10">
        <v>0.22</v>
      </c>
      <c r="BT35" s="3">
        <v>0.46</v>
      </c>
      <c r="BU35" s="9">
        <v>0.56000000000000005</v>
      </c>
      <c r="BV35" s="3">
        <v>0.22</v>
      </c>
      <c r="BW35" s="4">
        <v>0.68</v>
      </c>
      <c r="BX35" s="4">
        <v>0.41</v>
      </c>
      <c r="BY35" s="9">
        <v>0.57999999999999996</v>
      </c>
      <c r="BZ35" s="4">
        <v>0.182</v>
      </c>
      <c r="CA35" s="4">
        <v>0.16400000000000001</v>
      </c>
      <c r="CB35" s="4">
        <v>0.17100000000000001</v>
      </c>
      <c r="CC35" s="4">
        <v>0.183</v>
      </c>
      <c r="CD35" s="4">
        <v>0.17699999999999999</v>
      </c>
      <c r="CE35" s="4">
        <v>0.20799999999999999</v>
      </c>
      <c r="CF35" s="4">
        <v>0.186</v>
      </c>
      <c r="CG35" s="4">
        <v>0.21099999999999999</v>
      </c>
      <c r="CH35" s="4">
        <v>0.20799999999999999</v>
      </c>
      <c r="CI35" s="4">
        <v>0.222</v>
      </c>
      <c r="CJ35" s="4">
        <v>0.121</v>
      </c>
      <c r="CK35" s="4">
        <v>0.22</v>
      </c>
      <c r="CL35" s="4">
        <v>0.25700000000000001</v>
      </c>
      <c r="CM35" s="4">
        <v>0.19500000000000001</v>
      </c>
      <c r="CN35" s="4">
        <v>0.28799999999999998</v>
      </c>
      <c r="CO35" s="8">
        <v>0.23100000000000001</v>
      </c>
      <c r="CP35" s="4">
        <v>0.251</v>
      </c>
      <c r="CQ35" s="4">
        <v>0.224</v>
      </c>
      <c r="CR35" s="4">
        <v>0.27</v>
      </c>
      <c r="CS35" s="8">
        <v>0.23799999999999999</v>
      </c>
      <c r="CT35" s="4">
        <v>0.24099999999999999</v>
      </c>
      <c r="CU35" s="4">
        <v>0.28299999999999997</v>
      </c>
      <c r="CV35" s="4">
        <v>0.29699999999999999</v>
      </c>
      <c r="CW35" s="4">
        <v>0.24299999999999999</v>
      </c>
      <c r="CX35" s="4">
        <v>0.27300000000000002</v>
      </c>
      <c r="CY35" s="4">
        <v>0.53</v>
      </c>
      <c r="CZ35" s="4">
        <v>0.59</v>
      </c>
      <c r="DA35" s="4">
        <v>0.74</v>
      </c>
      <c r="DB35" s="4">
        <v>0.43</v>
      </c>
      <c r="DC35" s="4">
        <v>0.14000000000000001</v>
      </c>
      <c r="DD35" s="4">
        <v>0.28000000000000003</v>
      </c>
      <c r="DE35" s="4">
        <v>0.11</v>
      </c>
      <c r="DF35" s="4">
        <v>0.2</v>
      </c>
      <c r="DG35" s="4">
        <v>0.23</v>
      </c>
      <c r="DH35" s="4">
        <v>0.15</v>
      </c>
      <c r="DI35" s="4">
        <v>0.51</v>
      </c>
      <c r="DJ35" s="4">
        <v>0.49</v>
      </c>
      <c r="DK35" s="4">
        <v>0.51</v>
      </c>
      <c r="DL35" s="4">
        <v>0.38</v>
      </c>
      <c r="DM35" s="4">
        <v>0.57999999999999996</v>
      </c>
      <c r="DN35" s="10">
        <v>0.62</v>
      </c>
      <c r="DO35" s="10">
        <v>0.49</v>
      </c>
      <c r="DP35" s="10">
        <v>0.56000000000000005</v>
      </c>
      <c r="DQ35" s="10">
        <v>0.2</v>
      </c>
      <c r="DR35" s="10">
        <v>0.64</v>
      </c>
      <c r="DS35" s="4">
        <v>0.08</v>
      </c>
      <c r="DT35" s="4">
        <v>0.04</v>
      </c>
      <c r="DU35" s="4">
        <v>0.14000000000000001</v>
      </c>
      <c r="DV35" s="4">
        <v>0.48</v>
      </c>
      <c r="DW35" s="4">
        <v>0.51</v>
      </c>
      <c r="DX35" s="4">
        <v>0.13</v>
      </c>
      <c r="DY35" s="4">
        <v>0.65</v>
      </c>
      <c r="DZ35" s="4">
        <v>0.73</v>
      </c>
      <c r="EA35" s="4">
        <v>0.8</v>
      </c>
      <c r="EB35" s="4">
        <v>0.64</v>
      </c>
      <c r="EC35" s="8">
        <v>0.66</v>
      </c>
      <c r="ED35" s="10">
        <v>0.65</v>
      </c>
      <c r="EE35" s="4">
        <v>0.65</v>
      </c>
      <c r="EF35" s="4">
        <v>0.48699999999999999</v>
      </c>
      <c r="EG35" s="4">
        <v>0.44700000000000001</v>
      </c>
      <c r="EH35" s="4">
        <v>0.55700000000000005</v>
      </c>
      <c r="EI35" s="4">
        <v>0.55700000000000005</v>
      </c>
      <c r="EJ35" s="4">
        <v>0.55700000000000005</v>
      </c>
      <c r="EK35" s="4">
        <v>0.39300000000000002</v>
      </c>
      <c r="EL35" s="4">
        <v>0.55000000000000004</v>
      </c>
      <c r="EM35" s="4">
        <v>0.33700000000000002</v>
      </c>
      <c r="EN35" s="4">
        <v>0.37</v>
      </c>
      <c r="EO35" s="4">
        <v>0.222</v>
      </c>
      <c r="EP35" s="4">
        <v>0.24199999999999999</v>
      </c>
      <c r="EQ35" s="4">
        <v>0.29299999999999998</v>
      </c>
      <c r="ER35" s="4">
        <v>0.27400000000000002</v>
      </c>
      <c r="ES35" s="4">
        <v>0.184</v>
      </c>
      <c r="ET35" s="4">
        <v>0.28000000000000003</v>
      </c>
      <c r="EU35" s="4">
        <v>0.13</v>
      </c>
      <c r="EV35" s="4">
        <v>0.73</v>
      </c>
      <c r="EW35" s="4">
        <v>0.76</v>
      </c>
      <c r="EX35" s="4">
        <v>0.56000000000000005</v>
      </c>
      <c r="EY35" s="4">
        <v>0.2</v>
      </c>
      <c r="EZ35" s="4">
        <v>0.312</v>
      </c>
      <c r="FA35" s="4">
        <v>0.223</v>
      </c>
      <c r="FB35" s="4">
        <v>0.43</v>
      </c>
      <c r="FC35" s="4">
        <v>0.20699999999999999</v>
      </c>
      <c r="FD35" s="4">
        <v>0.33700000000000002</v>
      </c>
      <c r="FE35" s="4">
        <v>0.29199999999999998</v>
      </c>
      <c r="FF35" s="4">
        <v>0.27300000000000002</v>
      </c>
      <c r="FG35" s="4"/>
      <c r="FH35" s="4"/>
      <c r="FI35" s="4"/>
      <c r="FJ35" s="4"/>
      <c r="FK35" s="4"/>
      <c r="FL35" s="4"/>
    </row>
    <row r="36" spans="1:168" x14ac:dyDescent="0.3">
      <c r="A36" t="s">
        <v>149</v>
      </c>
      <c r="B36" s="3">
        <f t="shared" ref="B36:AG36" si="126">(B31-B18)/B18</f>
        <v>1.9333333333333336</v>
      </c>
      <c r="C36" s="3">
        <f t="shared" si="126"/>
        <v>1.3809523809523812</v>
      </c>
      <c r="D36" s="3">
        <f t="shared" si="126"/>
        <v>1.4210526315789473</v>
      </c>
      <c r="E36" s="9">
        <f t="shared" si="126"/>
        <v>1.5789473684210527</v>
      </c>
      <c r="F36" s="9">
        <f t="shared" si="126"/>
        <v>1.6875</v>
      </c>
      <c r="G36" s="3">
        <f t="shared" si="126"/>
        <v>1.6875</v>
      </c>
      <c r="H36" s="3">
        <f t="shared" si="126"/>
        <v>2.4444444444444446</v>
      </c>
      <c r="I36" s="3">
        <f t="shared" si="126"/>
        <v>0.6399999999999999</v>
      </c>
      <c r="J36" s="3">
        <f t="shared" si="126"/>
        <v>1.3913043478260871</v>
      </c>
      <c r="K36" s="3">
        <f t="shared" si="126"/>
        <v>0.17142857142857143</v>
      </c>
      <c r="L36" s="3">
        <f t="shared" si="126"/>
        <v>0.17777777777777781</v>
      </c>
      <c r="M36" s="3">
        <f t="shared" si="126"/>
        <v>0.58333333333333337</v>
      </c>
      <c r="N36" s="3">
        <f t="shared" si="126"/>
        <v>0.34210526315789475</v>
      </c>
      <c r="O36" s="3">
        <f t="shared" si="126"/>
        <v>0.73076923076923073</v>
      </c>
      <c r="P36" s="3">
        <f t="shared" si="126"/>
        <v>0.1399999999999999</v>
      </c>
      <c r="Q36" s="3">
        <f t="shared" si="126"/>
        <v>9.8360655737705013E-2</v>
      </c>
      <c r="R36" s="3">
        <f t="shared" si="126"/>
        <v>1.65</v>
      </c>
      <c r="S36" s="3">
        <f t="shared" si="126"/>
        <v>0.55555555555555536</v>
      </c>
      <c r="T36" s="3">
        <f t="shared" si="126"/>
        <v>0.57894736842105254</v>
      </c>
      <c r="U36" s="3">
        <f t="shared" si="126"/>
        <v>0.41379310344827586</v>
      </c>
      <c r="V36" s="3">
        <f t="shared" si="126"/>
        <v>1.846153846153846</v>
      </c>
      <c r="W36" s="3">
        <f t="shared" si="126"/>
        <v>1.1904761904761905</v>
      </c>
      <c r="X36" s="3">
        <f t="shared" si="126"/>
        <v>0.47222222222222238</v>
      </c>
      <c r="Y36" s="3">
        <f t="shared" si="126"/>
        <v>1.4210526315789473</v>
      </c>
      <c r="Z36" s="3">
        <f t="shared" si="126"/>
        <v>1.0999999999999999</v>
      </c>
      <c r="AA36" s="3">
        <f t="shared" si="126"/>
        <v>1.1363636363636362</v>
      </c>
      <c r="AB36" s="9">
        <f t="shared" si="126"/>
        <v>1.3529411764705881</v>
      </c>
      <c r="AC36" s="3">
        <f t="shared" si="126"/>
        <v>1</v>
      </c>
      <c r="AD36" s="3">
        <f t="shared" si="126"/>
        <v>0.7333333333333335</v>
      </c>
      <c r="AE36" s="3">
        <f t="shared" si="126"/>
        <v>1.2</v>
      </c>
      <c r="AF36" s="9">
        <f t="shared" si="126"/>
        <v>1.0999999999999999</v>
      </c>
      <c r="AG36" s="3">
        <f t="shared" si="126"/>
        <v>6.7796610169491595E-2</v>
      </c>
      <c r="AH36" s="3">
        <f t="shared" ref="AH36:BM36" si="127">(AH31-AH18)/AH18</f>
        <v>8.9285714285714163E-2</v>
      </c>
      <c r="AI36" s="3">
        <f t="shared" si="127"/>
        <v>2.6315789473684233E-2</v>
      </c>
      <c r="AJ36" s="3">
        <f t="shared" si="127"/>
        <v>1.368421052631579</v>
      </c>
      <c r="AK36" s="9">
        <f t="shared" si="127"/>
        <v>1.6842105263157894</v>
      </c>
      <c r="AL36" s="3">
        <f t="shared" si="127"/>
        <v>1.7500000000000002</v>
      </c>
      <c r="AM36" s="9">
        <f t="shared" si="127"/>
        <v>0.52499999999999991</v>
      </c>
      <c r="AN36" s="3">
        <f t="shared" si="127"/>
        <v>0.46153846153846134</v>
      </c>
      <c r="AO36" s="3">
        <f t="shared" si="127"/>
        <v>0.31250000000000006</v>
      </c>
      <c r="AP36" s="3">
        <f t="shared" si="127"/>
        <v>8.6956521739130391E-2</v>
      </c>
      <c r="AQ36" s="7">
        <f t="shared" si="127"/>
        <v>0.13636363636363635</v>
      </c>
      <c r="AR36" s="3">
        <f t="shared" si="127"/>
        <v>0.12499999999999997</v>
      </c>
      <c r="AS36" s="3">
        <f t="shared" si="127"/>
        <v>0.51612903225806439</v>
      </c>
      <c r="AT36" s="3">
        <f t="shared" si="127"/>
        <v>0.13559322033898319</v>
      </c>
      <c r="AU36" s="3">
        <f t="shared" si="127"/>
        <v>0.8157894736842104</v>
      </c>
      <c r="AV36" s="3">
        <f t="shared" si="127"/>
        <v>0.61538461538461531</v>
      </c>
      <c r="AW36" s="3">
        <f t="shared" si="127"/>
        <v>0.57692307692307676</v>
      </c>
      <c r="AX36" s="3">
        <f t="shared" si="127"/>
        <v>0.53846153846153855</v>
      </c>
      <c r="AY36" s="9">
        <f t="shared" si="127"/>
        <v>0.53124999999999989</v>
      </c>
      <c r="AZ36" s="3">
        <f t="shared" si="127"/>
        <v>0.31707317073170749</v>
      </c>
      <c r="BA36" s="3">
        <f t="shared" si="127"/>
        <v>8.6956521739130516E-2</v>
      </c>
      <c r="BB36" s="3">
        <f t="shared" si="127"/>
        <v>0.14285714285714285</v>
      </c>
      <c r="BC36" s="3">
        <f t="shared" si="127"/>
        <v>2.0000000000000004</v>
      </c>
      <c r="BD36" s="3">
        <f t="shared" si="127"/>
        <v>2.7333333333333338</v>
      </c>
      <c r="BE36" s="3">
        <f t="shared" si="127"/>
        <v>0.2195121951219513</v>
      </c>
      <c r="BF36" s="3">
        <f t="shared" si="127"/>
        <v>1.3846153846153846</v>
      </c>
      <c r="BG36" s="3">
        <f t="shared" si="127"/>
        <v>0.11320754716981121</v>
      </c>
      <c r="BH36" s="3">
        <f t="shared" si="127"/>
        <v>0.53846153846153855</v>
      </c>
      <c r="BI36" s="3">
        <f t="shared" si="127"/>
        <v>0.35135135135135137</v>
      </c>
      <c r="BJ36" s="3">
        <f t="shared" si="127"/>
        <v>1.8333333333333337</v>
      </c>
      <c r="BK36" s="9">
        <f t="shared" si="127"/>
        <v>1</v>
      </c>
      <c r="BL36" s="9">
        <f t="shared" si="127"/>
        <v>0.34146341463414653</v>
      </c>
      <c r="BM36" s="9">
        <f t="shared" si="127"/>
        <v>2.3333333333333335</v>
      </c>
      <c r="BN36" s="3">
        <f t="shared" ref="BN36:CS36" si="128">(BN31-BN18)/BN18</f>
        <v>1.5499999999999998</v>
      </c>
      <c r="BO36" s="3">
        <f t="shared" si="128"/>
        <v>2.5454545454545459</v>
      </c>
      <c r="BP36" s="3">
        <f t="shared" si="128"/>
        <v>1.2499999999999998</v>
      </c>
      <c r="BQ36" s="3">
        <f t="shared" si="128"/>
        <v>0.92592592592592582</v>
      </c>
      <c r="BR36" s="3">
        <f t="shared" si="128"/>
        <v>1</v>
      </c>
      <c r="BS36" s="7">
        <f t="shared" si="128"/>
        <v>1.173913043478261</v>
      </c>
      <c r="BT36" s="3">
        <f t="shared" si="128"/>
        <v>0.17499999999999988</v>
      </c>
      <c r="BU36" s="9">
        <f t="shared" si="128"/>
        <v>0.186046511627907</v>
      </c>
      <c r="BV36" s="3">
        <f t="shared" si="128"/>
        <v>0.23076923076923075</v>
      </c>
      <c r="BW36" s="3">
        <f t="shared" si="128"/>
        <v>0.10810810810810806</v>
      </c>
      <c r="BX36" s="3">
        <f t="shared" si="128"/>
        <v>0.16216216216216217</v>
      </c>
      <c r="BY36" s="9">
        <f t="shared" si="128"/>
        <v>0.15</v>
      </c>
      <c r="BZ36" s="3">
        <f t="shared" si="128"/>
        <v>1.5789473684210527</v>
      </c>
      <c r="CA36" s="3">
        <f t="shared" si="128"/>
        <v>1.5294117647058822</v>
      </c>
      <c r="CB36" s="3">
        <f t="shared" si="128"/>
        <v>1.6666666666666667</v>
      </c>
      <c r="CC36" s="3">
        <f t="shared" si="128"/>
        <v>1.4499999999999997</v>
      </c>
      <c r="CD36" s="3">
        <f t="shared" si="128"/>
        <v>1.5555555555555558</v>
      </c>
      <c r="CE36" s="3">
        <f t="shared" si="128"/>
        <v>1.1818181818181819</v>
      </c>
      <c r="CF36" s="3">
        <f t="shared" si="128"/>
        <v>1.625</v>
      </c>
      <c r="CG36" s="3">
        <f t="shared" si="128"/>
        <v>1.2941176470588234</v>
      </c>
      <c r="CH36" s="3">
        <f t="shared" si="128"/>
        <v>1.3333333333333337</v>
      </c>
      <c r="CI36" s="3">
        <f t="shared" si="128"/>
        <v>1.3913043478260871</v>
      </c>
      <c r="CJ36" s="3">
        <f t="shared" si="128"/>
        <v>1.4615384615384615</v>
      </c>
      <c r="CK36" s="3">
        <f t="shared" si="128"/>
        <v>1.1666666666666667</v>
      </c>
      <c r="CL36" s="3">
        <f t="shared" si="128"/>
        <v>1.2799999999999998</v>
      </c>
      <c r="CM36" s="3">
        <f t="shared" si="128"/>
        <v>1.3999999999999997</v>
      </c>
      <c r="CN36" s="3">
        <f t="shared" si="128"/>
        <v>1.0967741935483872</v>
      </c>
      <c r="CO36" s="9">
        <f t="shared" si="128"/>
        <v>1.0769230769230771</v>
      </c>
      <c r="CP36" s="3">
        <f t="shared" si="128"/>
        <v>1.52</v>
      </c>
      <c r="CQ36" s="3">
        <f t="shared" si="128"/>
        <v>1.2272727272727273</v>
      </c>
      <c r="CR36" s="3">
        <f t="shared" si="128"/>
        <v>1.0333333333333334</v>
      </c>
      <c r="CS36" s="9">
        <f t="shared" si="128"/>
        <v>0.96666666666666667</v>
      </c>
      <c r="CT36" s="3">
        <f t="shared" ref="CT36:DY36" si="129">(CT31-CT18)/CT18</f>
        <v>1.5</v>
      </c>
      <c r="CU36" s="3">
        <f t="shared" si="129"/>
        <v>1.1379310344827587</v>
      </c>
      <c r="CV36" s="3">
        <f t="shared" si="129"/>
        <v>0.53571428571428559</v>
      </c>
      <c r="CW36" s="3">
        <f t="shared" si="129"/>
        <v>0.83333333333333348</v>
      </c>
      <c r="CX36" s="3">
        <f t="shared" si="129"/>
        <v>0.78571428571428559</v>
      </c>
      <c r="CY36" s="3">
        <f t="shared" si="129"/>
        <v>0.21739130434782614</v>
      </c>
      <c r="CZ36" s="3">
        <f t="shared" si="129"/>
        <v>0.20408163265306117</v>
      </c>
      <c r="DA36" s="3">
        <f t="shared" si="129"/>
        <v>0.11111111111111099</v>
      </c>
      <c r="DB36" s="3">
        <f t="shared" si="129"/>
        <v>0.37500000000000006</v>
      </c>
      <c r="DC36" s="3">
        <f t="shared" si="129"/>
        <v>0.52</v>
      </c>
      <c r="DD36" s="3">
        <f t="shared" si="129"/>
        <v>0.57692307692307676</v>
      </c>
      <c r="DE36" s="3">
        <f t="shared" si="129"/>
        <v>0.52380952380952395</v>
      </c>
      <c r="DF36" s="3">
        <f t="shared" si="129"/>
        <v>0.63636363636363624</v>
      </c>
      <c r="DG36" s="3">
        <f t="shared" si="129"/>
        <v>0.54545454545454541</v>
      </c>
      <c r="DH36" s="3">
        <f t="shared" si="129"/>
        <v>0.51724137931034497</v>
      </c>
      <c r="DI36" s="3">
        <f t="shared" si="129"/>
        <v>0.31578947368421051</v>
      </c>
      <c r="DJ36" s="3">
        <f t="shared" si="129"/>
        <v>0.20833333333333329</v>
      </c>
      <c r="DK36" s="3">
        <f t="shared" si="129"/>
        <v>0.23913043478260854</v>
      </c>
      <c r="DL36" s="3">
        <f t="shared" si="129"/>
        <v>0.34146341463414653</v>
      </c>
      <c r="DM36" s="3">
        <f t="shared" si="129"/>
        <v>0.24444444444444452</v>
      </c>
      <c r="DN36" s="7">
        <f t="shared" si="129"/>
        <v>0.19607843137254896</v>
      </c>
      <c r="DO36" s="3">
        <f t="shared" si="129"/>
        <v>0.2105263157894737</v>
      </c>
      <c r="DP36" s="3">
        <f t="shared" si="129"/>
        <v>0.18181818181818177</v>
      </c>
      <c r="DQ36" s="3">
        <f t="shared" si="129"/>
        <v>0.26923076923076927</v>
      </c>
      <c r="DR36" s="3">
        <f t="shared" si="129"/>
        <v>0.19230769230769226</v>
      </c>
      <c r="DS36" s="3">
        <f t="shared" si="129"/>
        <v>0.31707317073170749</v>
      </c>
      <c r="DT36" s="3">
        <f t="shared" si="129"/>
        <v>0.41666666666666674</v>
      </c>
      <c r="DU36" s="3">
        <f t="shared" si="129"/>
        <v>0.66666666666666663</v>
      </c>
      <c r="DV36" s="3">
        <f t="shared" si="129"/>
        <v>0.17777777777777781</v>
      </c>
      <c r="DW36" s="3">
        <f t="shared" si="129"/>
        <v>0.22916666666666666</v>
      </c>
      <c r="DX36" s="3">
        <f t="shared" si="129"/>
        <v>0.39130434782608692</v>
      </c>
      <c r="DY36" s="3">
        <f t="shared" si="129"/>
        <v>0.20289855072463772</v>
      </c>
      <c r="DZ36" s="3">
        <f t="shared" ref="DZ36:EY36" si="130">(DZ31-DZ18)/DZ18</f>
        <v>0.1449275362318842</v>
      </c>
      <c r="EA36" s="3">
        <f t="shared" si="130"/>
        <v>0.10606060606060598</v>
      </c>
      <c r="EB36" s="3">
        <f t="shared" si="130"/>
        <v>0.21311475409836067</v>
      </c>
      <c r="EC36" s="9">
        <f t="shared" si="130"/>
        <v>0.16949152542372878</v>
      </c>
      <c r="ED36" s="7">
        <f t="shared" si="130"/>
        <v>0.16417910447761191</v>
      </c>
      <c r="EE36" s="3">
        <f t="shared" si="130"/>
        <v>0.1764705882352941</v>
      </c>
      <c r="EF36" s="3">
        <f t="shared" si="130"/>
        <v>0.60869565217391297</v>
      </c>
      <c r="EG36" s="3">
        <f t="shared" si="130"/>
        <v>0.63636363636363624</v>
      </c>
      <c r="EH36" s="3">
        <f t="shared" si="130"/>
        <v>0.30303030303030293</v>
      </c>
      <c r="EI36" s="3">
        <f t="shared" si="130"/>
        <v>0.30303030303030293</v>
      </c>
      <c r="EJ36" s="3">
        <f t="shared" si="130"/>
        <v>0.22352941176470573</v>
      </c>
      <c r="EK36" s="3">
        <f t="shared" si="130"/>
        <v>0.44444444444444442</v>
      </c>
      <c r="EL36" s="3">
        <f t="shared" si="130"/>
        <v>0.23809523809523819</v>
      </c>
      <c r="EM36" s="3">
        <f t="shared" si="130"/>
        <v>0.28571428571428581</v>
      </c>
      <c r="EN36" s="3">
        <f t="shared" si="130"/>
        <v>0.24242424242424229</v>
      </c>
      <c r="EO36" s="3">
        <f t="shared" si="130"/>
        <v>0.96875</v>
      </c>
      <c r="EP36" s="3">
        <f t="shared" si="130"/>
        <v>0.69696969696969702</v>
      </c>
      <c r="EQ36" s="3">
        <f t="shared" si="130"/>
        <v>0.74285714285714288</v>
      </c>
      <c r="ER36" s="3">
        <f t="shared" si="130"/>
        <v>0.58139534883720945</v>
      </c>
      <c r="ES36" s="3">
        <f t="shared" si="130"/>
        <v>1.4782608695652173</v>
      </c>
      <c r="ET36" s="3">
        <f t="shared" si="130"/>
        <v>0.43333333333333335</v>
      </c>
      <c r="EU36" s="3">
        <f t="shared" si="130"/>
        <v>4.1666666666666706E-2</v>
      </c>
      <c r="EV36" s="3">
        <f t="shared" si="130"/>
        <v>7.6923076923076983E-2</v>
      </c>
      <c r="EW36" s="3">
        <f t="shared" si="130"/>
        <v>0.13953488372093023</v>
      </c>
      <c r="EX36" s="3">
        <f t="shared" si="130"/>
        <v>6.060606060606049E-2</v>
      </c>
      <c r="EY36" s="3">
        <f t="shared" si="130"/>
        <v>2.7397260273972629E-2</v>
      </c>
      <c r="EZ36" s="3">
        <f t="shared" ref="EZ36" si="131">(EZ31-EZ18)/EZ18</f>
        <v>0.38888888888888895</v>
      </c>
      <c r="FA36" s="3">
        <f t="shared" ref="FA36:FB36" si="132">(FA31-FA18)/FA18</f>
        <v>0.44117647058823517</v>
      </c>
      <c r="FB36" s="3">
        <f t="shared" si="132"/>
        <v>0.4</v>
      </c>
      <c r="FC36" s="3">
        <f t="shared" ref="FC36:FD36" si="133">(FC31-FC18)/FC18</f>
        <v>0.84210526315789458</v>
      </c>
      <c r="FD36" s="3">
        <f t="shared" si="133"/>
        <v>0.40625</v>
      </c>
      <c r="FE36" s="3">
        <f t="shared" ref="FE36:FF36" si="134">(FE31-FE18)/FE18</f>
        <v>0.53846153846153855</v>
      </c>
      <c r="FF36" s="3">
        <f t="shared" si="134"/>
        <v>0.81818181818181823</v>
      </c>
      <c r="FG36" s="4"/>
      <c r="FH36" s="4"/>
      <c r="FI36" s="4"/>
      <c r="FJ36" s="4"/>
      <c r="FK36" s="4"/>
      <c r="FL36" s="4"/>
    </row>
    <row r="37" spans="1:168" x14ac:dyDescent="0.3">
      <c r="A37" t="s">
        <v>150</v>
      </c>
      <c r="B37" s="3">
        <f t="shared" ref="B37:AG37" si="135">(B32-B19)/B19</f>
        <v>2.383084577114428</v>
      </c>
      <c r="C37" s="3">
        <f t="shared" si="135"/>
        <v>1.5694444444444446</v>
      </c>
      <c r="D37" s="3">
        <f t="shared" si="135"/>
        <v>1.7042801556420231</v>
      </c>
      <c r="E37" s="9">
        <f t="shared" si="135"/>
        <v>1.1851851851851849</v>
      </c>
      <c r="F37" s="9">
        <f t="shared" si="135"/>
        <v>1</v>
      </c>
      <c r="G37" s="3">
        <f t="shared" si="135"/>
        <v>1.7772277227722773</v>
      </c>
      <c r="H37" s="3">
        <f t="shared" si="135"/>
        <v>2.488</v>
      </c>
      <c r="I37" s="3">
        <f t="shared" si="135"/>
        <v>0.48731884057970992</v>
      </c>
      <c r="J37" s="3">
        <f t="shared" si="135"/>
        <v>1.7394366197183102</v>
      </c>
      <c r="K37" s="3">
        <f t="shared" si="135"/>
        <v>0.11801242236024838</v>
      </c>
      <c r="L37" s="3">
        <f t="shared" si="135"/>
        <v>0.18110236220472439</v>
      </c>
      <c r="M37" s="3">
        <f t="shared" si="135"/>
        <v>0.43862520458265142</v>
      </c>
      <c r="N37" s="3">
        <f t="shared" si="135"/>
        <v>0.33403361344537824</v>
      </c>
      <c r="O37" s="3">
        <f t="shared" si="135"/>
        <v>0.31521739130434773</v>
      </c>
      <c r="P37" s="3">
        <f t="shared" si="135"/>
        <v>8.4367245657568174E-2</v>
      </c>
      <c r="Q37" s="3">
        <f t="shared" si="135"/>
        <v>8.2750582750582821E-2</v>
      </c>
      <c r="R37" s="3">
        <f t="shared" si="135"/>
        <v>2.379032258064516</v>
      </c>
      <c r="S37" s="3">
        <f t="shared" si="135"/>
        <v>0.52260397830018068</v>
      </c>
      <c r="T37" s="3">
        <f t="shared" si="135"/>
        <v>0.18712574850299399</v>
      </c>
      <c r="U37" s="3">
        <f t="shared" si="135"/>
        <v>0.29280000000000006</v>
      </c>
      <c r="V37" s="3">
        <f t="shared" si="135"/>
        <v>1.8411764705882347</v>
      </c>
      <c r="W37" s="3">
        <f t="shared" si="135"/>
        <v>1.0434782608695652</v>
      </c>
      <c r="X37" s="3">
        <f t="shared" si="135"/>
        <v>0.60175054704595177</v>
      </c>
      <c r="Y37" s="3">
        <f t="shared" si="135"/>
        <v>1.1654846335697402</v>
      </c>
      <c r="Z37" s="3">
        <f t="shared" si="135"/>
        <v>0.9928057553956835</v>
      </c>
      <c r="AA37" s="3">
        <f t="shared" si="135"/>
        <v>1.0291666666666668</v>
      </c>
      <c r="AB37" s="9">
        <f t="shared" si="135"/>
        <v>1.8730769230769229</v>
      </c>
      <c r="AC37" s="3">
        <f t="shared" si="135"/>
        <v>-0.79495548961424334</v>
      </c>
      <c r="AD37" s="3">
        <f t="shared" si="135"/>
        <v>0.86538461538461531</v>
      </c>
      <c r="AE37" s="3">
        <f t="shared" si="135"/>
        <v>1.4608433734939756</v>
      </c>
      <c r="AF37" s="9">
        <f t="shared" si="135"/>
        <v>1.2049861495844878</v>
      </c>
      <c r="AG37" s="3">
        <f t="shared" si="135"/>
        <v>6.2271062271062327E-2</v>
      </c>
      <c r="AH37" s="3">
        <f t="shared" ref="AH37:BM37" si="136">(AH32-AH19)/AH19</f>
        <v>6.1598951507208441E-2</v>
      </c>
      <c r="AI37" s="3">
        <f t="shared" si="136"/>
        <v>2.4009603841536636E-2</v>
      </c>
      <c r="AJ37" s="3">
        <f t="shared" si="136"/>
        <v>1.1945392491467579</v>
      </c>
      <c r="AK37" s="9">
        <f t="shared" si="136"/>
        <v>0</v>
      </c>
      <c r="AL37" s="3">
        <f t="shared" si="136"/>
        <v>1.7250000000000003</v>
      </c>
      <c r="AM37" s="9">
        <f t="shared" si="136"/>
        <v>0.63207547169811318</v>
      </c>
      <c r="AN37" s="3">
        <f t="shared" si="136"/>
        <v>0.48073022312373226</v>
      </c>
      <c r="AO37" s="3">
        <f t="shared" si="136"/>
        <v>0.37071651090342678</v>
      </c>
      <c r="AP37" s="3">
        <f t="shared" si="136"/>
        <v>3.5340314136125685E-2</v>
      </c>
      <c r="AQ37" s="7">
        <f t="shared" si="136"/>
        <v>5.972696245733794E-2</v>
      </c>
      <c r="AR37" s="3">
        <f t="shared" si="136"/>
        <v>7.5282308657465422E-2</v>
      </c>
      <c r="AS37" s="3">
        <f t="shared" si="136"/>
        <v>0.5850091407678244</v>
      </c>
      <c r="AT37" s="3">
        <f t="shared" si="136"/>
        <v>0.10129564193168443</v>
      </c>
      <c r="AU37" s="3">
        <f t="shared" si="136"/>
        <v>0.48993288590604034</v>
      </c>
      <c r="AV37" s="3">
        <f t="shared" si="136"/>
        <v>0.29859719438877758</v>
      </c>
      <c r="AW37" s="3">
        <f t="shared" si="136"/>
        <v>0.38103161397670549</v>
      </c>
      <c r="AX37" s="3">
        <f t="shared" si="136"/>
        <v>0.26902654867256642</v>
      </c>
      <c r="AY37" s="9">
        <f t="shared" si="136"/>
        <v>-0.75937499999999991</v>
      </c>
      <c r="AZ37" s="3">
        <f t="shared" si="136"/>
        <v>0.28622540250447209</v>
      </c>
      <c r="BA37" s="3">
        <f t="shared" si="136"/>
        <v>0.12987012987012983</v>
      </c>
      <c r="BB37" s="3">
        <f t="shared" si="136"/>
        <v>0.18059299191374664</v>
      </c>
      <c r="BC37" s="3">
        <f t="shared" si="136"/>
        <v>2.1358490566037731</v>
      </c>
      <c r="BD37" s="3">
        <f t="shared" si="136"/>
        <v>2.2380952380952386</v>
      </c>
      <c r="BE37" s="3">
        <f t="shared" si="136"/>
        <v>8.8311688311688244E-2</v>
      </c>
      <c r="BF37" s="3">
        <f t="shared" si="136"/>
        <v>2.4414414414414414</v>
      </c>
      <c r="BG37" s="3">
        <f t="shared" si="136"/>
        <v>8.705612829324165E-2</v>
      </c>
      <c r="BH37" s="3">
        <f t="shared" si="136"/>
        <v>-8.1481481481481544E-2</v>
      </c>
      <c r="BI37" s="3">
        <f t="shared" si="136"/>
        <v>0.16369047619047616</v>
      </c>
      <c r="BJ37" s="3">
        <f t="shared" si="136"/>
        <v>1.5611510791366903</v>
      </c>
      <c r="BK37" s="9">
        <f t="shared" si="136"/>
        <v>0.94708994708994709</v>
      </c>
      <c r="BL37" s="9">
        <f t="shared" si="136"/>
        <v>0.64024390243902451</v>
      </c>
      <c r="BM37" s="9">
        <f t="shared" si="136"/>
        <v>2.371428571428571</v>
      </c>
      <c r="BN37" s="3">
        <f t="shared" ref="BN37:CS37" si="137">(BN32-BN19)/BN19</f>
        <v>1.57085020242915</v>
      </c>
      <c r="BO37" s="3">
        <f t="shared" si="137"/>
        <v>2.6511627906976742</v>
      </c>
      <c r="BP37" s="3">
        <f t="shared" si="137"/>
        <v>1.2356164383561643</v>
      </c>
      <c r="BQ37" s="3">
        <f t="shared" si="137"/>
        <v>0.83507306889352828</v>
      </c>
      <c r="BR37" s="3">
        <f t="shared" si="137"/>
        <v>0.97080291970802945</v>
      </c>
      <c r="BS37" s="7">
        <f t="shared" si="137"/>
        <v>1.3176100628930816</v>
      </c>
      <c r="BT37" s="3">
        <f t="shared" si="137"/>
        <v>9.2879256965944179E-2</v>
      </c>
      <c r="BU37" s="9">
        <f t="shared" si="137"/>
        <v>-0.30645161290322576</v>
      </c>
      <c r="BV37" s="3">
        <f t="shared" si="137"/>
        <v>0.11670761670761681</v>
      </c>
      <c r="BW37" s="3">
        <f t="shared" si="137"/>
        <v>6.9587628865979301E-2</v>
      </c>
      <c r="BX37" s="3">
        <f t="shared" si="137"/>
        <v>2.9585798816567907E-2</v>
      </c>
      <c r="BY37" s="9">
        <f t="shared" si="137"/>
        <v>0.11826347305389215</v>
      </c>
      <c r="BZ37" s="3">
        <f t="shared" si="137"/>
        <v>1.6388888888888888</v>
      </c>
      <c r="CA37" s="3">
        <f t="shared" si="137"/>
        <v>1.584097859327217</v>
      </c>
      <c r="CB37" s="3">
        <f t="shared" si="137"/>
        <v>1.5555555555555558</v>
      </c>
      <c r="CC37" s="3">
        <f t="shared" si="137"/>
        <v>1.5338078291814943</v>
      </c>
      <c r="CD37" s="3">
        <f t="shared" si="137"/>
        <v>1.6477272727272725</v>
      </c>
      <c r="CE37" s="3">
        <f t="shared" si="137"/>
        <v>1.1945205479452057</v>
      </c>
      <c r="CF37" s="3">
        <f t="shared" si="137"/>
        <v>1.5389610389610391</v>
      </c>
      <c r="CG37" s="3">
        <f t="shared" si="137"/>
        <v>1.0631868131868132</v>
      </c>
      <c r="CH37" s="3">
        <f t="shared" si="137"/>
        <v>1.8084415584415583</v>
      </c>
      <c r="CI37" s="3">
        <f t="shared" si="137"/>
        <v>1.4327868852459016</v>
      </c>
      <c r="CJ37" s="3">
        <f t="shared" si="137"/>
        <v>0.97707736389684807</v>
      </c>
      <c r="CK37" s="3">
        <f t="shared" si="137"/>
        <v>1.3422619047619047</v>
      </c>
      <c r="CL37" s="3">
        <f t="shared" si="137"/>
        <v>1.6873065015479873</v>
      </c>
      <c r="CM37" s="3">
        <f t="shared" si="137"/>
        <v>1.5806451612903227</v>
      </c>
      <c r="CN37" s="3">
        <f t="shared" si="137"/>
        <v>1.3647798742138364</v>
      </c>
      <c r="CO37" s="9">
        <f t="shared" si="137"/>
        <v>0.82038834951456319</v>
      </c>
      <c r="CP37" s="3">
        <f t="shared" si="137"/>
        <v>2.4014336917562717</v>
      </c>
      <c r="CQ37" s="3">
        <f t="shared" si="137"/>
        <v>1.1662591687041566</v>
      </c>
      <c r="CR37" s="3">
        <f t="shared" si="137"/>
        <v>1.400584795321637</v>
      </c>
      <c r="CS37" s="9">
        <f t="shared" si="137"/>
        <v>0.20731707317073172</v>
      </c>
      <c r="CT37" s="3">
        <f t="shared" ref="CT37:DY37" si="138">(CT32-CT19)/CT19</f>
        <v>2.4999999999999996</v>
      </c>
      <c r="CU37" s="3">
        <f t="shared" si="138"/>
        <v>1.4673629242819841</v>
      </c>
      <c r="CV37" s="3">
        <f t="shared" si="138"/>
        <v>0.45202558635394474</v>
      </c>
      <c r="CW37" s="3">
        <f t="shared" si="138"/>
        <v>0.69273743016759781</v>
      </c>
      <c r="CX37" s="3">
        <f t="shared" si="138"/>
        <v>0.88106796116504871</v>
      </c>
      <c r="CY37" s="3">
        <f t="shared" si="138"/>
        <v>0.13477088948787058</v>
      </c>
      <c r="CZ37" s="3">
        <f t="shared" si="138"/>
        <v>0.18932655654383737</v>
      </c>
      <c r="DA37" s="3">
        <f t="shared" si="138"/>
        <v>7.0857142857142924E-2</v>
      </c>
      <c r="DB37" s="3">
        <f t="shared" si="138"/>
        <v>0.35555555555555551</v>
      </c>
      <c r="DC37" s="3">
        <f t="shared" si="138"/>
        <v>0.47892720306513409</v>
      </c>
      <c r="DD37" s="3">
        <f t="shared" si="138"/>
        <v>0.63905325443786976</v>
      </c>
      <c r="DE37" s="3">
        <f t="shared" si="138"/>
        <v>0.37191650853889935</v>
      </c>
      <c r="DF37" s="3">
        <f t="shared" si="138"/>
        <v>0.76255707762557079</v>
      </c>
      <c r="DG37" s="3">
        <f t="shared" si="138"/>
        <v>0.59040000000000004</v>
      </c>
      <c r="DH37" s="3">
        <f t="shared" si="138"/>
        <v>0.29011345218800655</v>
      </c>
      <c r="DI37" s="3">
        <f t="shared" si="138"/>
        <v>0.42415316642120754</v>
      </c>
      <c r="DJ37" s="3">
        <f t="shared" si="138"/>
        <v>0.24473684210526309</v>
      </c>
      <c r="DK37" s="3">
        <f t="shared" si="138"/>
        <v>0.25000000000000006</v>
      </c>
      <c r="DL37" s="3">
        <f t="shared" si="138"/>
        <v>0.49920508744038145</v>
      </c>
      <c r="DM37" s="3">
        <f t="shared" si="138"/>
        <v>0.24999999999999989</v>
      </c>
      <c r="DN37" s="3">
        <f t="shared" si="138"/>
        <v>8.6131386861313775E-2</v>
      </c>
      <c r="DO37" s="3">
        <f t="shared" si="138"/>
        <v>4.2168674698795219E-2</v>
      </c>
      <c r="DP37" s="3">
        <f t="shared" si="138"/>
        <v>3.3975084937712376E-2</v>
      </c>
      <c r="DQ37" s="3">
        <f t="shared" si="138"/>
        <v>0.10834371108343706</v>
      </c>
      <c r="DR37" s="3">
        <f t="shared" si="138"/>
        <v>0.29945799457994576</v>
      </c>
      <c r="DS37" s="3">
        <f t="shared" si="138"/>
        <v>0.20402298850574715</v>
      </c>
      <c r="DT37" s="3">
        <f t="shared" si="138"/>
        <v>0.341500765696784</v>
      </c>
      <c r="DU37" s="3">
        <f t="shared" si="138"/>
        <v>0.66386554621848759</v>
      </c>
      <c r="DV37" s="3">
        <f t="shared" si="138"/>
        <v>0.12722948870392389</v>
      </c>
      <c r="DW37" s="3">
        <f t="shared" si="138"/>
        <v>0.25289017341040471</v>
      </c>
      <c r="DX37" s="3">
        <f t="shared" si="138"/>
        <v>0.32890855457227131</v>
      </c>
      <c r="DY37" s="3">
        <f t="shared" si="138"/>
        <v>0.529126213592233</v>
      </c>
      <c r="DZ37" s="3">
        <f t="shared" ref="DZ37:EY37" si="139">(DZ32-DZ19)/DZ19</f>
        <v>0.30264993026499315</v>
      </c>
      <c r="EA37" s="3">
        <f t="shared" si="139"/>
        <v>0.15044247787610618</v>
      </c>
      <c r="EB37" s="3">
        <f t="shared" si="139"/>
        <v>0.37315634218289084</v>
      </c>
      <c r="EC37" s="9">
        <f t="shared" si="139"/>
        <v>0.22668810289389069</v>
      </c>
      <c r="ED37" s="7">
        <f t="shared" si="139"/>
        <v>0.30801687763713093</v>
      </c>
      <c r="EE37" s="3">
        <f t="shared" si="139"/>
        <v>0.4086687306501548</v>
      </c>
      <c r="EF37" s="3">
        <f t="shared" si="139"/>
        <v>1.052173913043478</v>
      </c>
      <c r="EG37" s="3">
        <f t="shared" si="139"/>
        <v>0.9830866807610994</v>
      </c>
      <c r="EH37" s="3">
        <f t="shared" si="139"/>
        <v>0.28776978417266197</v>
      </c>
      <c r="EI37" s="3">
        <f t="shared" si="139"/>
        <v>0.30973451327433621</v>
      </c>
      <c r="EJ37" s="3">
        <f t="shared" si="139"/>
        <v>0.14762516046213092</v>
      </c>
      <c r="EK37" s="3">
        <f t="shared" si="139"/>
        <v>0.28642384105960272</v>
      </c>
      <c r="EL37" s="3">
        <f t="shared" si="139"/>
        <v>0.16929698708751795</v>
      </c>
      <c r="EM37" s="3">
        <f t="shared" si="139"/>
        <v>0.14387464387464402</v>
      </c>
      <c r="EN37" s="3">
        <f t="shared" si="139"/>
        <v>0.11228533685601053</v>
      </c>
      <c r="EO37" s="3">
        <f t="shared" si="139"/>
        <v>0.80168776371308026</v>
      </c>
      <c r="EP37" s="3">
        <f t="shared" si="139"/>
        <v>0.46698113207547176</v>
      </c>
      <c r="EQ37" s="3">
        <f t="shared" si="139"/>
        <v>0.61687170474516717</v>
      </c>
      <c r="ER37" s="3">
        <f t="shared" si="139"/>
        <v>0.32753164556962017</v>
      </c>
      <c r="ES37" s="3">
        <f t="shared" si="139"/>
        <v>1.1645962732919253</v>
      </c>
      <c r="ET37" s="3">
        <f t="shared" si="139"/>
        <v>0.36808510638297881</v>
      </c>
      <c r="EU37" s="3">
        <f t="shared" si="139"/>
        <v>4.7018348623853255E-2</v>
      </c>
      <c r="EV37" s="3">
        <f t="shared" si="139"/>
        <v>-7.1999999999999939E-2</v>
      </c>
      <c r="EW37" s="3">
        <f t="shared" si="139"/>
        <v>8.8829071332436144E-2</v>
      </c>
      <c r="EX37" s="3">
        <f t="shared" si="139"/>
        <v>3.2786885245901669E-2</v>
      </c>
      <c r="EY37" s="3">
        <f t="shared" si="139"/>
        <v>-2.3923444976076576E-3</v>
      </c>
      <c r="EZ37" s="3">
        <f t="shared" ref="EZ37" si="140">(EZ32-EZ19)/EZ19</f>
        <v>0.25801749271137014</v>
      </c>
      <c r="FA37" s="3">
        <f t="shared" ref="FA37:FB37" si="141">(FA32-FA19)/FA19</f>
        <v>0.21898928024502298</v>
      </c>
      <c r="FB37" s="3">
        <f t="shared" si="141"/>
        <v>0.26745913818722128</v>
      </c>
      <c r="FC37" s="3">
        <f t="shared" ref="FC37:FD37" si="142">(FC32-FC19)/FC19</f>
        <v>0.7936507936507935</v>
      </c>
      <c r="FD37" s="3">
        <f t="shared" si="142"/>
        <v>0.3114754098360657</v>
      </c>
      <c r="FE37" s="3">
        <f t="shared" ref="FE37:FF37" si="143">(FE32-FE19)/FE19</f>
        <v>0.34749034749034735</v>
      </c>
      <c r="FF37" s="3">
        <f t="shared" si="143"/>
        <v>0.89756097560975623</v>
      </c>
      <c r="FG37" s="4"/>
      <c r="FH37" s="4"/>
      <c r="FI37" s="4"/>
      <c r="FJ37" s="4"/>
      <c r="FK37" s="4"/>
      <c r="FL37" s="4"/>
    </row>
    <row r="38" spans="1:168" x14ac:dyDescent="0.3">
      <c r="A38" t="s">
        <v>151</v>
      </c>
      <c r="B38" s="3">
        <f t="shared" ref="B38:AG38" si="144">(B33-B20)/B20</f>
        <v>-0.37190082644628097</v>
      </c>
      <c r="C38" s="3">
        <f t="shared" si="144"/>
        <v>-0.39552238805970152</v>
      </c>
      <c r="D38" s="3">
        <f t="shared" si="144"/>
        <v>-0.35658914728682167</v>
      </c>
      <c r="E38" s="9">
        <f t="shared" si="144"/>
        <v>-4.8543689320388259E-2</v>
      </c>
      <c r="F38" s="9">
        <f t="shared" si="144"/>
        <v>-4.6153846153846191E-2</v>
      </c>
      <c r="G38" s="3">
        <f t="shared" si="144"/>
        <v>-0.26229508196721313</v>
      </c>
      <c r="H38" s="3">
        <f t="shared" si="144"/>
        <v>-0.20430107526881724</v>
      </c>
      <c r="I38" s="3">
        <f t="shared" si="144"/>
        <v>-0.36538461538461531</v>
      </c>
      <c r="J38" s="3">
        <f t="shared" si="144"/>
        <v>-0.44285714285714289</v>
      </c>
      <c r="K38" s="3">
        <f t="shared" si="144"/>
        <v>-0.11023622047244093</v>
      </c>
      <c r="L38" s="3">
        <f t="shared" si="144"/>
        <v>-0.17177914110429446</v>
      </c>
      <c r="M38" s="3">
        <f t="shared" si="144"/>
        <v>-0.44444444444444448</v>
      </c>
      <c r="N38" s="3">
        <f t="shared" si="144"/>
        <v>-0.16541353383458651</v>
      </c>
      <c r="O38" s="3">
        <f t="shared" si="144"/>
        <v>-0.34259259259259267</v>
      </c>
      <c r="P38" s="3">
        <f t="shared" si="144"/>
        <v>-0.20175438596491233</v>
      </c>
      <c r="Q38" s="3">
        <f t="shared" si="144"/>
        <v>-0.29203539823008851</v>
      </c>
      <c r="R38" s="3">
        <f t="shared" si="144"/>
        <v>-0.53513513513513522</v>
      </c>
      <c r="S38" s="3">
        <f t="shared" si="144"/>
        <v>-0.40869565217391302</v>
      </c>
      <c r="T38" s="3">
        <f t="shared" si="144"/>
        <v>-0.20879120879120883</v>
      </c>
      <c r="U38" s="3">
        <f t="shared" si="144"/>
        <v>-0.28846153846153849</v>
      </c>
      <c r="V38" s="3">
        <f t="shared" si="144"/>
        <v>-0.59130434782608698</v>
      </c>
      <c r="W38" s="3">
        <f t="shared" si="144"/>
        <v>-0.37096774193548387</v>
      </c>
      <c r="X38" s="3">
        <f t="shared" si="144"/>
        <v>-0.30102040816326525</v>
      </c>
      <c r="Y38" s="3">
        <f t="shared" si="144"/>
        <v>-0.61481481481481493</v>
      </c>
      <c r="Z38" s="3">
        <f t="shared" si="144"/>
        <v>-0.4621848739495798</v>
      </c>
      <c r="AA38" s="3">
        <f t="shared" si="144"/>
        <v>-0.18781725888324874</v>
      </c>
      <c r="AB38" s="9">
        <f t="shared" si="144"/>
        <v>-0.41509433962264153</v>
      </c>
      <c r="AC38" s="3">
        <f t="shared" si="144"/>
        <v>-0.31791907514450868</v>
      </c>
      <c r="AD38" s="3">
        <f t="shared" si="144"/>
        <v>-0.51204819277108438</v>
      </c>
      <c r="AE38" s="3">
        <f t="shared" si="144"/>
        <v>-0.47826086956521735</v>
      </c>
      <c r="AF38" s="9">
        <f t="shared" si="144"/>
        <v>-0.4379084967320262</v>
      </c>
      <c r="AG38" s="3">
        <f t="shared" si="144"/>
        <v>-0.15503875968992251</v>
      </c>
      <c r="AH38" s="3">
        <f t="shared" ref="AH38:BM38" si="145">(AH33-AH20)/AH20</f>
        <v>-0.1048951048951048</v>
      </c>
      <c r="AI38" s="3">
        <f t="shared" si="145"/>
        <v>-6.2893081761006345E-2</v>
      </c>
      <c r="AJ38" s="3">
        <f t="shared" si="145"/>
        <v>-0.2857142857142857</v>
      </c>
      <c r="AK38" s="9">
        <f t="shared" si="145"/>
        <v>-9.6153846153846246E-3</v>
      </c>
      <c r="AL38" s="3">
        <f t="shared" si="145"/>
        <v>-0.33050847457627114</v>
      </c>
      <c r="AM38" s="9">
        <f t="shared" si="145"/>
        <v>-8.9494163424124487E-2</v>
      </c>
      <c r="AN38" s="3">
        <f t="shared" si="145"/>
        <v>-0.27516778523489932</v>
      </c>
      <c r="AO38" s="3">
        <f t="shared" si="145"/>
        <v>-0.42253521126760557</v>
      </c>
      <c r="AP38" s="3">
        <f t="shared" si="145"/>
        <v>-6.5573770491803227E-2</v>
      </c>
      <c r="AQ38" s="3">
        <f t="shared" si="145"/>
        <v>-4.6783625730994191E-2</v>
      </c>
      <c r="AR38" s="3">
        <f t="shared" si="145"/>
        <v>-0.16326530612244897</v>
      </c>
      <c r="AS38" s="3">
        <f t="shared" si="145"/>
        <v>-0.45695364238410591</v>
      </c>
      <c r="AT38" s="3">
        <f t="shared" si="145"/>
        <v>-0.34567901234567905</v>
      </c>
      <c r="AU38" s="3">
        <f t="shared" si="145"/>
        <v>-0.23113207547169806</v>
      </c>
      <c r="AV38" s="3">
        <f t="shared" si="145"/>
        <v>-0.17094017094017097</v>
      </c>
      <c r="AW38" s="3">
        <f t="shared" si="145"/>
        <v>-0.34343434343434343</v>
      </c>
      <c r="AX38" s="3">
        <f t="shared" si="145"/>
        <v>-0.20183486238532114</v>
      </c>
      <c r="AY38" s="9">
        <f t="shared" si="145"/>
        <v>0.61818181818181817</v>
      </c>
      <c r="AZ38" s="3">
        <f t="shared" si="145"/>
        <v>-0.20312500000000006</v>
      </c>
      <c r="BA38" s="3">
        <f t="shared" si="145"/>
        <v>-0.24793388429752067</v>
      </c>
      <c r="BB38" s="3">
        <f t="shared" si="145"/>
        <v>-0.30810810810810807</v>
      </c>
      <c r="BC38" s="3">
        <f t="shared" si="145"/>
        <v>-0.52132701421800942</v>
      </c>
      <c r="BD38" s="3">
        <f t="shared" si="145"/>
        <v>-0.36470588235294121</v>
      </c>
      <c r="BE38" s="3">
        <f t="shared" si="145"/>
        <v>-0.15714285714285728</v>
      </c>
      <c r="BF38" s="3">
        <f t="shared" si="145"/>
        <v>-0.54901960784313719</v>
      </c>
      <c r="BG38" s="3">
        <f t="shared" si="145"/>
        <v>-0.36666666666666664</v>
      </c>
      <c r="BH38" s="3">
        <f t="shared" si="145"/>
        <v>4.8543689320388397E-3</v>
      </c>
      <c r="BI38" s="3">
        <f t="shared" si="145"/>
        <v>-0.18518518518518523</v>
      </c>
      <c r="BJ38" s="3">
        <f t="shared" si="145"/>
        <v>-0.37209302325581389</v>
      </c>
      <c r="BK38" s="9">
        <f t="shared" si="145"/>
        <v>-0.35537190082644626</v>
      </c>
      <c r="BL38" s="9">
        <f t="shared" si="145"/>
        <v>-0.38288288288288286</v>
      </c>
      <c r="BM38" s="9">
        <f t="shared" si="145"/>
        <v>-0.10552763819095486</v>
      </c>
      <c r="BN38" s="3">
        <f t="shared" ref="BN38:CS38" si="146">(BN33-BN20)/BN20</f>
        <v>-0.31007751937984501</v>
      </c>
      <c r="BO38" s="3">
        <f t="shared" si="146"/>
        <v>-0.22429906542056069</v>
      </c>
      <c r="BP38" s="3">
        <f t="shared" si="146"/>
        <v>-0.46017699115044253</v>
      </c>
      <c r="BQ38" s="3">
        <f t="shared" si="146"/>
        <v>-0.5220125786163522</v>
      </c>
      <c r="BR38" s="3">
        <f t="shared" si="146"/>
        <v>-0.43055555555555547</v>
      </c>
      <c r="BS38" s="7">
        <f t="shared" si="146"/>
        <v>-0.38709677419354838</v>
      </c>
      <c r="BT38" s="3">
        <f t="shared" si="146"/>
        <v>-9.1503267973856106E-2</v>
      </c>
      <c r="BU38" s="9">
        <f t="shared" si="146"/>
        <v>2.9569892473118305E-2</v>
      </c>
      <c r="BV38" s="3">
        <f t="shared" si="146"/>
        <v>-0.30000000000000004</v>
      </c>
      <c r="BW38" s="3">
        <f t="shared" si="146"/>
        <v>-0.13592233009708737</v>
      </c>
      <c r="BX38" s="3">
        <f t="shared" si="146"/>
        <v>-4.0000000000000036E-2</v>
      </c>
      <c r="BY38" s="9">
        <f t="shared" si="146"/>
        <v>-0.13286713286713281</v>
      </c>
      <c r="BZ38" s="3">
        <f t="shared" si="146"/>
        <v>-0.27027027027027023</v>
      </c>
      <c r="CA38" s="3">
        <f t="shared" si="146"/>
        <v>-0.5213675213675214</v>
      </c>
      <c r="CB38" s="3">
        <f t="shared" si="146"/>
        <v>-0.42105263157894735</v>
      </c>
      <c r="CC38" s="3">
        <f t="shared" si="146"/>
        <v>-0.37142857142857155</v>
      </c>
      <c r="CD38" s="3">
        <f t="shared" si="146"/>
        <v>-0.36567164179104478</v>
      </c>
      <c r="CE38" s="3">
        <f t="shared" si="146"/>
        <v>-0.43750000000000006</v>
      </c>
      <c r="CF38" s="3">
        <f t="shared" si="146"/>
        <v>-0.44347826086956521</v>
      </c>
      <c r="CG38" s="3">
        <f t="shared" si="146"/>
        <v>-0.38095238095238093</v>
      </c>
      <c r="CH38" s="3">
        <f t="shared" si="146"/>
        <v>-0.55704697986577179</v>
      </c>
      <c r="CI38" s="3">
        <f t="shared" si="146"/>
        <v>-0.39735099337748342</v>
      </c>
      <c r="CJ38" s="3">
        <f t="shared" si="146"/>
        <v>-0.31182795698924731</v>
      </c>
      <c r="CK38" s="3">
        <f t="shared" si="146"/>
        <v>-0.43795620437956212</v>
      </c>
      <c r="CL38" s="3">
        <f t="shared" si="146"/>
        <v>-0.55999999999999994</v>
      </c>
      <c r="CM38" s="3">
        <f t="shared" si="146"/>
        <v>-0.3603603603603604</v>
      </c>
      <c r="CN38" s="3">
        <f t="shared" si="146"/>
        <v>-0.40112994350282483</v>
      </c>
      <c r="CO38" s="9">
        <f t="shared" si="146"/>
        <v>-0.11299435028248582</v>
      </c>
      <c r="CP38" s="3">
        <f t="shared" si="146"/>
        <v>-0.73300970873786409</v>
      </c>
      <c r="CQ38" s="3">
        <f t="shared" si="146"/>
        <v>-0.5625</v>
      </c>
      <c r="CR38" s="3">
        <f t="shared" si="146"/>
        <v>-0.4779874213836478</v>
      </c>
      <c r="CS38" s="9">
        <f t="shared" si="146"/>
        <v>-9.8360655737705013E-3</v>
      </c>
      <c r="CT38" s="3">
        <f t="shared" ref="CT38:DY38" si="147">(CT33-CT20)/CT20</f>
        <v>-0.72429906542056077</v>
      </c>
      <c r="CU38" s="3">
        <f t="shared" si="147"/>
        <v>-0.70157068062827233</v>
      </c>
      <c r="CV38" s="3">
        <f t="shared" si="147"/>
        <v>-0.22302158273381303</v>
      </c>
      <c r="CW38" s="3">
        <f t="shared" si="147"/>
        <v>-0.21774193548387094</v>
      </c>
      <c r="CX38" s="3">
        <f t="shared" si="147"/>
        <v>-0.38297872340425532</v>
      </c>
      <c r="CY38" s="3">
        <f t="shared" si="147"/>
        <v>-0.21951219512195125</v>
      </c>
      <c r="CZ38" s="3">
        <f t="shared" si="147"/>
        <v>-0.453416149068323</v>
      </c>
      <c r="DA38" s="3">
        <f t="shared" si="147"/>
        <v>-0.29457364341085274</v>
      </c>
      <c r="DB38" s="3">
        <f t="shared" si="147"/>
        <v>-0.4891304347826087</v>
      </c>
      <c r="DC38" s="3">
        <f t="shared" si="147"/>
        <v>-0.31333333333333335</v>
      </c>
      <c r="DD38" s="3">
        <f t="shared" si="147"/>
        <v>-0.41666666666666669</v>
      </c>
      <c r="DE38" s="3">
        <f t="shared" si="147"/>
        <v>-0.92366412213740468</v>
      </c>
      <c r="DF38" s="3">
        <f t="shared" si="147"/>
        <v>-0.93670886075949367</v>
      </c>
      <c r="DG38" s="3">
        <f t="shared" si="147"/>
        <v>-0.87309644670050768</v>
      </c>
      <c r="DH38" s="3">
        <f t="shared" si="147"/>
        <v>-0.26923076923076916</v>
      </c>
      <c r="DI38" s="3">
        <f t="shared" si="147"/>
        <v>-0.6797752808988764</v>
      </c>
      <c r="DJ38" s="3">
        <f t="shared" si="147"/>
        <v>-0.5243243243243243</v>
      </c>
      <c r="DK38" s="3">
        <f t="shared" si="147"/>
        <v>-0.37128712871287134</v>
      </c>
      <c r="DL38" s="3">
        <f t="shared" si="147"/>
        <v>-0.60476190476190483</v>
      </c>
      <c r="DM38" s="3">
        <f t="shared" si="147"/>
        <v>-0.32352941176470579</v>
      </c>
      <c r="DN38" s="3">
        <f t="shared" si="147"/>
        <v>-0.10000000000000009</v>
      </c>
      <c r="DO38" s="3">
        <f t="shared" si="147"/>
        <v>-0.11055276381909557</v>
      </c>
      <c r="DP38" s="3">
        <f t="shared" si="147"/>
        <v>-0.14285714285714279</v>
      </c>
      <c r="DQ38" s="3">
        <f t="shared" si="147"/>
        <v>-0.25628140703517593</v>
      </c>
      <c r="DR38" s="3">
        <f t="shared" si="147"/>
        <v>-0.60267857142857151</v>
      </c>
      <c r="DS38" s="3">
        <f t="shared" si="147"/>
        <v>-0.27108433734939763</v>
      </c>
      <c r="DT38" s="3">
        <f t="shared" si="147"/>
        <v>-0.39873417721518989</v>
      </c>
      <c r="DU38" s="3">
        <f t="shared" si="147"/>
        <v>-0.37142857142857155</v>
      </c>
      <c r="DV38" s="3">
        <f t="shared" si="147"/>
        <v>-0.42982456140350878</v>
      </c>
      <c r="DW38" s="3">
        <f t="shared" si="147"/>
        <v>-0.34444444444444444</v>
      </c>
      <c r="DX38" s="3">
        <f t="shared" si="147"/>
        <v>-0.44615384615384618</v>
      </c>
      <c r="DY38" s="3">
        <f t="shared" si="147"/>
        <v>-0.62264150943396224</v>
      </c>
      <c r="DZ38" s="3">
        <f t="shared" ref="DZ38:EY38" si="148">(DZ33-DZ20)/DZ20</f>
        <v>-0.51834862385321101</v>
      </c>
      <c r="EA38" s="3">
        <f t="shared" si="148"/>
        <v>-0.34682080924855485</v>
      </c>
      <c r="EB38" s="3">
        <f t="shared" si="148"/>
        <v>-0.53521126760563376</v>
      </c>
      <c r="EC38" s="9">
        <f t="shared" si="148"/>
        <v>-0.21304347826086961</v>
      </c>
      <c r="ED38" s="7">
        <f t="shared" si="148"/>
        <v>-0.50943396226415094</v>
      </c>
      <c r="EE38" s="3">
        <f t="shared" si="148"/>
        <v>-0.49799196787148592</v>
      </c>
      <c r="EF38" s="3">
        <f t="shared" si="148"/>
        <v>-0.67741935483870963</v>
      </c>
      <c r="EG38" s="3">
        <f t="shared" si="148"/>
        <v>-0.66079295154185025</v>
      </c>
      <c r="EH38" s="3">
        <f t="shared" si="148"/>
        <v>-0.42727272727272725</v>
      </c>
      <c r="EI38" s="3">
        <f t="shared" si="148"/>
        <v>-0.4247787610619469</v>
      </c>
      <c r="EJ38" s="3">
        <f t="shared" si="148"/>
        <v>-0.17391304347826086</v>
      </c>
      <c r="EK38" s="3">
        <f t="shared" si="148"/>
        <v>-0.25000000000000011</v>
      </c>
      <c r="EL38" s="3">
        <f t="shared" si="148"/>
        <v>-0.22137404580152681</v>
      </c>
      <c r="EM38" s="3">
        <f t="shared" si="148"/>
        <v>-0.18584070796460181</v>
      </c>
      <c r="EN38" s="3">
        <f t="shared" si="148"/>
        <v>-0.19148936170212769</v>
      </c>
      <c r="EO38" s="3">
        <f t="shared" si="148"/>
        <v>-0.47445255474452563</v>
      </c>
      <c r="EP38" s="3">
        <f t="shared" si="148"/>
        <v>-0.57281553398058249</v>
      </c>
      <c r="EQ38" s="3">
        <f t="shared" si="148"/>
        <v>-0.56589147286821706</v>
      </c>
      <c r="ER38" s="3">
        <f t="shared" si="148"/>
        <v>-0.34615384615384615</v>
      </c>
      <c r="ES38" s="3">
        <f t="shared" si="148"/>
        <v>-0.34042553191489355</v>
      </c>
      <c r="ET38" s="3">
        <f t="shared" si="148"/>
        <v>-0.18072289156626503</v>
      </c>
      <c r="EU38" s="3">
        <f t="shared" si="148"/>
        <v>-0.17054263565891475</v>
      </c>
      <c r="EV38" s="3">
        <f t="shared" si="148"/>
        <v>-6.0150375939849676E-2</v>
      </c>
      <c r="EW38" s="3">
        <f t="shared" si="148"/>
        <v>-0.13600000000000001</v>
      </c>
      <c r="EX38" s="3">
        <f t="shared" si="148"/>
        <v>-1.0362694300518144E-2</v>
      </c>
      <c r="EY38" s="3">
        <f t="shared" si="148"/>
        <v>0</v>
      </c>
      <c r="EZ38" s="3">
        <f t="shared" ref="EZ38" si="149">(EZ33-EZ20)/EZ20</f>
        <v>-0.34188034188034194</v>
      </c>
      <c r="FA38" s="3">
        <f t="shared" ref="FA38:FB38" si="150">(FA33-FA20)/FA20</f>
        <v>-0.23728813559322032</v>
      </c>
      <c r="FB38" s="3">
        <f t="shared" si="150"/>
        <v>-0.33009708737864069</v>
      </c>
      <c r="FC38" s="3">
        <f t="shared" ref="FC38:FD38" si="151">(FC33-FC20)/FC20</f>
        <v>-0.20437956204379568</v>
      </c>
      <c r="FD38" s="3">
        <f t="shared" si="151"/>
        <v>-0.28703703703703703</v>
      </c>
      <c r="FE38" s="3">
        <f t="shared" ref="FE38:FF38" si="152">(FE33-FE20)/FE20</f>
        <v>-0.2123893805309735</v>
      </c>
      <c r="FF38" s="3">
        <f t="shared" si="152"/>
        <v>-0.38732394366197181</v>
      </c>
      <c r="FG38" s="4"/>
      <c r="FH38" s="4"/>
      <c r="FI38" s="4"/>
      <c r="FJ38" s="4"/>
      <c r="FK38" s="4"/>
      <c r="FL38" s="4"/>
    </row>
    <row r="39" spans="1:168" x14ac:dyDescent="0.3">
      <c r="A39" t="s">
        <v>152</v>
      </c>
      <c r="B39" s="3">
        <f t="shared" ref="B39:AG39" si="153">(B34-B21)/B21</f>
        <v>-0.66666666666666663</v>
      </c>
      <c r="C39" s="3">
        <f t="shared" si="153"/>
        <v>-0.6875</v>
      </c>
      <c r="D39" s="3">
        <f t="shared" si="153"/>
        <v>-0.6428571428571429</v>
      </c>
      <c r="E39" s="9">
        <f t="shared" si="153"/>
        <v>-0.625</v>
      </c>
      <c r="F39" s="9">
        <f t="shared" si="153"/>
        <v>-0.53333333333333333</v>
      </c>
      <c r="G39" s="3">
        <f t="shared" si="153"/>
        <v>-0.6</v>
      </c>
      <c r="H39" s="3">
        <f t="shared" si="153"/>
        <v>-0.53846153846153855</v>
      </c>
      <c r="I39" s="3">
        <f t="shared" si="153"/>
        <v>-0.6</v>
      </c>
      <c r="J39" s="3">
        <f t="shared" si="153"/>
        <v>-0.8125</v>
      </c>
      <c r="K39" s="3">
        <f t="shared" si="153"/>
        <v>-0.22222222222222213</v>
      </c>
      <c r="L39" s="3">
        <f t="shared" si="153"/>
        <v>-0.33333333333333331</v>
      </c>
      <c r="M39" s="3">
        <f t="shared" si="153"/>
        <v>-0.6</v>
      </c>
      <c r="N39" s="3">
        <f t="shared" si="153"/>
        <v>-0.5</v>
      </c>
      <c r="O39" s="3">
        <f t="shared" si="153"/>
        <v>-0.625</v>
      </c>
      <c r="P39" s="3">
        <f t="shared" si="153"/>
        <v>-0.33333333333333331</v>
      </c>
      <c r="Q39" s="3">
        <f t="shared" si="153"/>
        <v>-0.6</v>
      </c>
      <c r="R39" s="3">
        <f t="shared" si="153"/>
        <v>-0.78947368421052633</v>
      </c>
      <c r="S39" s="3">
        <f t="shared" si="153"/>
        <v>-0.63636363636363646</v>
      </c>
      <c r="T39" s="3">
        <f t="shared" si="153"/>
        <v>-0.25000000000000006</v>
      </c>
      <c r="U39" s="3">
        <f t="shared" si="153"/>
        <v>-0.44444444444444442</v>
      </c>
      <c r="V39" s="3">
        <f t="shared" si="153"/>
        <v>-0.6428571428571429</v>
      </c>
      <c r="W39" s="3">
        <f t="shared" si="153"/>
        <v>-0.7142857142857143</v>
      </c>
      <c r="X39" s="3">
        <f t="shared" si="153"/>
        <v>-0.61111111111111105</v>
      </c>
      <c r="Y39" s="3">
        <f t="shared" si="153"/>
        <v>-0.84615384615384615</v>
      </c>
      <c r="Z39" s="3">
        <f t="shared" si="153"/>
        <v>-0.7857142857142857</v>
      </c>
      <c r="AA39" s="3">
        <f t="shared" si="153"/>
        <v>-0.63157894736842102</v>
      </c>
      <c r="AB39" s="9">
        <f t="shared" si="153"/>
        <v>-0.72222222222222232</v>
      </c>
      <c r="AC39" s="3">
        <f t="shared" si="153"/>
        <v>-0.66666666666666663</v>
      </c>
      <c r="AD39" s="3">
        <f t="shared" si="153"/>
        <v>-0.76470588235294112</v>
      </c>
      <c r="AE39" s="3">
        <f t="shared" si="153"/>
        <v>-0.72222222222222232</v>
      </c>
      <c r="AF39" s="9">
        <f t="shared" si="153"/>
        <v>-0.70588235294117652</v>
      </c>
      <c r="AG39" s="3">
        <f t="shared" si="153"/>
        <v>-0.33333333333333331</v>
      </c>
      <c r="AH39" s="3">
        <f t="shared" ref="AH39:BM39" si="154">(AH34-AH21)/AH21</f>
        <v>-0.28571428571428575</v>
      </c>
      <c r="AI39" s="3">
        <f t="shared" si="154"/>
        <v>-0.25000000000000006</v>
      </c>
      <c r="AJ39" s="3">
        <f t="shared" si="154"/>
        <v>-0.6428571428571429</v>
      </c>
      <c r="AK39" s="9">
        <f t="shared" si="154"/>
        <v>-0.6875</v>
      </c>
      <c r="AL39" s="3">
        <f t="shared" si="154"/>
        <v>-0.7142857142857143</v>
      </c>
      <c r="AM39" s="9">
        <f t="shared" si="154"/>
        <v>-0.61111111111111105</v>
      </c>
      <c r="AN39" s="3">
        <f t="shared" si="154"/>
        <v>-0.61538461538461542</v>
      </c>
      <c r="AO39" s="3">
        <f t="shared" si="154"/>
        <v>-0.72727272727272729</v>
      </c>
      <c r="AP39" s="3">
        <f t="shared" si="154"/>
        <v>-0.14285714285714296</v>
      </c>
      <c r="AQ39" s="3">
        <f t="shared" si="154"/>
        <v>-0.25000000000000006</v>
      </c>
      <c r="AR39" s="3">
        <f t="shared" si="154"/>
        <v>-0.1666666666666666</v>
      </c>
      <c r="AS39" s="3">
        <f t="shared" si="154"/>
        <v>-0.6875</v>
      </c>
      <c r="AT39" s="3">
        <f t="shared" si="154"/>
        <v>-0.57142857142857151</v>
      </c>
      <c r="AU39" s="3">
        <f t="shared" si="154"/>
        <v>-0.75</v>
      </c>
      <c r="AV39" s="3">
        <f t="shared" si="154"/>
        <v>-0.45454545454545459</v>
      </c>
      <c r="AW39" s="3">
        <f t="shared" si="154"/>
        <v>-0.6</v>
      </c>
      <c r="AX39" s="3">
        <f t="shared" si="154"/>
        <v>-0.44444444444444442</v>
      </c>
      <c r="AY39" s="9">
        <f t="shared" si="154"/>
        <v>-0.72762645914396884</v>
      </c>
      <c r="AZ39" s="3">
        <f t="shared" si="154"/>
        <v>-0.54545454545454541</v>
      </c>
      <c r="BA39" s="3">
        <f t="shared" si="154"/>
        <v>-0.33333333333333331</v>
      </c>
      <c r="BB39" s="3">
        <f t="shared" si="154"/>
        <v>-0.4285714285714286</v>
      </c>
      <c r="BC39" s="3">
        <f t="shared" si="154"/>
        <v>-0.87500000000000011</v>
      </c>
      <c r="BD39" s="3">
        <f t="shared" si="154"/>
        <v>-0.8571428571428571</v>
      </c>
      <c r="BE39" s="3">
        <f t="shared" si="154"/>
        <v>-0.33333333333333331</v>
      </c>
      <c r="BF39" s="3">
        <f t="shared" si="154"/>
        <v>-0.69230769230769229</v>
      </c>
      <c r="BG39" s="3">
        <f t="shared" si="154"/>
        <v>-0.5</v>
      </c>
      <c r="BH39" s="3">
        <f t="shared" si="154"/>
        <v>-0.40000000000000008</v>
      </c>
      <c r="BI39" s="3">
        <f t="shared" si="154"/>
        <v>-0.44444444444444442</v>
      </c>
      <c r="BJ39" s="3">
        <f t="shared" si="154"/>
        <v>-0.53846153846153855</v>
      </c>
      <c r="BK39" s="9">
        <f t="shared" si="154"/>
        <v>-0.69230769230769229</v>
      </c>
      <c r="BL39" s="9">
        <f t="shared" si="154"/>
        <v>-0.57142857142857151</v>
      </c>
      <c r="BM39" s="9">
        <f t="shared" si="154"/>
        <v>-0.66666666666666663</v>
      </c>
      <c r="BN39" s="3">
        <f t="shared" ref="BN39:CS39" si="155">(BN34-BN21)/BN21</f>
        <v>-0.6428571428571429</v>
      </c>
      <c r="BO39" s="3">
        <f t="shared" si="155"/>
        <v>-0.6</v>
      </c>
      <c r="BP39" s="3">
        <f t="shared" si="155"/>
        <v>-0.66666666666666663</v>
      </c>
      <c r="BQ39" s="3">
        <f t="shared" si="155"/>
        <v>-0.76923076923076927</v>
      </c>
      <c r="BR39" s="3">
        <f t="shared" si="155"/>
        <v>-0.66666666666666663</v>
      </c>
      <c r="BS39" s="7">
        <f t="shared" si="155"/>
        <v>-0.70588235294117652</v>
      </c>
      <c r="BT39" s="3">
        <f t="shared" si="155"/>
        <v>-0.22222222222222213</v>
      </c>
      <c r="BU39" s="9">
        <f t="shared" si="155"/>
        <v>-0.20000000000000004</v>
      </c>
      <c r="BV39" s="3">
        <f t="shared" si="155"/>
        <v>-0.75</v>
      </c>
      <c r="BW39" s="3">
        <f t="shared" si="155"/>
        <v>-0.28571428571428575</v>
      </c>
      <c r="BX39" s="3">
        <f t="shared" si="155"/>
        <v>-0.22222222222222213</v>
      </c>
      <c r="BY39" s="9">
        <f t="shared" si="155"/>
        <v>-0.33333333333333331</v>
      </c>
      <c r="BZ39" s="3">
        <f t="shared" si="155"/>
        <v>-0.625</v>
      </c>
      <c r="CA39" s="3">
        <f t="shared" si="155"/>
        <v>-0.7857142857142857</v>
      </c>
      <c r="CB39" s="3">
        <f t="shared" si="155"/>
        <v>-0.7142857142857143</v>
      </c>
      <c r="CC39" s="3">
        <f t="shared" si="155"/>
        <v>-0.6875</v>
      </c>
      <c r="CD39" s="3">
        <f t="shared" si="155"/>
        <v>-0.66666666666666663</v>
      </c>
      <c r="CE39" s="3">
        <f t="shared" si="155"/>
        <v>-0.69230769230769229</v>
      </c>
      <c r="CF39" s="3">
        <f t="shared" si="155"/>
        <v>-0.7142857142857143</v>
      </c>
      <c r="CG39" s="3">
        <f t="shared" si="155"/>
        <v>-0.61538461538461542</v>
      </c>
      <c r="CH39" s="3">
        <f t="shared" si="155"/>
        <v>-0.8125</v>
      </c>
      <c r="CI39" s="3">
        <f t="shared" si="155"/>
        <v>-0.72222222222222232</v>
      </c>
      <c r="CJ39" s="3">
        <f t="shared" si="155"/>
        <v>-0.5</v>
      </c>
      <c r="CK39" s="3">
        <f t="shared" si="155"/>
        <v>-0.73333333333333328</v>
      </c>
      <c r="CL39" s="3">
        <f t="shared" si="155"/>
        <v>-0.82352941176470595</v>
      </c>
      <c r="CM39" s="3">
        <f t="shared" si="155"/>
        <v>-0.73333333333333328</v>
      </c>
      <c r="CN39" s="3">
        <f t="shared" si="155"/>
        <v>-0.78947368421052633</v>
      </c>
      <c r="CO39" s="9">
        <f t="shared" si="155"/>
        <v>-0.75</v>
      </c>
      <c r="CP39" s="3">
        <f t="shared" si="155"/>
        <v>-0.89473684210526316</v>
      </c>
      <c r="CQ39" s="3">
        <f t="shared" si="155"/>
        <v>-0.7142857142857143</v>
      </c>
      <c r="CR39" s="3">
        <f t="shared" si="155"/>
        <v>-0.84210526315789469</v>
      </c>
      <c r="CS39" s="9">
        <f t="shared" si="155"/>
        <v>-0.6875</v>
      </c>
      <c r="CT39" s="3">
        <f t="shared" ref="CT39:DY39" si="156">(CT34-CT21)/CT21</f>
        <v>-0.9</v>
      </c>
      <c r="CU39" s="3">
        <f t="shared" si="156"/>
        <v>-0.88888888888888895</v>
      </c>
      <c r="CV39" s="3">
        <f t="shared" si="156"/>
        <v>-0.5</v>
      </c>
      <c r="CW39" s="3">
        <f t="shared" si="156"/>
        <v>-0.41666666666666657</v>
      </c>
      <c r="CX39" s="3">
        <f t="shared" si="156"/>
        <v>-0.66666666666666663</v>
      </c>
      <c r="CY39" s="3">
        <f t="shared" si="156"/>
        <v>-0.5</v>
      </c>
      <c r="CZ39" s="3">
        <f t="shared" si="156"/>
        <v>-0.70000000000000007</v>
      </c>
      <c r="DA39" s="3">
        <f t="shared" si="156"/>
        <v>-0.5</v>
      </c>
      <c r="DB39" s="3">
        <f t="shared" si="156"/>
        <v>-0.76923076923076927</v>
      </c>
      <c r="DC39" s="3">
        <f t="shared" si="156"/>
        <v>-0.61538461538461542</v>
      </c>
      <c r="DD39" s="3">
        <f t="shared" si="156"/>
        <v>-0.6428571428571429</v>
      </c>
      <c r="DE39" s="3">
        <f t="shared" si="156"/>
        <v>-0.5</v>
      </c>
      <c r="DF39" s="3">
        <f t="shared" si="156"/>
        <v>-0.57142857142857151</v>
      </c>
      <c r="DG39" s="3">
        <f t="shared" si="156"/>
        <v>-0.9375</v>
      </c>
      <c r="DH39" s="3">
        <f t="shared" si="156"/>
        <v>-0.57142857142857151</v>
      </c>
      <c r="DI39" s="3">
        <f t="shared" si="156"/>
        <v>-0.79999999999999993</v>
      </c>
      <c r="DJ39" s="3">
        <f t="shared" si="156"/>
        <v>-0.75</v>
      </c>
      <c r="DK39" s="3">
        <f t="shared" si="156"/>
        <v>-0.55555555555555558</v>
      </c>
      <c r="DL39" s="3">
        <f t="shared" si="156"/>
        <v>-0.72727272727272729</v>
      </c>
      <c r="DM39" s="3">
        <f t="shared" si="156"/>
        <v>-0.6</v>
      </c>
      <c r="DN39" s="3">
        <f t="shared" si="156"/>
        <v>-0.40000000000000008</v>
      </c>
      <c r="DO39" s="3">
        <f t="shared" si="156"/>
        <v>-0.66666666666666663</v>
      </c>
      <c r="DP39" s="3">
        <f t="shared" si="156"/>
        <v>-0.5</v>
      </c>
      <c r="DQ39" s="3">
        <f t="shared" si="156"/>
        <v>-0.72727272727272729</v>
      </c>
      <c r="DR39" s="3">
        <f t="shared" si="156"/>
        <v>-0.66666666666666663</v>
      </c>
      <c r="DS39" s="3">
        <f t="shared" si="156"/>
        <v>-0.61538461538461542</v>
      </c>
      <c r="DT39" s="3">
        <f t="shared" si="156"/>
        <v>-0.6428571428571429</v>
      </c>
      <c r="DU39" s="3">
        <f t="shared" si="156"/>
        <v>-0.53846153846153855</v>
      </c>
      <c r="DV39" s="3">
        <f t="shared" si="156"/>
        <v>-0.5</v>
      </c>
      <c r="DW39" s="3">
        <f t="shared" si="156"/>
        <v>-0.63636363636363646</v>
      </c>
      <c r="DX39" s="3">
        <f t="shared" si="156"/>
        <v>-0.75</v>
      </c>
      <c r="DY39" s="3">
        <f t="shared" si="156"/>
        <v>-0.84615384615384615</v>
      </c>
      <c r="DZ39" s="3">
        <f t="shared" ref="DZ39:EY39" si="157">(DZ34-DZ21)/DZ21</f>
        <v>-0.79999999999999993</v>
      </c>
      <c r="EA39" s="3">
        <f t="shared" si="157"/>
        <v>-0.57142857142857151</v>
      </c>
      <c r="EB39" s="3">
        <f t="shared" si="157"/>
        <v>-0.75</v>
      </c>
      <c r="EC39" s="9">
        <f t="shared" si="157"/>
        <v>-0.5</v>
      </c>
      <c r="ED39" s="7">
        <f t="shared" si="157"/>
        <v>-0.72727272727272729</v>
      </c>
      <c r="EE39" s="3">
        <f t="shared" si="157"/>
        <v>-0.81818181818181812</v>
      </c>
      <c r="EF39" s="3">
        <f t="shared" si="157"/>
        <v>-0.8666666666666667</v>
      </c>
      <c r="EG39" s="3">
        <f t="shared" si="157"/>
        <v>-0.8666666666666667</v>
      </c>
      <c r="EH39" s="3">
        <f t="shared" si="157"/>
        <v>-0.5</v>
      </c>
      <c r="EI39" s="3">
        <f t="shared" si="157"/>
        <v>-0.5</v>
      </c>
      <c r="EJ39" s="3">
        <f t="shared" si="157"/>
        <v>-0.13333333333333333</v>
      </c>
      <c r="EK39" s="3">
        <f t="shared" si="157"/>
        <v>-0.44444444444444442</v>
      </c>
      <c r="EL39" s="3">
        <f t="shared" si="157"/>
        <v>-0.5</v>
      </c>
      <c r="EM39" s="3">
        <f t="shared" si="157"/>
        <v>-0.375</v>
      </c>
      <c r="EN39" s="3">
        <f t="shared" si="157"/>
        <v>-0.4285714285714286</v>
      </c>
      <c r="EO39" s="3">
        <f t="shared" si="157"/>
        <v>-0.76923076923076927</v>
      </c>
      <c r="EP39" s="3">
        <f t="shared" si="157"/>
        <v>-0.79999999999999993</v>
      </c>
      <c r="EQ39" s="3">
        <f t="shared" si="157"/>
        <v>-0.79999999999999993</v>
      </c>
      <c r="ER39" s="3">
        <f t="shared" si="157"/>
        <v>-0.79999999999999993</v>
      </c>
      <c r="ES39" s="3">
        <f t="shared" si="157"/>
        <v>-0.7142857142857143</v>
      </c>
      <c r="ET39" s="3">
        <f t="shared" si="157"/>
        <v>-0.46666666666666662</v>
      </c>
      <c r="EU39" s="3">
        <f t="shared" si="157"/>
        <v>-0.25000000000000006</v>
      </c>
      <c r="EV39" s="3">
        <f t="shared" si="157"/>
        <v>-0.1666666666666666</v>
      </c>
      <c r="EW39" s="3">
        <f t="shared" si="157"/>
        <v>-0.28571428571428575</v>
      </c>
      <c r="EX39" s="3">
        <f t="shared" si="157"/>
        <v>-0.20000000000000004</v>
      </c>
      <c r="EY39" s="3">
        <f t="shared" si="157"/>
        <v>0</v>
      </c>
      <c r="EZ39" s="3">
        <f t="shared" ref="EZ39" si="158">(EZ34-EZ21)/EZ21</f>
        <v>-0.625</v>
      </c>
      <c r="FA39" s="3">
        <f t="shared" ref="FA39:FB39" si="159">(FA34-FA21)/FA21</f>
        <v>-0.55555555555555558</v>
      </c>
      <c r="FB39" s="3">
        <f t="shared" si="159"/>
        <v>-0.55555555555555558</v>
      </c>
      <c r="FC39" s="3">
        <f t="shared" ref="FC39:FD39" si="160">(FC34-FC21)/FC21</f>
        <v>-0.46153846153846151</v>
      </c>
      <c r="FD39" s="3">
        <f t="shared" si="160"/>
        <v>-0.5</v>
      </c>
      <c r="FE39" s="3">
        <f t="shared" ref="FE39:FF39" si="161">(FE34-FE21)/FE21</f>
        <v>-0.44444444444444442</v>
      </c>
      <c r="FF39" s="3">
        <f t="shared" si="161"/>
        <v>-0.6428571428571429</v>
      </c>
      <c r="FG39" s="4"/>
      <c r="FH39" s="4"/>
      <c r="FI39" s="4"/>
      <c r="FJ39" s="4"/>
      <c r="FK39" s="4"/>
      <c r="FL39" s="4"/>
    </row>
    <row r="40" spans="1:168" x14ac:dyDescent="0.3">
      <c r="A40" t="s">
        <v>194</v>
      </c>
      <c r="B40" s="4">
        <v>0.154</v>
      </c>
      <c r="C40" s="4">
        <v>0.23799999999999999</v>
      </c>
      <c r="D40" s="4">
        <v>0.224</v>
      </c>
      <c r="E40" s="8">
        <v>0.20699999999999999</v>
      </c>
      <c r="F40" s="8">
        <v>0.16</v>
      </c>
      <c r="G40" s="4">
        <v>0.15</v>
      </c>
      <c r="H40" s="8">
        <v>8.4000000000000005E-2</v>
      </c>
      <c r="I40" s="4">
        <v>0.254</v>
      </c>
      <c r="J40" s="4">
        <v>0.26500000000000001</v>
      </c>
      <c r="K40" s="8">
        <v>0.39300000000000002</v>
      </c>
      <c r="L40" s="4">
        <v>0.48699999999999999</v>
      </c>
      <c r="M40" s="4">
        <v>0.17</v>
      </c>
      <c r="N40" s="4">
        <v>0.42</v>
      </c>
      <c r="O40" s="4">
        <v>0.21</v>
      </c>
      <c r="P40" s="4">
        <v>0.5</v>
      </c>
      <c r="Q40" s="4">
        <v>0.66</v>
      </c>
      <c r="R40" s="4">
        <v>0.223</v>
      </c>
      <c r="S40" s="4">
        <v>0.29699999999999999</v>
      </c>
      <c r="T40" s="4">
        <v>0.24</v>
      </c>
      <c r="U40" s="4">
        <v>0.33</v>
      </c>
      <c r="V40" s="8">
        <v>9.6000000000000002E-2</v>
      </c>
      <c r="W40" s="4">
        <v>0.17</v>
      </c>
      <c r="X40" s="4">
        <v>0.43</v>
      </c>
      <c r="Y40" s="4">
        <v>0.16300000000000001</v>
      </c>
      <c r="Z40" s="4">
        <v>0.17899999999999999</v>
      </c>
      <c r="AA40" s="8">
        <v>0.218</v>
      </c>
      <c r="AB40" s="4">
        <v>0.23899999999999999</v>
      </c>
      <c r="AC40" s="4">
        <v>0.28299999999999997</v>
      </c>
      <c r="AD40" s="4">
        <v>0.35</v>
      </c>
      <c r="AE40" s="4">
        <v>0.187</v>
      </c>
      <c r="AF40" s="8">
        <v>0.19400000000000001</v>
      </c>
      <c r="AG40" s="8">
        <v>0.621</v>
      </c>
      <c r="AH40" s="8">
        <v>0.55100000000000005</v>
      </c>
      <c r="AI40" s="4">
        <v>0.78300000000000003</v>
      </c>
      <c r="AJ40" s="4">
        <v>0.13800000000000001</v>
      </c>
      <c r="AK40" s="8">
        <v>0.1</v>
      </c>
      <c r="AL40" s="4">
        <v>0.13100000000000001</v>
      </c>
      <c r="AM40" s="4">
        <v>0.53100000000000003</v>
      </c>
      <c r="AN40" s="4">
        <v>0.44900000000000001</v>
      </c>
      <c r="AO40" s="4">
        <v>0.54500000000000004</v>
      </c>
      <c r="AP40" s="4">
        <v>0.496</v>
      </c>
      <c r="AQ40" s="10">
        <v>0.46500000000000002</v>
      </c>
      <c r="AR40" s="10">
        <v>0.41699999999999998</v>
      </c>
      <c r="AS40" s="10">
        <v>0.214</v>
      </c>
      <c r="AT40" s="10">
        <v>0.64300000000000002</v>
      </c>
      <c r="AU40" s="10">
        <v>0.22600000000000001</v>
      </c>
      <c r="AV40" s="8">
        <v>0.32600000000000001</v>
      </c>
      <c r="AW40" s="8">
        <v>0.25600000000000001</v>
      </c>
      <c r="AX40" s="10">
        <v>0.19800000000000001</v>
      </c>
      <c r="AY40" s="8">
        <v>0.35299999999999998</v>
      </c>
      <c r="AZ40" s="10">
        <v>0.46500000000000002</v>
      </c>
      <c r="BA40" s="10">
        <v>0.70699999999999996</v>
      </c>
      <c r="BB40" s="10">
        <v>0.504</v>
      </c>
      <c r="BC40" s="10">
        <v>0.20799999999999999</v>
      </c>
      <c r="BD40" s="10">
        <v>0.114</v>
      </c>
      <c r="BE40" s="8">
        <v>0.56499999999999995</v>
      </c>
      <c r="BF40" s="10">
        <v>0.122</v>
      </c>
      <c r="BG40" s="10">
        <v>0.51900000000000002</v>
      </c>
      <c r="BH40" s="10">
        <v>0.188</v>
      </c>
      <c r="BI40" s="10">
        <v>0.36099999999999999</v>
      </c>
      <c r="BJ40" s="10">
        <v>0.6</v>
      </c>
      <c r="BK40" s="8">
        <v>0.2</v>
      </c>
      <c r="BL40" s="10">
        <v>0.44700000000000001</v>
      </c>
      <c r="BM40" s="8">
        <v>0.16300000000000001</v>
      </c>
      <c r="BN40" s="10">
        <v>0.215</v>
      </c>
      <c r="BO40" s="8">
        <v>7.9000000000000001E-2</v>
      </c>
      <c r="BP40" s="10">
        <v>0.17899999999999999</v>
      </c>
      <c r="BQ40" s="10">
        <v>0.35699999999999998</v>
      </c>
      <c r="BR40" s="10">
        <v>0.312</v>
      </c>
      <c r="BS40" s="10">
        <v>0.24399999999999999</v>
      </c>
      <c r="BT40" s="3">
        <v>0.39500000000000002</v>
      </c>
      <c r="BU40" s="9">
        <v>0.46899999999999997</v>
      </c>
      <c r="BV40" s="3">
        <v>0.67600000000000005</v>
      </c>
      <c r="BW40" s="4">
        <v>0.308</v>
      </c>
      <c r="BX40" s="8">
        <v>0.307</v>
      </c>
      <c r="BY40" s="3">
        <v>0.439</v>
      </c>
      <c r="BZ40" s="8">
        <v>0.246</v>
      </c>
      <c r="CA40" s="4">
        <v>0.191</v>
      </c>
      <c r="CB40" s="4">
        <v>9.8000000000000004E-2</v>
      </c>
      <c r="CC40" s="4">
        <v>0.187</v>
      </c>
      <c r="CD40" s="4">
        <v>0.22900000000000001</v>
      </c>
      <c r="CE40" s="8">
        <v>0.26500000000000001</v>
      </c>
      <c r="CF40" s="4">
        <v>0.126</v>
      </c>
      <c r="CG40" s="4">
        <v>0.16200000000000001</v>
      </c>
      <c r="CH40" s="4">
        <v>0.182</v>
      </c>
      <c r="CI40" s="4">
        <v>0.28899999999999998</v>
      </c>
      <c r="CJ40" s="4">
        <v>3.9E-2</v>
      </c>
      <c r="CK40" s="4">
        <v>0.24</v>
      </c>
      <c r="CL40" s="4">
        <v>0.36599999999999999</v>
      </c>
      <c r="CM40" s="8">
        <v>0.29099999999999998</v>
      </c>
      <c r="CN40" s="4">
        <v>0.439</v>
      </c>
      <c r="CO40" s="8">
        <v>0.26700000000000002</v>
      </c>
      <c r="CP40" s="4">
        <v>0.34799999999999998</v>
      </c>
      <c r="CQ40" s="4">
        <v>0.25700000000000001</v>
      </c>
      <c r="CR40" s="4">
        <v>0.40400000000000003</v>
      </c>
      <c r="CS40" s="8">
        <v>0.34200000000000003</v>
      </c>
      <c r="CT40" s="4">
        <v>0.35499999999999998</v>
      </c>
      <c r="CU40" s="4">
        <v>0.38</v>
      </c>
      <c r="CV40" s="4">
        <v>0.33600000000000002</v>
      </c>
      <c r="CW40" s="4">
        <v>0.13100000000000001</v>
      </c>
      <c r="CX40" s="4">
        <v>0.379</v>
      </c>
      <c r="CY40" s="4">
        <v>0.504</v>
      </c>
      <c r="CZ40" s="4">
        <v>0.53700000000000003</v>
      </c>
      <c r="DA40" s="4">
        <v>0.53300000000000003</v>
      </c>
      <c r="DB40" s="4">
        <v>0.42199999999999999</v>
      </c>
      <c r="DC40" s="8">
        <v>0.27100000000000002</v>
      </c>
      <c r="DD40" s="4">
        <v>0.311</v>
      </c>
      <c r="DE40" s="4">
        <v>0.26700000000000002</v>
      </c>
      <c r="DF40" s="4">
        <v>0.23599999999999999</v>
      </c>
      <c r="DG40" s="4">
        <v>0.22900000000000001</v>
      </c>
      <c r="DH40" s="4">
        <v>0.13600000000000001</v>
      </c>
      <c r="DI40" s="4">
        <v>0.44600000000000001</v>
      </c>
      <c r="DJ40" s="4">
        <v>0.55500000000000005</v>
      </c>
      <c r="DK40" s="4">
        <v>0.47699999999999998</v>
      </c>
      <c r="DL40" s="4">
        <v>0.41699999999999998</v>
      </c>
      <c r="DM40" s="4">
        <v>0.41799999999999998</v>
      </c>
      <c r="DN40" s="8">
        <v>0.60699999999999998</v>
      </c>
      <c r="DO40" s="8">
        <v>0.72699999999999998</v>
      </c>
      <c r="DP40" s="8">
        <v>0.46400000000000002</v>
      </c>
      <c r="DQ40" s="4">
        <v>0.71399999999999997</v>
      </c>
      <c r="DR40" s="10">
        <v>0.67300000000000004</v>
      </c>
      <c r="DS40" s="4">
        <v>0.496</v>
      </c>
      <c r="DT40" s="4">
        <v>0.41899999999999998</v>
      </c>
      <c r="DU40" s="4">
        <v>0.16600000000000001</v>
      </c>
      <c r="DV40" s="4">
        <v>0.497</v>
      </c>
      <c r="DW40" s="4">
        <v>0.501</v>
      </c>
      <c r="DX40" s="4">
        <v>0.59799999999999998</v>
      </c>
      <c r="DY40" s="4">
        <v>0.77500000000000002</v>
      </c>
      <c r="DZ40" s="4">
        <v>0.747</v>
      </c>
      <c r="EA40" s="4">
        <v>0.71699999999999997</v>
      </c>
      <c r="EB40" s="4">
        <v>0.69499999999999995</v>
      </c>
      <c r="EC40" s="8">
        <v>0.66500000000000004</v>
      </c>
      <c r="ED40" s="4">
        <v>0.72599999999999998</v>
      </c>
      <c r="EE40" s="4">
        <v>0.73</v>
      </c>
      <c r="EF40" s="4">
        <v>0.56599999999999995</v>
      </c>
      <c r="EG40" s="8">
        <v>0.51800000000000002</v>
      </c>
      <c r="EH40" s="4">
        <v>0.377</v>
      </c>
      <c r="EI40" s="4">
        <v>0.35099999999999998</v>
      </c>
      <c r="EJ40" s="4">
        <v>0.38100000000000001</v>
      </c>
      <c r="EK40" s="4">
        <v>0.27200000000000002</v>
      </c>
      <c r="EL40" s="4">
        <v>0.46700000000000003</v>
      </c>
      <c r="EM40" s="8">
        <v>0.374</v>
      </c>
      <c r="EN40" s="4">
        <v>0.33</v>
      </c>
      <c r="EO40" s="4">
        <v>0.40400000000000003</v>
      </c>
      <c r="EP40" s="4">
        <v>0.39700000000000002</v>
      </c>
      <c r="EQ40" s="4">
        <v>0.43099999999999999</v>
      </c>
      <c r="ER40" s="8">
        <v>0.51700000000000002</v>
      </c>
      <c r="ES40" s="8">
        <v>0.30199999999999999</v>
      </c>
      <c r="ET40" s="4">
        <v>0.378</v>
      </c>
      <c r="EU40" s="4">
        <v>0.73699999999999999</v>
      </c>
      <c r="EV40" s="4">
        <v>0.56100000000000005</v>
      </c>
      <c r="EW40" s="4">
        <v>0.442</v>
      </c>
      <c r="EX40" s="8">
        <v>0.71399999999999997</v>
      </c>
      <c r="EY40" s="8">
        <v>0.77200000000000002</v>
      </c>
      <c r="EZ40" s="4">
        <v>0.35799999999999998</v>
      </c>
      <c r="FA40" s="8">
        <v>0.38200000000000001</v>
      </c>
      <c r="FB40" s="4">
        <v>0.28599999999999998</v>
      </c>
      <c r="FC40" s="4">
        <v>0.20499999999999999</v>
      </c>
      <c r="FD40" s="4">
        <v>0.31900000000000001</v>
      </c>
      <c r="FE40" s="4">
        <v>0.252</v>
      </c>
      <c r="FF40" s="4">
        <v>0.23200000000000001</v>
      </c>
      <c r="FG40" s="4"/>
      <c r="FH40" s="4"/>
      <c r="FI40" s="4"/>
      <c r="FJ40" s="4"/>
      <c r="FK40" s="4"/>
      <c r="FL40" s="4"/>
    </row>
    <row r="41" spans="1:168" x14ac:dyDescent="0.3">
      <c r="A41" t="s">
        <v>195</v>
      </c>
      <c r="B41" s="4">
        <v>0.28699999999999998</v>
      </c>
      <c r="C41" s="4">
        <v>0.41899999999999998</v>
      </c>
      <c r="D41" s="4">
        <v>0.46700000000000003</v>
      </c>
      <c r="E41" s="8">
        <v>0.46700000000000003</v>
      </c>
      <c r="F41" s="8">
        <v>0.48799999999999999</v>
      </c>
      <c r="G41" s="4">
        <v>0.39600000000000002</v>
      </c>
      <c r="H41" s="8">
        <v>0.22600000000000001</v>
      </c>
      <c r="I41" s="4">
        <v>0.72299999999999998</v>
      </c>
      <c r="J41" s="4">
        <v>0.33900000000000002</v>
      </c>
      <c r="K41" s="8">
        <v>0.87</v>
      </c>
      <c r="L41" s="4">
        <v>0.89200000000000002</v>
      </c>
      <c r="M41" s="4">
        <v>0.78700000000000003</v>
      </c>
      <c r="N41" s="4">
        <v>0.81100000000000005</v>
      </c>
      <c r="O41" s="4">
        <v>0.71</v>
      </c>
      <c r="P41" s="4">
        <v>0.95299999999999996</v>
      </c>
      <c r="Q41" s="4">
        <v>0.95799999999999996</v>
      </c>
      <c r="R41" s="4">
        <v>0.20100000000000001</v>
      </c>
      <c r="S41" s="4">
        <v>0.70099999999999996</v>
      </c>
      <c r="T41" s="4">
        <v>0.82599999999999996</v>
      </c>
      <c r="U41" s="4">
        <v>0.77400000000000002</v>
      </c>
      <c r="V41" s="8">
        <v>0.38800000000000001</v>
      </c>
      <c r="W41" s="4">
        <v>0.52100000000000002</v>
      </c>
      <c r="X41" s="4">
        <v>0.65</v>
      </c>
      <c r="Y41" s="4">
        <v>0.46100000000000002</v>
      </c>
      <c r="Z41" s="4">
        <v>0.33500000000000002</v>
      </c>
      <c r="AA41" s="8">
        <v>0.53300000000000003</v>
      </c>
      <c r="AB41" s="4">
        <v>0.38</v>
      </c>
      <c r="AC41" s="4">
        <v>0.32300000000000001</v>
      </c>
      <c r="AD41" s="4">
        <v>0.19800000000000001</v>
      </c>
      <c r="AE41" s="4">
        <v>0.29199999999999998</v>
      </c>
      <c r="AF41" s="8">
        <v>0.34300000000000003</v>
      </c>
      <c r="AG41" s="8">
        <v>0.94199999999999995</v>
      </c>
      <c r="AH41" s="8">
        <v>0.94599999999999995</v>
      </c>
      <c r="AI41" s="4">
        <v>0.97299999999999998</v>
      </c>
      <c r="AJ41" s="4">
        <v>0.52400000000000002</v>
      </c>
      <c r="AK41" s="8">
        <v>0.496</v>
      </c>
      <c r="AL41" s="4">
        <v>0.46800000000000003</v>
      </c>
      <c r="AM41" s="4">
        <v>0.66700000000000004</v>
      </c>
      <c r="AN41" s="4">
        <v>0.67300000000000004</v>
      </c>
      <c r="AO41" s="4">
        <v>0.85099999999999998</v>
      </c>
      <c r="AP41" s="4">
        <v>0.96199999999999997</v>
      </c>
      <c r="AQ41" s="10">
        <v>0.92500000000000004</v>
      </c>
      <c r="AR41" s="10">
        <v>0.92500000000000004</v>
      </c>
      <c r="AS41" s="10">
        <v>0.79100000000000004</v>
      </c>
      <c r="AT41" s="10">
        <v>0.97599999999999998</v>
      </c>
      <c r="AU41" s="10">
        <v>0.55500000000000005</v>
      </c>
      <c r="AV41" s="8">
        <v>0.78900000000000003</v>
      </c>
      <c r="AW41" s="8">
        <v>0.79</v>
      </c>
      <c r="AX41" s="10">
        <v>0.76900000000000002</v>
      </c>
      <c r="AY41" s="8">
        <v>0.84699999999999998</v>
      </c>
      <c r="AZ41" s="10">
        <v>0.749</v>
      </c>
      <c r="BA41" s="10">
        <v>0.96199999999999997</v>
      </c>
      <c r="BB41" s="10">
        <v>0.90500000000000003</v>
      </c>
      <c r="BC41" s="10">
        <v>0.438</v>
      </c>
      <c r="BD41" s="10">
        <v>0.26800000000000002</v>
      </c>
      <c r="BE41" s="8">
        <v>0.84599999999999997</v>
      </c>
      <c r="BF41" s="10">
        <v>0.35499999999999998</v>
      </c>
      <c r="BG41" s="10">
        <v>0.93899999999999995</v>
      </c>
      <c r="BH41" s="10">
        <v>0.54</v>
      </c>
      <c r="BI41" s="10">
        <v>0.85</v>
      </c>
      <c r="BJ41" s="10">
        <v>0.25</v>
      </c>
      <c r="BK41" s="8">
        <v>0.754</v>
      </c>
      <c r="BL41" s="10">
        <v>0.70399999999999996</v>
      </c>
      <c r="BM41" s="8">
        <v>0.33600000000000002</v>
      </c>
      <c r="BN41" s="10">
        <v>0.38</v>
      </c>
      <c r="BO41" s="8">
        <v>0.29599999999999999</v>
      </c>
      <c r="BP41" s="10">
        <v>0.41199999999999998</v>
      </c>
      <c r="BQ41" s="10">
        <v>0.61</v>
      </c>
      <c r="BR41" s="10">
        <v>0.5</v>
      </c>
      <c r="BS41" s="10">
        <v>0.39900000000000002</v>
      </c>
      <c r="BT41" s="3">
        <v>0.86</v>
      </c>
      <c r="BU41" s="9">
        <v>0.94699999999999995</v>
      </c>
      <c r="BV41" s="3">
        <v>0.90500000000000003</v>
      </c>
      <c r="BW41" s="4">
        <v>0.95299999999999996</v>
      </c>
      <c r="BX41" s="8">
        <v>0.94399999999999995</v>
      </c>
      <c r="BY41" s="3">
        <v>0.90600000000000003</v>
      </c>
      <c r="BZ41" s="8">
        <v>0.47799999999999998</v>
      </c>
      <c r="CA41" s="4">
        <v>0.51200000000000001</v>
      </c>
      <c r="CB41" s="4">
        <v>0.45600000000000002</v>
      </c>
      <c r="CC41" s="4">
        <v>0.504</v>
      </c>
      <c r="CD41" s="4">
        <v>0.52200000000000002</v>
      </c>
      <c r="CE41" s="8">
        <v>0.57199999999999995</v>
      </c>
      <c r="CF41" s="4">
        <v>0.39200000000000002</v>
      </c>
      <c r="CG41" s="4">
        <v>0.501</v>
      </c>
      <c r="CH41" s="4">
        <v>0.317</v>
      </c>
      <c r="CI41" s="4">
        <v>0.51800000000000002</v>
      </c>
      <c r="CJ41" s="4">
        <v>0.42799999999999999</v>
      </c>
      <c r="CK41" s="4">
        <v>0.55900000000000005</v>
      </c>
      <c r="CL41" s="4">
        <v>0.51100000000000001</v>
      </c>
      <c r="CM41" s="8">
        <v>0.34399999999999997</v>
      </c>
      <c r="CN41" s="4">
        <v>0.6</v>
      </c>
      <c r="CO41" s="8">
        <v>0.60599999999999998</v>
      </c>
      <c r="CP41" s="4">
        <v>0.49199999999999999</v>
      </c>
      <c r="CQ41" s="4">
        <v>0.74199999999999999</v>
      </c>
      <c r="CR41" s="4">
        <v>0.61099999999999999</v>
      </c>
      <c r="CS41" s="8">
        <v>0.59699999999999998</v>
      </c>
      <c r="CT41" s="4">
        <v>0.52200000000000002</v>
      </c>
      <c r="CU41" s="4">
        <v>0.54900000000000004</v>
      </c>
      <c r="CV41" s="4">
        <v>0.66300000000000003</v>
      </c>
      <c r="CW41" s="4">
        <v>0.76500000000000001</v>
      </c>
      <c r="CX41" s="4">
        <v>0.60299999999999998</v>
      </c>
      <c r="CY41" s="4">
        <v>0.85599999999999998</v>
      </c>
      <c r="CZ41" s="4">
        <v>0.83299999999999996</v>
      </c>
      <c r="DA41" s="4">
        <v>0.96099999999999997</v>
      </c>
      <c r="DB41" s="4">
        <v>0.72799999999999998</v>
      </c>
      <c r="DC41" s="8">
        <v>0.66500000000000004</v>
      </c>
      <c r="DD41" s="4">
        <v>0.61499999999999999</v>
      </c>
      <c r="DE41" s="4">
        <v>0.73699999999999999</v>
      </c>
      <c r="DF41" s="4">
        <v>0.49399999999999999</v>
      </c>
      <c r="DG41" s="4">
        <v>0.73299999999999998</v>
      </c>
      <c r="DH41" s="4">
        <v>0.79</v>
      </c>
      <c r="DI41" s="4">
        <v>0.75600000000000001</v>
      </c>
      <c r="DJ41" s="4">
        <v>0.90200000000000002</v>
      </c>
      <c r="DK41" s="4">
        <v>0.86699999999999999</v>
      </c>
      <c r="DL41" s="4">
        <v>0.85099999999999998</v>
      </c>
      <c r="DM41" s="4">
        <v>0.89500000000000002</v>
      </c>
      <c r="DN41" s="8">
        <v>0.98899999999999999</v>
      </c>
      <c r="DO41" s="8">
        <v>0.91900000000000004</v>
      </c>
      <c r="DP41" s="8">
        <v>0.97099999999999997</v>
      </c>
      <c r="DQ41" s="4">
        <v>0.89800000000000002</v>
      </c>
      <c r="DR41" s="10">
        <v>0.91400000000000003</v>
      </c>
      <c r="DS41" s="4">
        <v>0.68400000000000005</v>
      </c>
      <c r="DT41" s="4">
        <v>0.57099999999999995</v>
      </c>
      <c r="DU41" s="4">
        <v>0.40899999999999997</v>
      </c>
      <c r="DV41" s="4">
        <v>0.91200000000000003</v>
      </c>
      <c r="DW41" s="4">
        <v>0.79900000000000004</v>
      </c>
      <c r="DX41" s="4">
        <v>0.53500000000000003</v>
      </c>
      <c r="DY41" s="4">
        <v>0.93100000000000005</v>
      </c>
      <c r="DZ41" s="4">
        <v>0.93100000000000005</v>
      </c>
      <c r="EA41" s="4">
        <v>0.91400000000000003</v>
      </c>
      <c r="EB41" s="4">
        <v>0.89500000000000002</v>
      </c>
      <c r="EC41" s="8">
        <v>0.90800000000000003</v>
      </c>
      <c r="ED41" s="4">
        <v>0.90200000000000002</v>
      </c>
      <c r="EE41" s="4">
        <v>0.93200000000000005</v>
      </c>
      <c r="EF41" s="4">
        <v>0.748</v>
      </c>
      <c r="EG41" s="8">
        <v>0.71299999999999997</v>
      </c>
      <c r="EH41" s="4">
        <v>0.85399999999999998</v>
      </c>
      <c r="EI41" s="4">
        <v>0.86599999999999999</v>
      </c>
      <c r="EJ41" s="4">
        <v>0.84799999999999998</v>
      </c>
      <c r="EK41" s="4">
        <v>0.70699999999999996</v>
      </c>
      <c r="EL41" s="4">
        <v>0.84799999999999998</v>
      </c>
      <c r="EM41" s="8">
        <v>0.77300000000000002</v>
      </c>
      <c r="EN41" s="4">
        <v>0.83899999999999997</v>
      </c>
      <c r="EO41" s="4">
        <v>0.66</v>
      </c>
      <c r="EP41" s="4">
        <v>0.66100000000000003</v>
      </c>
      <c r="EQ41" s="4">
        <v>0.67400000000000004</v>
      </c>
      <c r="ER41" s="8">
        <v>0.85899999999999999</v>
      </c>
      <c r="ES41" s="8">
        <v>0.38900000000000001</v>
      </c>
      <c r="ET41" s="4">
        <v>0.72299999999999998</v>
      </c>
      <c r="EU41" s="4">
        <v>0.96699999999999997</v>
      </c>
      <c r="EV41" s="4">
        <v>0.93300000000000005</v>
      </c>
      <c r="EW41" s="4">
        <v>0.874</v>
      </c>
      <c r="EX41" s="8">
        <v>0.96699999999999997</v>
      </c>
      <c r="EY41" s="8">
        <v>0.98399999999999999</v>
      </c>
      <c r="EZ41" s="4">
        <v>0.85</v>
      </c>
      <c r="FA41" s="8">
        <v>0.80200000000000005</v>
      </c>
      <c r="FB41" s="4">
        <v>0.78500000000000003</v>
      </c>
      <c r="FC41" s="4">
        <v>0.59</v>
      </c>
      <c r="FD41" s="4">
        <v>0.749</v>
      </c>
      <c r="FE41" s="4">
        <v>0.72199999999999998</v>
      </c>
      <c r="FF41" s="4">
        <v>0.56599999999999995</v>
      </c>
      <c r="FG41" s="4"/>
      <c r="FH41" s="4"/>
      <c r="FI41" s="4"/>
      <c r="FJ41" s="4"/>
      <c r="FK41" s="4"/>
      <c r="FL41" s="4"/>
    </row>
    <row r="42" spans="1:168" x14ac:dyDescent="0.3">
      <c r="A42" t="s">
        <v>196</v>
      </c>
      <c r="B42" s="4">
        <v>0.124</v>
      </c>
      <c r="C42" s="4">
        <v>0.126</v>
      </c>
      <c r="D42" s="4">
        <v>0.122</v>
      </c>
      <c r="E42" s="8">
        <v>0.107</v>
      </c>
      <c r="F42" s="8">
        <v>8.5000000000000006E-2</v>
      </c>
      <c r="G42" s="4">
        <v>0.1</v>
      </c>
      <c r="H42" s="8">
        <v>6.8000000000000005E-2</v>
      </c>
      <c r="I42" s="4">
        <v>0.10100000000000001</v>
      </c>
      <c r="J42" s="4">
        <v>0.153</v>
      </c>
      <c r="K42" s="8">
        <v>0.08</v>
      </c>
      <c r="L42" s="4">
        <v>0.112</v>
      </c>
      <c r="M42" s="4">
        <v>0.104</v>
      </c>
      <c r="N42" s="4">
        <v>8.1000000000000003E-2</v>
      </c>
      <c r="O42" s="4">
        <v>7.2999999999999995E-2</v>
      </c>
      <c r="P42" s="4">
        <v>6.8000000000000005E-2</v>
      </c>
      <c r="Q42" s="4">
        <v>9.1999999999999998E-2</v>
      </c>
      <c r="R42" s="4">
        <v>0.23899999999999999</v>
      </c>
      <c r="S42" s="4">
        <v>0.11799999999999999</v>
      </c>
      <c r="T42" s="4">
        <v>7.4999999999999997E-2</v>
      </c>
      <c r="U42" s="4">
        <v>0.104</v>
      </c>
      <c r="V42" s="8">
        <v>8.2000000000000003E-2</v>
      </c>
      <c r="W42" s="4">
        <v>0.11700000000000001</v>
      </c>
      <c r="X42" s="4">
        <v>0.217</v>
      </c>
      <c r="Y42" s="4">
        <v>0.14699999999999999</v>
      </c>
      <c r="Z42" s="4">
        <v>0.14399999999999999</v>
      </c>
      <c r="AA42" s="8">
        <v>0.14799999999999999</v>
      </c>
      <c r="AB42" s="4">
        <v>0.152</v>
      </c>
      <c r="AC42" s="4">
        <v>0.17899999999999999</v>
      </c>
      <c r="AD42" s="4">
        <v>0.21099999999999999</v>
      </c>
      <c r="AE42" s="4">
        <v>0.17699999999999999</v>
      </c>
      <c r="AF42" s="8">
        <v>0.17100000000000001</v>
      </c>
      <c r="AG42" s="8">
        <v>0.1</v>
      </c>
      <c r="AH42" s="8">
        <v>9.1999999999999998E-2</v>
      </c>
      <c r="AI42" s="4">
        <v>8.1000000000000003E-2</v>
      </c>
      <c r="AJ42" s="4">
        <v>9.0999999999999998E-2</v>
      </c>
      <c r="AK42" s="8">
        <v>8.8999999999999996E-2</v>
      </c>
      <c r="AL42" s="4">
        <v>9.0999999999999998E-2</v>
      </c>
      <c r="AM42" s="4">
        <v>0.16300000000000001</v>
      </c>
      <c r="AN42" s="4">
        <v>0.15</v>
      </c>
      <c r="AO42" s="4">
        <v>0.13</v>
      </c>
      <c r="AP42" s="4">
        <v>5.7000000000000002E-2</v>
      </c>
      <c r="AQ42" s="10">
        <v>7.1999999999999995E-2</v>
      </c>
      <c r="AR42" s="10">
        <v>0.06</v>
      </c>
      <c r="AS42" s="10">
        <v>0.14499999999999999</v>
      </c>
      <c r="AT42" s="10">
        <v>0.104</v>
      </c>
      <c r="AU42" s="10">
        <v>0.125</v>
      </c>
      <c r="AV42" s="8">
        <v>9.6000000000000002E-2</v>
      </c>
      <c r="AW42" s="8">
        <v>9.1999999999999998E-2</v>
      </c>
      <c r="AX42" s="10">
        <v>0.106</v>
      </c>
      <c r="AY42" s="8">
        <v>8.2000000000000003E-2</v>
      </c>
      <c r="AZ42" s="10">
        <v>0.124</v>
      </c>
      <c r="BA42" s="10">
        <v>0.19700000000000001</v>
      </c>
      <c r="BB42" s="10">
        <v>0.17799999999999999</v>
      </c>
      <c r="BC42" s="10">
        <v>0.22800000000000001</v>
      </c>
      <c r="BD42" s="10">
        <v>0.16800000000000001</v>
      </c>
      <c r="BE42" s="8">
        <v>0.16500000000000001</v>
      </c>
      <c r="BF42" s="10">
        <v>8.6999999999999994E-2</v>
      </c>
      <c r="BG42" s="10">
        <v>0.112</v>
      </c>
      <c r="BH42" s="10">
        <v>6.4000000000000001E-2</v>
      </c>
      <c r="BI42" s="10">
        <v>0.114</v>
      </c>
      <c r="BJ42" s="10">
        <v>9.1999999999999998E-2</v>
      </c>
      <c r="BK42" s="8">
        <v>9.8000000000000004E-2</v>
      </c>
      <c r="BL42" s="10">
        <v>0.248</v>
      </c>
      <c r="BM42" s="8">
        <v>0.128</v>
      </c>
      <c r="BN42" s="10">
        <v>0.115</v>
      </c>
      <c r="BO42" s="8">
        <v>8.2000000000000003E-2</v>
      </c>
      <c r="BP42" s="10">
        <v>0.13100000000000001</v>
      </c>
      <c r="BQ42" s="10">
        <v>0.16900000000000001</v>
      </c>
      <c r="BR42" s="10">
        <v>0.153</v>
      </c>
      <c r="BS42" s="10">
        <v>0.161</v>
      </c>
      <c r="BT42" s="3">
        <v>0.13100000000000001</v>
      </c>
      <c r="BU42" s="9">
        <v>7.5999999999999998E-2</v>
      </c>
      <c r="BV42" s="3">
        <v>0.17599999999999999</v>
      </c>
      <c r="BW42" s="4">
        <v>6.8000000000000005E-2</v>
      </c>
      <c r="BX42" s="8">
        <v>7.2999999999999995E-2</v>
      </c>
      <c r="BY42" s="3">
        <v>8.8999999999999996E-2</v>
      </c>
      <c r="BZ42" s="8">
        <v>0.122</v>
      </c>
      <c r="CA42" s="4">
        <v>0.127</v>
      </c>
      <c r="CB42" s="4">
        <v>0.111</v>
      </c>
      <c r="CC42" s="4">
        <v>0.13</v>
      </c>
      <c r="CD42" s="4">
        <v>0.11899999999999999</v>
      </c>
      <c r="CE42" s="8">
        <v>0.129</v>
      </c>
      <c r="CF42" s="4">
        <v>0.11799999999999999</v>
      </c>
      <c r="CG42" s="4">
        <v>9.7000000000000003E-2</v>
      </c>
      <c r="CH42" s="4">
        <v>0.2</v>
      </c>
      <c r="CI42" s="4">
        <v>0.14899999999999999</v>
      </c>
      <c r="CJ42" s="4">
        <v>9.2999999999999999E-2</v>
      </c>
      <c r="CK42" s="4">
        <v>0.13800000000000001</v>
      </c>
      <c r="CL42" s="4">
        <v>0.16500000000000001</v>
      </c>
      <c r="CM42" s="8">
        <v>0.13</v>
      </c>
      <c r="CN42" s="4">
        <v>0.17499999999999999</v>
      </c>
      <c r="CO42" s="8">
        <v>0.109</v>
      </c>
      <c r="CP42" s="4">
        <v>0.222</v>
      </c>
      <c r="CQ42" s="4">
        <v>0.14599999999999999</v>
      </c>
      <c r="CR42" s="4">
        <v>0.14599999999999999</v>
      </c>
      <c r="CS42" s="8">
        <v>0.115</v>
      </c>
      <c r="CT42" s="4">
        <v>0.23</v>
      </c>
      <c r="CU42" s="4">
        <v>0.20899999999999999</v>
      </c>
      <c r="CV42" s="4">
        <v>0.13500000000000001</v>
      </c>
      <c r="CW42" s="4">
        <v>0.12</v>
      </c>
      <c r="CX42" s="4">
        <v>0.182</v>
      </c>
      <c r="CY42" s="4">
        <v>0.184</v>
      </c>
      <c r="CZ42" s="4">
        <v>0.20399999999999999</v>
      </c>
      <c r="DA42" s="4">
        <v>0.127</v>
      </c>
      <c r="DB42" s="4">
        <v>0.23599999999999999</v>
      </c>
      <c r="DC42" s="8">
        <v>0.16300000000000001</v>
      </c>
      <c r="DD42" s="4">
        <v>0.16600000000000001</v>
      </c>
      <c r="DE42" s="4">
        <v>0.13100000000000001</v>
      </c>
      <c r="DF42" s="4">
        <v>0.16400000000000001</v>
      </c>
      <c r="DG42" s="4">
        <v>0.28199999999999997</v>
      </c>
      <c r="DH42" s="4">
        <v>0.23100000000000001</v>
      </c>
      <c r="DI42" s="4">
        <v>0.20699999999999999</v>
      </c>
      <c r="DJ42" s="4">
        <v>0.13200000000000001</v>
      </c>
      <c r="DK42" s="4">
        <v>0.157</v>
      </c>
      <c r="DL42" s="4">
        <v>0.14199999999999999</v>
      </c>
      <c r="DM42" s="4">
        <v>0.158</v>
      </c>
      <c r="DN42" s="8">
        <v>0.23</v>
      </c>
      <c r="DO42" s="8">
        <v>0.23499999999999999</v>
      </c>
      <c r="DP42" s="8">
        <v>0.14199999999999999</v>
      </c>
      <c r="DQ42" s="4">
        <v>0.26900000000000002</v>
      </c>
      <c r="DR42" s="10">
        <v>0.24099999999999999</v>
      </c>
      <c r="DS42" s="4">
        <v>0.22900000000000001</v>
      </c>
      <c r="DT42" s="4">
        <v>0.223</v>
      </c>
      <c r="DU42" s="4">
        <v>0.186</v>
      </c>
      <c r="DV42" s="4">
        <v>0.13500000000000001</v>
      </c>
      <c r="DW42" s="4">
        <v>0.20899999999999999</v>
      </c>
      <c r="DX42" s="4">
        <v>0.36199999999999999</v>
      </c>
      <c r="DY42" s="4">
        <v>0.23100000000000001</v>
      </c>
      <c r="DZ42" s="4">
        <v>0.20899999999999999</v>
      </c>
      <c r="EA42" s="4">
        <v>0.17799999999999999</v>
      </c>
      <c r="EB42" s="4">
        <v>0.187</v>
      </c>
      <c r="EC42" s="8">
        <v>0.153</v>
      </c>
      <c r="ED42" s="4">
        <v>0.21</v>
      </c>
      <c r="EE42" s="4">
        <v>0.186</v>
      </c>
      <c r="EF42" s="4">
        <v>0.28000000000000003</v>
      </c>
      <c r="EG42" s="8">
        <v>0.254</v>
      </c>
      <c r="EH42" s="4">
        <v>9.6000000000000002E-2</v>
      </c>
      <c r="EI42" s="4">
        <v>8.6999999999999994E-2</v>
      </c>
      <c r="EJ42" s="4">
        <v>9.0999999999999998E-2</v>
      </c>
      <c r="EK42" s="4">
        <v>0.121</v>
      </c>
      <c r="EL42" s="4">
        <v>0.13</v>
      </c>
      <c r="EM42" s="8">
        <v>0.12</v>
      </c>
      <c r="EN42" s="4">
        <v>0.09</v>
      </c>
      <c r="EO42" s="4">
        <v>0.14699999999999999</v>
      </c>
      <c r="EP42" s="4">
        <v>0.123</v>
      </c>
      <c r="EQ42" s="4">
        <v>0.155</v>
      </c>
      <c r="ER42" s="8">
        <v>0.11700000000000001</v>
      </c>
      <c r="ES42" s="8">
        <v>0.152</v>
      </c>
      <c r="ET42" s="4">
        <v>0.14199999999999999</v>
      </c>
      <c r="EU42" s="4">
        <v>0.113</v>
      </c>
      <c r="EV42" s="4">
        <v>0.11600000000000001</v>
      </c>
      <c r="EW42" s="4">
        <v>0.115</v>
      </c>
      <c r="EX42" s="8">
        <v>5.3999999999999999E-2</v>
      </c>
      <c r="EY42" s="8">
        <v>4.3999999999999997E-2</v>
      </c>
      <c r="EZ42" s="4">
        <v>0.115</v>
      </c>
      <c r="FA42" s="8">
        <v>0.114</v>
      </c>
      <c r="FB42" s="4">
        <v>0.109</v>
      </c>
      <c r="FC42" s="4">
        <v>0.1</v>
      </c>
      <c r="FD42" s="4">
        <v>0.106</v>
      </c>
      <c r="FE42" s="4">
        <v>0.10199999999999999</v>
      </c>
      <c r="FF42" s="4">
        <v>0.13500000000000001</v>
      </c>
      <c r="FG42" s="4"/>
      <c r="FH42" s="4"/>
      <c r="FI42" s="4"/>
      <c r="FJ42" s="4"/>
      <c r="FK42" s="4"/>
      <c r="FL42" s="4"/>
    </row>
    <row r="43" spans="1:168" x14ac:dyDescent="0.3">
      <c r="A43" t="s">
        <v>197</v>
      </c>
      <c r="B43" s="4">
        <v>0.156</v>
      </c>
      <c r="C43" s="4">
        <v>0.16700000000000001</v>
      </c>
      <c r="D43" s="4">
        <v>0.155</v>
      </c>
      <c r="E43" s="8">
        <v>0.16700000000000001</v>
      </c>
      <c r="F43" s="8">
        <v>0.151</v>
      </c>
      <c r="G43" s="4">
        <v>0.14699999999999999</v>
      </c>
      <c r="H43" s="8">
        <v>0.126</v>
      </c>
      <c r="I43" s="4">
        <v>9.6000000000000002E-2</v>
      </c>
      <c r="J43" s="4">
        <v>0.16600000000000001</v>
      </c>
      <c r="K43" s="8">
        <v>8.6999999999999994E-2</v>
      </c>
      <c r="L43" s="4">
        <v>9.1999999999999998E-2</v>
      </c>
      <c r="M43" s="4">
        <v>9.1999999999999998E-2</v>
      </c>
      <c r="N43" s="4">
        <v>0.11</v>
      </c>
      <c r="O43" s="4">
        <v>6.7000000000000004E-2</v>
      </c>
      <c r="P43" s="4">
        <v>5.8000000000000003E-2</v>
      </c>
      <c r="Q43" s="4">
        <v>4.7E-2</v>
      </c>
      <c r="R43" s="4">
        <v>0.192</v>
      </c>
      <c r="S43" s="4">
        <v>0.111</v>
      </c>
      <c r="T43" s="4">
        <v>7.8E-2</v>
      </c>
      <c r="U43" s="4">
        <v>9.4E-2</v>
      </c>
      <c r="V43" s="8">
        <v>0.13600000000000001</v>
      </c>
      <c r="W43" s="4">
        <v>0.13700000000000001</v>
      </c>
      <c r="X43" s="4">
        <v>0.20100000000000001</v>
      </c>
      <c r="Y43" s="4">
        <v>0.12</v>
      </c>
      <c r="Z43" s="4">
        <v>0.13600000000000001</v>
      </c>
      <c r="AA43" s="8">
        <v>0.184</v>
      </c>
      <c r="AB43" s="4">
        <v>0.17499999999999999</v>
      </c>
      <c r="AC43" s="4">
        <v>0.17499999999999999</v>
      </c>
      <c r="AD43" s="4">
        <v>0.16500000000000001</v>
      </c>
      <c r="AE43" s="4">
        <v>0.19600000000000001</v>
      </c>
      <c r="AF43" s="8">
        <v>0.16700000000000001</v>
      </c>
      <c r="AG43" s="8">
        <v>5.6000000000000001E-2</v>
      </c>
      <c r="AH43" s="8">
        <v>6.7000000000000004E-2</v>
      </c>
      <c r="AI43" s="4">
        <v>3.7999999999999999E-2</v>
      </c>
      <c r="AJ43" s="4">
        <v>0.14499999999999999</v>
      </c>
      <c r="AK43" s="8">
        <v>0.157</v>
      </c>
      <c r="AL43" s="4">
        <v>0.14000000000000001</v>
      </c>
      <c r="AM43" s="4">
        <v>0.20799999999999999</v>
      </c>
      <c r="AN43" s="4">
        <v>0.14299999999999999</v>
      </c>
      <c r="AO43" s="4">
        <v>0.11</v>
      </c>
      <c r="AP43" s="4">
        <v>6.8000000000000005E-2</v>
      </c>
      <c r="AQ43" s="10">
        <v>0.08</v>
      </c>
      <c r="AR43" s="10">
        <v>6.2E-2</v>
      </c>
      <c r="AS43" s="10">
        <v>0.155</v>
      </c>
      <c r="AT43" s="10">
        <v>6.7000000000000004E-2</v>
      </c>
      <c r="AU43" s="10">
        <v>0.107</v>
      </c>
      <c r="AV43" s="8">
        <v>0.106</v>
      </c>
      <c r="AW43" s="8">
        <v>9.6000000000000002E-2</v>
      </c>
      <c r="AX43" s="10">
        <v>9.1999999999999998E-2</v>
      </c>
      <c r="AY43" s="8">
        <v>0.113</v>
      </c>
      <c r="AZ43" s="10">
        <v>0.114</v>
      </c>
      <c r="BA43" s="10">
        <v>6.7000000000000004E-2</v>
      </c>
      <c r="BB43" s="10">
        <v>7.5999999999999998E-2</v>
      </c>
      <c r="BC43" s="10">
        <v>0.14899999999999999</v>
      </c>
      <c r="BD43" s="10">
        <v>0.124</v>
      </c>
      <c r="BE43" s="8">
        <v>8.7999999999999995E-2</v>
      </c>
      <c r="BF43" s="10">
        <v>0.129</v>
      </c>
      <c r="BG43" s="10">
        <v>5.7000000000000002E-2</v>
      </c>
      <c r="BH43" s="10">
        <v>7.9000000000000001E-2</v>
      </c>
      <c r="BI43" s="10">
        <v>9.1999999999999998E-2</v>
      </c>
      <c r="BJ43" s="10">
        <v>0.125</v>
      </c>
      <c r="BK43" s="8">
        <v>0.126</v>
      </c>
      <c r="BL43" s="10">
        <v>0.16300000000000001</v>
      </c>
      <c r="BM43" s="8">
        <v>0.187</v>
      </c>
      <c r="BN43" s="10">
        <v>0.14799999999999999</v>
      </c>
      <c r="BO43" s="8">
        <v>0.156</v>
      </c>
      <c r="BP43" s="10">
        <v>0.11700000000000001</v>
      </c>
      <c r="BQ43" s="10">
        <v>0.129</v>
      </c>
      <c r="BR43" s="10">
        <v>0.14599999999999999</v>
      </c>
      <c r="BS43" s="10">
        <v>0.16500000000000001</v>
      </c>
      <c r="BT43" s="3">
        <v>9.6000000000000002E-2</v>
      </c>
      <c r="BU43" s="9">
        <v>9.9000000000000005E-2</v>
      </c>
      <c r="BV43" s="3">
        <v>0.111</v>
      </c>
      <c r="BW43" s="4">
        <v>6.6000000000000003E-2</v>
      </c>
      <c r="BX43" s="8">
        <v>0.09</v>
      </c>
      <c r="BY43" s="3">
        <v>8.5999999999999993E-2</v>
      </c>
      <c r="BZ43" s="8">
        <v>0.16600000000000001</v>
      </c>
      <c r="CA43" s="4">
        <v>0.14199999999999999</v>
      </c>
      <c r="CB43" s="4">
        <v>0.13500000000000001</v>
      </c>
      <c r="CC43" s="4">
        <v>0.16700000000000001</v>
      </c>
      <c r="CD43" s="4">
        <v>0.153</v>
      </c>
      <c r="CE43" s="8">
        <v>0.13700000000000001</v>
      </c>
      <c r="CF43" s="4">
        <v>0.14399999999999999</v>
      </c>
      <c r="CG43" s="4">
        <v>0.127</v>
      </c>
      <c r="CH43" s="4">
        <v>0.28299999999999997</v>
      </c>
      <c r="CI43" s="4">
        <v>0.193</v>
      </c>
      <c r="CJ43" s="4">
        <v>0.10199999999999999</v>
      </c>
      <c r="CK43" s="4">
        <v>0.154</v>
      </c>
      <c r="CL43" s="4">
        <v>0.17599999999999999</v>
      </c>
      <c r="CM43" s="8">
        <v>0.159</v>
      </c>
      <c r="CN43" s="4">
        <v>0.20399999999999999</v>
      </c>
      <c r="CO43" s="8">
        <v>0.16500000000000001</v>
      </c>
      <c r="CP43" s="4">
        <v>0.21099999999999999</v>
      </c>
      <c r="CQ43" s="4">
        <v>0.13400000000000001</v>
      </c>
      <c r="CR43" s="4">
        <v>0.20799999999999999</v>
      </c>
      <c r="CS43" s="8">
        <v>0.16700000000000001</v>
      </c>
      <c r="CT43" s="4">
        <v>0.221</v>
      </c>
      <c r="CU43" s="4">
        <v>0.188</v>
      </c>
      <c r="CV43" s="4">
        <v>0.128</v>
      </c>
      <c r="CW43" s="4">
        <v>0.11899999999999999</v>
      </c>
      <c r="CX43" s="4">
        <v>0.14799999999999999</v>
      </c>
      <c r="CY43" s="4">
        <v>9.6000000000000002E-2</v>
      </c>
      <c r="CZ43" s="4">
        <v>9.0999999999999998E-2</v>
      </c>
      <c r="DA43" s="4">
        <v>4.7E-2</v>
      </c>
      <c r="DB43" s="4">
        <v>0.127</v>
      </c>
      <c r="DC43" s="8">
        <v>0.11600000000000001</v>
      </c>
      <c r="DD43" s="4">
        <v>0.14199999999999999</v>
      </c>
      <c r="DE43" s="4">
        <v>0.107</v>
      </c>
      <c r="DF43" s="4">
        <v>0.129</v>
      </c>
      <c r="DG43" s="4">
        <v>0.14899999999999999</v>
      </c>
      <c r="DH43" s="4">
        <v>0.127</v>
      </c>
      <c r="DI43" s="4">
        <v>9.6000000000000002E-2</v>
      </c>
      <c r="DJ43" s="4">
        <v>7.5999999999999998E-2</v>
      </c>
      <c r="DK43" s="4">
        <v>8.5000000000000006E-2</v>
      </c>
      <c r="DL43" s="4">
        <v>0.1</v>
      </c>
      <c r="DM43" s="4">
        <v>9.1999999999999998E-2</v>
      </c>
      <c r="DN43" s="8">
        <v>9.0999999999999998E-2</v>
      </c>
      <c r="DO43" s="8">
        <v>8.5999999999999993E-2</v>
      </c>
      <c r="DP43" s="8">
        <v>5.5E-2</v>
      </c>
      <c r="DQ43" s="4">
        <v>0.10100000000000001</v>
      </c>
      <c r="DR43" s="10">
        <v>8.1000000000000003E-2</v>
      </c>
      <c r="DS43" s="4">
        <v>0.128</v>
      </c>
      <c r="DT43" s="4">
        <v>0.14000000000000001</v>
      </c>
      <c r="DU43" s="4">
        <v>0.13200000000000001</v>
      </c>
      <c r="DV43" s="4">
        <v>8.3000000000000004E-2</v>
      </c>
      <c r="DW43" s="4">
        <v>0.11</v>
      </c>
      <c r="DX43" s="4">
        <v>0.17599999999999999</v>
      </c>
      <c r="DY43" s="4">
        <v>0.14499999999999999</v>
      </c>
      <c r="DZ43" s="4">
        <v>0.10100000000000001</v>
      </c>
      <c r="EA43" s="4">
        <v>7.3999999999999996E-2</v>
      </c>
      <c r="EB43" s="4">
        <v>0.123</v>
      </c>
      <c r="EC43" s="8">
        <v>0.10299999999999999</v>
      </c>
      <c r="ED43" s="4">
        <v>0.114</v>
      </c>
      <c r="EE43" s="4">
        <v>0.128</v>
      </c>
      <c r="EF43" s="4">
        <v>0.184</v>
      </c>
      <c r="EG43" s="8">
        <v>0.161</v>
      </c>
      <c r="EH43" s="4">
        <v>7.5999999999999998E-2</v>
      </c>
      <c r="EI43" s="4">
        <v>7.9000000000000001E-2</v>
      </c>
      <c r="EJ43" s="4">
        <v>0.06</v>
      </c>
      <c r="EK43" s="4">
        <v>9.1999999999999998E-2</v>
      </c>
      <c r="EL43" s="4">
        <v>8.5999999999999993E-2</v>
      </c>
      <c r="EM43" s="8">
        <v>7.9000000000000001E-2</v>
      </c>
      <c r="EN43" s="4">
        <v>6.8000000000000005E-2</v>
      </c>
      <c r="EO43" s="4">
        <v>0.13200000000000001</v>
      </c>
      <c r="EP43" s="4">
        <v>0.1</v>
      </c>
      <c r="EQ43" s="4">
        <v>0.106</v>
      </c>
      <c r="ER43" s="8">
        <v>9.7000000000000003E-2</v>
      </c>
      <c r="ES43" s="8">
        <v>0.14599999999999999</v>
      </c>
      <c r="ET43" s="4">
        <v>0.14399999999999999</v>
      </c>
      <c r="EU43" s="4">
        <v>0.04</v>
      </c>
      <c r="EV43" s="4">
        <v>6.2E-2</v>
      </c>
      <c r="EW43" s="4">
        <v>7.8E-2</v>
      </c>
      <c r="EX43" s="8">
        <v>5.3999999999999999E-2</v>
      </c>
      <c r="EY43" s="8">
        <v>3.5000000000000003E-2</v>
      </c>
      <c r="EZ43" s="4">
        <v>8.4000000000000005E-2</v>
      </c>
      <c r="FA43" s="8">
        <v>8.5999999999999993E-2</v>
      </c>
      <c r="FB43" s="4">
        <v>8.7999999999999995E-2</v>
      </c>
      <c r="FC43" s="4">
        <v>0.13300000000000001</v>
      </c>
      <c r="FD43" s="4">
        <v>8.5000000000000006E-2</v>
      </c>
      <c r="FE43" s="4">
        <v>9.4E-2</v>
      </c>
      <c r="FF43" s="4">
        <v>0.14000000000000001</v>
      </c>
      <c r="FG43" s="4"/>
      <c r="FH43" s="4"/>
      <c r="FI43" s="4"/>
      <c r="FJ43" s="4"/>
      <c r="FK43" s="4"/>
      <c r="FL43" s="4"/>
    </row>
    <row r="44" spans="1:168" x14ac:dyDescent="0.3">
      <c r="A44" t="s">
        <v>198</v>
      </c>
      <c r="B44" s="4">
        <v>0.105</v>
      </c>
      <c r="C44" s="4">
        <v>0.14899999999999999</v>
      </c>
      <c r="D44" s="4">
        <v>0.156</v>
      </c>
      <c r="E44" s="4">
        <v>0.123</v>
      </c>
      <c r="F44" s="4">
        <v>0.128</v>
      </c>
      <c r="G44" s="4">
        <v>0.11700000000000001</v>
      </c>
      <c r="H44" s="4">
        <v>3.4000000000000002E-2</v>
      </c>
      <c r="I44" s="4">
        <v>0.186</v>
      </c>
      <c r="J44" s="4">
        <v>0.151</v>
      </c>
      <c r="K44" s="4">
        <v>0.313</v>
      </c>
      <c r="L44" s="4">
        <v>0.36</v>
      </c>
      <c r="M44" s="4">
        <v>0.114</v>
      </c>
      <c r="N44" s="4">
        <v>0.42</v>
      </c>
      <c r="O44" s="4">
        <v>0.21</v>
      </c>
      <c r="P44" s="4">
        <v>0.4</v>
      </c>
      <c r="Q44" s="4">
        <v>0.57099999999999995</v>
      </c>
      <c r="R44" s="4">
        <v>0.156</v>
      </c>
      <c r="S44" s="4">
        <v>0.23699999999999999</v>
      </c>
      <c r="T44" s="4">
        <v>0.19</v>
      </c>
      <c r="U44" s="4">
        <v>0.307</v>
      </c>
      <c r="V44" s="4">
        <v>0.04</v>
      </c>
      <c r="W44" s="4">
        <v>0.11700000000000001</v>
      </c>
      <c r="X44" s="4">
        <v>0.25900000000000001</v>
      </c>
      <c r="Y44" s="4">
        <v>0.10199999999999999</v>
      </c>
      <c r="Z44" s="4">
        <v>0.17899999999999999</v>
      </c>
      <c r="AA44" s="4">
        <v>5.6000000000000001E-2</v>
      </c>
      <c r="AB44" s="4">
        <v>0.27400000000000002</v>
      </c>
      <c r="AC44" s="4">
        <v>0.18099999999999999</v>
      </c>
      <c r="AD44" s="4">
        <v>0.26100000000000001</v>
      </c>
      <c r="AE44" s="4">
        <v>3.9E-2</v>
      </c>
      <c r="AF44" s="4">
        <v>7.8E-2</v>
      </c>
      <c r="AG44" s="4">
        <v>0.51500000000000001</v>
      </c>
      <c r="AH44" s="4">
        <v>0.42799999999999999</v>
      </c>
      <c r="AI44" s="4">
        <v>0.61699999999999999</v>
      </c>
      <c r="AJ44" s="4">
        <v>8.5000000000000006E-2</v>
      </c>
      <c r="AK44" s="4">
        <v>6.8000000000000005E-2</v>
      </c>
      <c r="AL44" s="4">
        <v>7.3999999999999996E-2</v>
      </c>
      <c r="AM44" s="4">
        <v>0.36</v>
      </c>
      <c r="AN44" s="4">
        <v>0.33400000000000002</v>
      </c>
      <c r="AO44" s="4">
        <v>0.439</v>
      </c>
      <c r="AP44" s="4">
        <v>0.40699999999999997</v>
      </c>
      <c r="AQ44" s="10">
        <v>0.33700000000000002</v>
      </c>
      <c r="AR44" s="10">
        <v>0.29899999999999999</v>
      </c>
      <c r="AS44" s="10">
        <v>9.6000000000000002E-2</v>
      </c>
      <c r="AT44" s="10">
        <v>0.41499999999999998</v>
      </c>
      <c r="AU44" s="10">
        <v>0.22600000000000001</v>
      </c>
      <c r="AV44" s="10">
        <v>0.24199999999999999</v>
      </c>
      <c r="AW44" s="10">
        <v>0.19500000000000001</v>
      </c>
      <c r="AX44" s="10">
        <v>0.17399999999999999</v>
      </c>
      <c r="AY44" s="10">
        <v>0.27200000000000002</v>
      </c>
      <c r="AZ44" s="10">
        <v>0.35699999999999998</v>
      </c>
      <c r="BA44" s="10">
        <v>0.57099999999999995</v>
      </c>
      <c r="BB44" s="10">
        <v>0.46400000000000002</v>
      </c>
      <c r="BC44" s="10">
        <v>0.11700000000000001</v>
      </c>
      <c r="BD44" s="10">
        <v>3.4000000000000002E-2</v>
      </c>
      <c r="BE44" s="10">
        <v>0.501</v>
      </c>
      <c r="BF44" s="10">
        <v>7.8E-2</v>
      </c>
      <c r="BG44" s="10">
        <v>0.51900000000000002</v>
      </c>
      <c r="BH44" s="10">
        <v>0.188</v>
      </c>
      <c r="BI44" s="10">
        <v>0.36099999999999999</v>
      </c>
      <c r="BJ44" s="10">
        <v>0.6</v>
      </c>
      <c r="BK44" s="10">
        <v>0.16700000000000001</v>
      </c>
      <c r="BL44" s="10">
        <v>0.33700000000000002</v>
      </c>
      <c r="BM44" s="10">
        <v>0.38200000000000001</v>
      </c>
      <c r="BN44" s="10">
        <v>0.13</v>
      </c>
      <c r="BO44" s="4">
        <v>4.8000000000000001E-2</v>
      </c>
      <c r="BP44" s="10">
        <v>0.127</v>
      </c>
      <c r="BQ44" s="10">
        <v>0.26300000000000001</v>
      </c>
      <c r="BR44" s="10">
        <v>0.224</v>
      </c>
      <c r="BS44" s="10">
        <v>0.187</v>
      </c>
      <c r="BT44" s="3">
        <v>0.33300000000000002</v>
      </c>
      <c r="BU44" s="7">
        <v>0.33600000000000002</v>
      </c>
      <c r="BV44" s="3">
        <v>0.628</v>
      </c>
      <c r="BW44" s="4">
        <v>0.25800000000000001</v>
      </c>
      <c r="BX44" s="4">
        <v>0.23699999999999999</v>
      </c>
      <c r="BY44" s="3">
        <v>0.317</v>
      </c>
      <c r="BZ44" s="4">
        <v>0.14099999999999999</v>
      </c>
      <c r="CA44" s="4">
        <v>8.5999999999999993E-2</v>
      </c>
      <c r="CB44" s="4">
        <v>7.0999999999999994E-2</v>
      </c>
      <c r="CC44" s="4">
        <v>0.11700000000000001</v>
      </c>
      <c r="CD44" s="4">
        <v>0.14599999999999999</v>
      </c>
      <c r="CE44" s="4">
        <v>0.17499999999999999</v>
      </c>
      <c r="CF44" s="4">
        <v>9.2999999999999999E-2</v>
      </c>
      <c r="CG44" s="4">
        <v>0.10299999999999999</v>
      </c>
      <c r="CH44" s="4">
        <v>0.156</v>
      </c>
      <c r="CI44" s="4">
        <v>0.129</v>
      </c>
      <c r="CJ44" s="4">
        <v>2.7E-2</v>
      </c>
      <c r="CK44" s="4">
        <v>0.17100000000000001</v>
      </c>
      <c r="CL44" s="4">
        <v>0.21</v>
      </c>
      <c r="CM44" s="4">
        <v>0.151</v>
      </c>
      <c r="CN44" s="4">
        <v>0.246</v>
      </c>
      <c r="CO44" s="4">
        <v>0.14099999999999999</v>
      </c>
      <c r="CP44" s="4">
        <v>0.192</v>
      </c>
      <c r="CQ44" s="4">
        <v>0.20599999999999999</v>
      </c>
      <c r="CR44" s="4">
        <v>0.252</v>
      </c>
      <c r="CS44" s="4">
        <v>0.26200000000000001</v>
      </c>
      <c r="CT44" s="4">
        <v>0.18</v>
      </c>
      <c r="CU44" s="4">
        <v>0.20300000000000001</v>
      </c>
      <c r="CV44" s="4">
        <v>0.23</v>
      </c>
      <c r="CW44" s="4">
        <v>7.3999999999999996E-2</v>
      </c>
      <c r="CX44" s="4">
        <v>0.23200000000000001</v>
      </c>
      <c r="CY44" s="4">
        <v>0.43</v>
      </c>
      <c r="CZ44" s="4">
        <v>0.432</v>
      </c>
      <c r="DA44" s="4">
        <v>0.49</v>
      </c>
      <c r="DB44" s="4">
        <v>0.41899999999999998</v>
      </c>
      <c r="DC44" s="4">
        <v>0.20200000000000001</v>
      </c>
      <c r="DD44" s="4">
        <v>0.17399999999999999</v>
      </c>
      <c r="DE44" s="4">
        <v>0.23300000000000001</v>
      </c>
      <c r="DF44" s="4">
        <v>0.14199999999999999</v>
      </c>
      <c r="DG44" s="4">
        <v>0.124</v>
      </c>
      <c r="DH44" s="4">
        <v>3.3000000000000002E-2</v>
      </c>
      <c r="DI44" s="4">
        <v>0.34899999999999998</v>
      </c>
      <c r="DJ44" s="4">
        <v>0.36599999999999999</v>
      </c>
      <c r="DK44" s="4">
        <v>0.40400000000000003</v>
      </c>
      <c r="DL44" s="4">
        <v>0.245</v>
      </c>
      <c r="DM44" s="4">
        <v>0.28899999999999998</v>
      </c>
      <c r="DN44" s="4">
        <v>0.48799999999999999</v>
      </c>
      <c r="DO44" s="4">
        <v>0.60099999999999998</v>
      </c>
      <c r="DP44" s="10">
        <v>0.49199999999999999</v>
      </c>
      <c r="DQ44" s="4">
        <v>0.67</v>
      </c>
      <c r="DR44" s="10">
        <v>0.65800000000000003</v>
      </c>
      <c r="DS44" s="4">
        <v>0.433</v>
      </c>
      <c r="DT44" s="4">
        <v>0.36899999999999999</v>
      </c>
      <c r="DU44" s="4">
        <v>0.153</v>
      </c>
      <c r="DV44" s="4">
        <v>0.438</v>
      </c>
      <c r="DW44" s="4">
        <v>0.42799999999999999</v>
      </c>
      <c r="DX44" s="4">
        <v>0.56599999999999995</v>
      </c>
      <c r="DY44" s="4">
        <v>0.54600000000000004</v>
      </c>
      <c r="DZ44" s="4">
        <v>0.627</v>
      </c>
      <c r="EA44" s="4">
        <v>0.57599999999999996</v>
      </c>
      <c r="EB44" s="4">
        <v>0.42899999999999999</v>
      </c>
      <c r="EC44" s="10">
        <v>0.41299999999999998</v>
      </c>
      <c r="ED44" s="4">
        <v>0.59699999999999998</v>
      </c>
      <c r="EE44" s="4">
        <v>0.55700000000000005</v>
      </c>
      <c r="EF44" s="4">
        <v>0.33500000000000002</v>
      </c>
      <c r="EG44" s="4">
        <v>0.40799999999999997</v>
      </c>
      <c r="EH44" s="4">
        <v>0.28899999999999998</v>
      </c>
      <c r="EI44" s="4">
        <v>0.25800000000000001</v>
      </c>
      <c r="EJ44" s="4">
        <v>0.26800000000000002</v>
      </c>
      <c r="EK44" s="4">
        <v>0.19500000000000001</v>
      </c>
      <c r="EL44" s="4">
        <v>0.30299999999999999</v>
      </c>
      <c r="EM44" s="4">
        <v>0.29599999999999999</v>
      </c>
      <c r="EN44" s="4">
        <v>0.26300000000000001</v>
      </c>
      <c r="EO44" s="4">
        <v>0.314</v>
      </c>
      <c r="EP44" s="4">
        <v>0.34</v>
      </c>
      <c r="EQ44" s="4">
        <v>0.35699999999999998</v>
      </c>
      <c r="ER44" s="4">
        <v>0.44900000000000001</v>
      </c>
      <c r="ES44" s="4">
        <v>0.246</v>
      </c>
      <c r="ET44" s="4">
        <v>0.20799999999999999</v>
      </c>
      <c r="EU44" s="4">
        <v>0.65400000000000003</v>
      </c>
      <c r="EV44" s="4">
        <v>0.46300000000000002</v>
      </c>
      <c r="EW44" s="4">
        <v>0.36899999999999999</v>
      </c>
      <c r="EX44" s="4">
        <v>0.62</v>
      </c>
      <c r="EY44" s="4">
        <v>0.70099999999999996</v>
      </c>
      <c r="EZ44" s="4">
        <v>0.27700000000000002</v>
      </c>
      <c r="FA44" s="4">
        <v>0.32700000000000001</v>
      </c>
      <c r="FB44" s="4">
        <v>0.215</v>
      </c>
      <c r="FC44" s="4">
        <v>0.14599999999999999</v>
      </c>
      <c r="FD44" s="4">
        <v>0.26400000000000001</v>
      </c>
      <c r="FE44" s="4">
        <v>0.20100000000000001</v>
      </c>
      <c r="FF44" s="4">
        <v>0.17199999999999999</v>
      </c>
      <c r="FG44" s="4"/>
      <c r="FH44" s="4"/>
      <c r="FI44" s="4"/>
      <c r="FJ44" s="4"/>
      <c r="FK44" s="4"/>
      <c r="FL44" s="4"/>
    </row>
    <row r="45" spans="1:168" x14ac:dyDescent="0.3">
      <c r="A45" t="s">
        <v>201</v>
      </c>
      <c r="B45" s="4">
        <v>0.22800000000000001</v>
      </c>
      <c r="C45" s="4">
        <v>0.3</v>
      </c>
      <c r="D45" s="4">
        <v>0.27200000000000002</v>
      </c>
      <c r="E45" s="4">
        <v>0.27</v>
      </c>
      <c r="F45" s="4">
        <v>0.26400000000000001</v>
      </c>
      <c r="G45" s="4">
        <v>0.26</v>
      </c>
      <c r="H45" s="4">
        <v>0.16700000000000001</v>
      </c>
      <c r="I45" s="4">
        <v>0.56999999999999995</v>
      </c>
      <c r="J45" s="4">
        <v>0.29099999999999998</v>
      </c>
      <c r="K45" s="4">
        <v>0.79700000000000004</v>
      </c>
      <c r="L45" s="4">
        <v>0.74099999999999999</v>
      </c>
      <c r="M45" s="4">
        <v>0.67500000000000004</v>
      </c>
      <c r="N45" s="4">
        <v>0.81100000000000005</v>
      </c>
      <c r="O45" s="4">
        <v>0.71</v>
      </c>
      <c r="P45" s="4">
        <v>0.88700000000000001</v>
      </c>
      <c r="Q45" s="4">
        <v>0.89100000000000001</v>
      </c>
      <c r="R45" s="4">
        <v>0.20100000000000001</v>
      </c>
      <c r="S45" s="4">
        <v>0.58599999999999997</v>
      </c>
      <c r="T45" s="4">
        <v>0.755</v>
      </c>
      <c r="U45" s="4">
        <v>0.66900000000000004</v>
      </c>
      <c r="V45" s="4">
        <v>0.26200000000000001</v>
      </c>
      <c r="W45" s="4">
        <v>0.41699999999999998</v>
      </c>
      <c r="X45" s="4">
        <v>0.47299999999999998</v>
      </c>
      <c r="Y45" s="4">
        <v>0.45300000000000001</v>
      </c>
      <c r="Z45" s="4">
        <v>0.44800000000000001</v>
      </c>
      <c r="AA45" s="4">
        <v>0.36899999999999999</v>
      </c>
      <c r="AB45" s="4">
        <v>0.307</v>
      </c>
      <c r="AC45" s="4">
        <v>0.40100000000000002</v>
      </c>
      <c r="AD45" s="4">
        <v>0.503</v>
      </c>
      <c r="AE45" s="4">
        <v>0.26900000000000002</v>
      </c>
      <c r="AF45" s="4">
        <v>0.1</v>
      </c>
      <c r="AG45" s="4">
        <v>0.84299999999999997</v>
      </c>
      <c r="AH45" s="4">
        <v>0.81899999999999995</v>
      </c>
      <c r="AI45" s="4">
        <v>0.88800000000000001</v>
      </c>
      <c r="AJ45" s="4">
        <v>0.38900000000000001</v>
      </c>
      <c r="AK45" s="4">
        <v>0.35899999999999999</v>
      </c>
      <c r="AL45" s="4">
        <v>0.32900000000000001</v>
      </c>
      <c r="AM45" s="4">
        <v>0.39300000000000002</v>
      </c>
      <c r="AN45" s="4">
        <v>0.54100000000000004</v>
      </c>
      <c r="AO45" s="4">
        <v>0.69</v>
      </c>
      <c r="AP45" s="4">
        <v>0.92700000000000005</v>
      </c>
      <c r="AQ45" s="10">
        <v>0.82199999999999995</v>
      </c>
      <c r="AR45" s="10">
        <v>0.873</v>
      </c>
      <c r="AS45" s="10">
        <v>0.629</v>
      </c>
      <c r="AT45" s="10">
        <v>0.83199999999999996</v>
      </c>
      <c r="AU45" s="10">
        <v>0.55500000000000005</v>
      </c>
      <c r="AV45" s="10">
        <v>0.57199999999999995</v>
      </c>
      <c r="AW45" s="10">
        <v>0.65200000000000002</v>
      </c>
      <c r="AX45" s="10">
        <v>0.59399999999999997</v>
      </c>
      <c r="AY45" s="10">
        <v>0.60299999999999998</v>
      </c>
      <c r="AZ45" s="10">
        <v>0.626</v>
      </c>
      <c r="BA45" s="10">
        <v>0.82399999999999995</v>
      </c>
      <c r="BB45" s="10">
        <v>0.77400000000000002</v>
      </c>
      <c r="BC45" s="10">
        <v>0.318</v>
      </c>
      <c r="BD45" s="10">
        <v>0.24199999999999999</v>
      </c>
      <c r="BE45" s="10">
        <v>0.80300000000000005</v>
      </c>
      <c r="BF45" s="10">
        <v>0.255</v>
      </c>
      <c r="BG45" s="10">
        <v>0.93899999999999995</v>
      </c>
      <c r="BH45" s="10">
        <v>0.54</v>
      </c>
      <c r="BI45" s="10">
        <v>0.85</v>
      </c>
      <c r="BJ45" s="10">
        <v>0.25</v>
      </c>
      <c r="BK45" s="10">
        <v>0.48499999999999999</v>
      </c>
      <c r="BL45" s="10">
        <v>0.47599999999999998</v>
      </c>
      <c r="BM45" s="10">
        <v>0.19900000000000001</v>
      </c>
      <c r="BN45" s="10">
        <v>0.33100000000000002</v>
      </c>
      <c r="BO45" s="4">
        <v>0.184</v>
      </c>
      <c r="BP45" s="10">
        <v>0.38500000000000001</v>
      </c>
      <c r="BQ45" s="10">
        <v>0.49099999999999999</v>
      </c>
      <c r="BR45" s="10">
        <v>0.42599999999999999</v>
      </c>
      <c r="BS45" s="10">
        <v>0.36099999999999999</v>
      </c>
      <c r="BT45" s="3">
        <v>0.70499999999999996</v>
      </c>
      <c r="BU45" s="7">
        <v>0.81899999999999995</v>
      </c>
      <c r="BV45" s="3">
        <v>0.874</v>
      </c>
      <c r="BW45" s="4">
        <v>0.85799999999999998</v>
      </c>
      <c r="BX45" s="4">
        <v>0.86199999999999999</v>
      </c>
      <c r="BY45" s="3">
        <v>0.78600000000000003</v>
      </c>
      <c r="BZ45" s="4">
        <v>0.254</v>
      </c>
      <c r="CA45" s="4">
        <v>0.35299999999999998</v>
      </c>
      <c r="CB45" s="4">
        <v>0.317</v>
      </c>
      <c r="CC45" s="4">
        <v>0.32200000000000001</v>
      </c>
      <c r="CD45" s="4">
        <v>0.313</v>
      </c>
      <c r="CE45" s="4">
        <v>0.41599999999999998</v>
      </c>
      <c r="CF45" s="4">
        <v>0.34899999999999998</v>
      </c>
      <c r="CG45" s="4">
        <v>0.42899999999999999</v>
      </c>
      <c r="CH45" s="4">
        <v>0.315</v>
      </c>
      <c r="CI45" s="4">
        <v>0.35499999999999998</v>
      </c>
      <c r="CJ45" s="4">
        <v>0.38600000000000001</v>
      </c>
      <c r="CK45" s="4">
        <v>0.37</v>
      </c>
      <c r="CL45" s="4">
        <v>0.35099999999999998</v>
      </c>
      <c r="CM45" s="4">
        <v>0.34</v>
      </c>
      <c r="CN45" s="4">
        <v>0.36399999999999999</v>
      </c>
      <c r="CO45" s="4">
        <v>0.42399999999999999</v>
      </c>
      <c r="CP45" s="4">
        <v>0.26300000000000001</v>
      </c>
      <c r="CQ45" s="4">
        <v>0.46100000000000002</v>
      </c>
      <c r="CR45" s="4">
        <v>0.39900000000000002</v>
      </c>
      <c r="CS45" s="4">
        <v>0.31900000000000001</v>
      </c>
      <c r="CT45" s="4">
        <v>0.28199999999999997</v>
      </c>
      <c r="CU45" s="4">
        <v>0.41099999999999998</v>
      </c>
      <c r="CV45" s="4">
        <v>0.51900000000000002</v>
      </c>
      <c r="CW45" s="4">
        <v>0.441</v>
      </c>
      <c r="CX45" s="4">
        <v>0.435</v>
      </c>
      <c r="CY45" s="4">
        <v>0.81100000000000005</v>
      </c>
      <c r="CZ45" s="4">
        <v>0.77500000000000002</v>
      </c>
      <c r="DA45" s="4">
        <v>0.91300000000000003</v>
      </c>
      <c r="DB45" s="4">
        <v>0.65</v>
      </c>
      <c r="DC45" s="4">
        <v>0.53400000000000003</v>
      </c>
      <c r="DD45" s="4">
        <v>0.49399999999999999</v>
      </c>
      <c r="DE45" s="4">
        <v>0.45900000000000002</v>
      </c>
      <c r="DF45" s="4">
        <v>0.46800000000000003</v>
      </c>
      <c r="DG45" s="4">
        <v>0.55200000000000005</v>
      </c>
      <c r="DH45" s="4">
        <v>0.55700000000000005</v>
      </c>
      <c r="DI45" s="4">
        <v>0.67200000000000004</v>
      </c>
      <c r="DJ45" s="4">
        <v>0.78600000000000003</v>
      </c>
      <c r="DK45" s="4">
        <v>0.72799999999999998</v>
      </c>
      <c r="DL45" s="4">
        <v>0.72199999999999998</v>
      </c>
      <c r="DM45" s="4">
        <v>0.79300000000000004</v>
      </c>
      <c r="DN45" s="4">
        <v>0.60599999999999998</v>
      </c>
      <c r="DO45" s="4">
        <v>0.79700000000000004</v>
      </c>
      <c r="DP45" s="10">
        <v>0.81599999999999995</v>
      </c>
      <c r="DQ45" s="4">
        <v>0.84099999999999997</v>
      </c>
      <c r="DR45" s="10">
        <v>0.80600000000000005</v>
      </c>
      <c r="DS45" s="4">
        <v>0.67400000000000004</v>
      </c>
      <c r="DT45" s="4">
        <v>0.65500000000000003</v>
      </c>
      <c r="DU45" s="4">
        <v>0.44</v>
      </c>
      <c r="DV45" s="4">
        <v>0.86399999999999999</v>
      </c>
      <c r="DW45" s="4">
        <v>0.67100000000000004</v>
      </c>
      <c r="DX45" s="4">
        <v>0.63500000000000001</v>
      </c>
      <c r="DY45" s="4">
        <v>0.45300000000000001</v>
      </c>
      <c r="DZ45" s="4">
        <v>0.67900000000000005</v>
      </c>
      <c r="EA45" s="4">
        <v>0.77700000000000002</v>
      </c>
      <c r="EB45" s="4">
        <v>0.57199999999999995</v>
      </c>
      <c r="EC45" s="4">
        <v>0.58099999999999996</v>
      </c>
      <c r="ED45" s="4">
        <v>0.67800000000000005</v>
      </c>
      <c r="EE45" s="4">
        <v>0.61</v>
      </c>
      <c r="EF45" s="4">
        <v>0.45</v>
      </c>
      <c r="EG45" s="4">
        <v>0.52300000000000002</v>
      </c>
      <c r="EH45" s="4">
        <v>0.76400000000000001</v>
      </c>
      <c r="EI45" s="4">
        <v>0.72899999999999998</v>
      </c>
      <c r="EJ45" s="4">
        <v>0.80500000000000005</v>
      </c>
      <c r="EK45" s="4">
        <v>0.64600000000000002</v>
      </c>
      <c r="EL45" s="4">
        <v>0.72199999999999998</v>
      </c>
      <c r="EM45" s="4">
        <v>0.73599999999999999</v>
      </c>
      <c r="EN45" s="4">
        <v>0.79600000000000004</v>
      </c>
      <c r="EO45" s="4">
        <v>0.54800000000000004</v>
      </c>
      <c r="EP45" s="4">
        <v>0.66400000000000003</v>
      </c>
      <c r="EQ45" s="4">
        <v>0.60099999999999998</v>
      </c>
      <c r="ER45" s="4">
        <v>0.70899999999999996</v>
      </c>
      <c r="ES45" s="4">
        <v>0.373</v>
      </c>
      <c r="ET45" s="4">
        <v>0.59599999999999997</v>
      </c>
      <c r="EU45" s="4">
        <v>0.877</v>
      </c>
      <c r="EV45" s="4">
        <v>0.80100000000000005</v>
      </c>
      <c r="EW45" s="4">
        <v>0.77</v>
      </c>
      <c r="EX45" s="4">
        <v>0.78100000000000003</v>
      </c>
      <c r="EY45" s="4">
        <v>0.84299999999999997</v>
      </c>
      <c r="EZ45" s="4">
        <v>0.73199999999999998</v>
      </c>
      <c r="FA45" s="4">
        <v>0.70699999999999996</v>
      </c>
      <c r="FB45" s="4">
        <v>0.70899999999999996</v>
      </c>
      <c r="FC45" s="4">
        <v>0.35699999999999998</v>
      </c>
      <c r="FD45" s="4">
        <v>0.65300000000000002</v>
      </c>
      <c r="FE45" s="4">
        <v>0.58199999999999996</v>
      </c>
      <c r="FF45" s="4">
        <v>0.124</v>
      </c>
      <c r="FG45" s="4"/>
      <c r="FH45" s="4"/>
      <c r="FI45" s="4"/>
      <c r="FJ45" s="4"/>
      <c r="FK45" s="4"/>
      <c r="FL45" s="4"/>
    </row>
    <row r="46" spans="1:168" x14ac:dyDescent="0.3">
      <c r="A46" t="s">
        <v>199</v>
      </c>
      <c r="B46" s="4">
        <v>9.5000000000000001E-2</v>
      </c>
      <c r="C46" s="4">
        <v>0.105</v>
      </c>
      <c r="D46" s="4">
        <v>0.10299999999999999</v>
      </c>
      <c r="E46" s="4">
        <v>0.105</v>
      </c>
      <c r="F46" s="4">
        <v>9.5000000000000001E-2</v>
      </c>
      <c r="G46" s="4">
        <v>9.5000000000000001E-2</v>
      </c>
      <c r="H46" s="4">
        <v>7.1999999999999995E-2</v>
      </c>
      <c r="I46" s="4">
        <v>7.4999999999999997E-2</v>
      </c>
      <c r="J46" s="4">
        <v>0.113</v>
      </c>
      <c r="K46" s="4">
        <v>7.2999999999999995E-2</v>
      </c>
      <c r="L46" s="4">
        <v>0.105</v>
      </c>
      <c r="M46" s="4">
        <v>7.8E-2</v>
      </c>
      <c r="N46" s="4">
        <v>8.1000000000000003E-2</v>
      </c>
      <c r="O46" s="4">
        <v>7.2999999999999995E-2</v>
      </c>
      <c r="P46" s="4">
        <v>0.06</v>
      </c>
      <c r="Q46" s="4">
        <v>7.5999999999999998E-2</v>
      </c>
      <c r="R46" s="4">
        <v>0.14299999999999999</v>
      </c>
      <c r="S46" s="4">
        <v>8.5999999999999993E-2</v>
      </c>
      <c r="T46" s="4">
        <v>0.06</v>
      </c>
      <c r="U46" s="4">
        <v>8.4000000000000005E-2</v>
      </c>
      <c r="V46" s="4">
        <v>8.4000000000000005E-2</v>
      </c>
      <c r="W46" s="4">
        <v>9.8000000000000004E-2</v>
      </c>
      <c r="X46" s="4">
        <v>0.152</v>
      </c>
      <c r="Y46" s="4">
        <v>0.10299999999999999</v>
      </c>
      <c r="Z46" s="4">
        <v>9.5000000000000001E-2</v>
      </c>
      <c r="AA46" s="4">
        <v>0.125</v>
      </c>
      <c r="AB46" s="4">
        <v>0.11700000000000001</v>
      </c>
      <c r="AC46" s="4">
        <v>0.127</v>
      </c>
      <c r="AD46" s="4">
        <v>0.115</v>
      </c>
      <c r="AE46" s="4">
        <v>0.129</v>
      </c>
      <c r="AF46" s="4">
        <v>0.16200000000000001</v>
      </c>
      <c r="AG46" s="4">
        <v>8.5999999999999993E-2</v>
      </c>
      <c r="AH46" s="4">
        <v>8.8999999999999996E-2</v>
      </c>
      <c r="AI46" s="4">
        <v>5.8000000000000003E-2</v>
      </c>
      <c r="AJ46" s="4">
        <v>8.2000000000000003E-2</v>
      </c>
      <c r="AK46" s="4">
        <v>8.7999999999999995E-2</v>
      </c>
      <c r="AL46" s="4">
        <v>8.5999999999999993E-2</v>
      </c>
      <c r="AM46" s="4">
        <v>0.14499999999999999</v>
      </c>
      <c r="AN46" s="4">
        <v>0.11700000000000001</v>
      </c>
      <c r="AO46" s="4">
        <v>0.11</v>
      </c>
      <c r="AP46" s="4">
        <v>0.05</v>
      </c>
      <c r="AQ46" s="10">
        <v>7.0000000000000007E-2</v>
      </c>
      <c r="AR46" s="10">
        <v>4.4999999999999998E-2</v>
      </c>
      <c r="AS46" s="10">
        <v>0.107</v>
      </c>
      <c r="AT46" s="10">
        <v>8.2000000000000003E-2</v>
      </c>
      <c r="AU46" s="10">
        <v>0.125</v>
      </c>
      <c r="AV46" s="10">
        <v>0.09</v>
      </c>
      <c r="AW46" s="10">
        <v>7.0000000000000007E-2</v>
      </c>
      <c r="AX46" s="10">
        <v>8.7999999999999995E-2</v>
      </c>
      <c r="AY46" s="10">
        <v>9.6000000000000002E-2</v>
      </c>
      <c r="AZ46" s="10">
        <v>9.7000000000000003E-2</v>
      </c>
      <c r="BA46" s="10">
        <v>0.151</v>
      </c>
      <c r="BB46" s="10">
        <v>0.127</v>
      </c>
      <c r="BC46" s="10">
        <v>0.16500000000000001</v>
      </c>
      <c r="BD46" s="10">
        <v>0.13700000000000001</v>
      </c>
      <c r="BE46" s="10">
        <v>0.113</v>
      </c>
      <c r="BF46" s="10">
        <v>7.8E-2</v>
      </c>
      <c r="BG46" s="10">
        <v>0.112</v>
      </c>
      <c r="BH46" s="10">
        <v>6.4000000000000001E-2</v>
      </c>
      <c r="BI46" s="10">
        <v>0.114</v>
      </c>
      <c r="BJ46" s="10">
        <v>9.1999999999999998E-2</v>
      </c>
      <c r="BK46" s="10">
        <v>0.08</v>
      </c>
      <c r="BL46" s="10">
        <v>0.19</v>
      </c>
      <c r="BM46" s="10">
        <v>0.11600000000000001</v>
      </c>
      <c r="BN46" s="10">
        <v>9.5000000000000001E-2</v>
      </c>
      <c r="BO46" s="4">
        <v>0.08</v>
      </c>
      <c r="BP46" s="10">
        <v>8.5000000000000006E-2</v>
      </c>
      <c r="BQ46" s="10">
        <v>0.11799999999999999</v>
      </c>
      <c r="BR46" s="10">
        <v>0.111</v>
      </c>
      <c r="BS46" s="10">
        <v>0.123</v>
      </c>
      <c r="BT46" s="3">
        <v>0.1</v>
      </c>
      <c r="BU46" s="7">
        <v>8.4000000000000005E-2</v>
      </c>
      <c r="BV46" s="3">
        <v>8.2000000000000003E-2</v>
      </c>
      <c r="BW46" s="4">
        <v>6.5000000000000002E-2</v>
      </c>
      <c r="BX46" s="4">
        <v>6.7000000000000004E-2</v>
      </c>
      <c r="BY46" s="3">
        <v>8.1000000000000003E-2</v>
      </c>
      <c r="BZ46" s="4">
        <v>0.114</v>
      </c>
      <c r="CA46" s="4">
        <v>9.2999999999999999E-2</v>
      </c>
      <c r="CB46" s="4">
        <v>9.4E-2</v>
      </c>
      <c r="CC46" s="4">
        <v>0.112</v>
      </c>
      <c r="CD46" s="4">
        <v>0.104</v>
      </c>
      <c r="CE46" s="4">
        <v>0.1</v>
      </c>
      <c r="CF46" s="4">
        <v>9.0999999999999998E-2</v>
      </c>
      <c r="CG46" s="4">
        <v>8.2000000000000003E-2</v>
      </c>
      <c r="CH46" s="4">
        <v>0.122</v>
      </c>
      <c r="CI46" s="4">
        <v>0.11799999999999999</v>
      </c>
      <c r="CJ46" s="4">
        <v>7.4999999999999997E-2</v>
      </c>
      <c r="CK46" s="4">
        <v>0.108</v>
      </c>
      <c r="CL46" s="4">
        <v>0.11600000000000001</v>
      </c>
      <c r="CM46" s="4">
        <v>0.105</v>
      </c>
      <c r="CN46" s="4">
        <v>0.13100000000000001</v>
      </c>
      <c r="CO46" s="4">
        <v>9.4E-2</v>
      </c>
      <c r="CP46" s="4">
        <v>0.159</v>
      </c>
      <c r="CQ46" s="4">
        <v>0.107</v>
      </c>
      <c r="CR46" s="4">
        <v>0.115</v>
      </c>
      <c r="CS46" s="4">
        <v>0.13</v>
      </c>
      <c r="CT46" s="4">
        <v>0.16300000000000001</v>
      </c>
      <c r="CU46" s="4">
        <v>0.14399999999999999</v>
      </c>
      <c r="CV46" s="4">
        <v>0.104</v>
      </c>
      <c r="CW46" s="4">
        <v>9.0999999999999998E-2</v>
      </c>
      <c r="CX46" s="4">
        <v>0.14799999999999999</v>
      </c>
      <c r="CY46" s="4">
        <v>0.11600000000000001</v>
      </c>
      <c r="CZ46" s="4">
        <v>0.129</v>
      </c>
      <c r="DA46" s="4">
        <v>7.9000000000000001E-2</v>
      </c>
      <c r="DB46" s="4">
        <v>0.14699999999999999</v>
      </c>
      <c r="DC46" s="4">
        <v>0.12</v>
      </c>
      <c r="DD46" s="4">
        <v>0.108</v>
      </c>
      <c r="DE46" s="4">
        <v>0.115</v>
      </c>
      <c r="DF46" s="4">
        <v>0.112</v>
      </c>
      <c r="DG46" s="4">
        <v>0.14099999999999999</v>
      </c>
      <c r="DH46" s="4">
        <v>0.13200000000000001</v>
      </c>
      <c r="DI46" s="4">
        <v>0.127</v>
      </c>
      <c r="DJ46" s="4">
        <v>0.106</v>
      </c>
      <c r="DK46" s="4">
        <v>0.13700000000000001</v>
      </c>
      <c r="DL46" s="4">
        <v>0.108</v>
      </c>
      <c r="DM46" s="4">
        <v>0.107</v>
      </c>
      <c r="DN46" s="4">
        <v>0.20899999999999999</v>
      </c>
      <c r="DO46" s="4">
        <v>0.17</v>
      </c>
      <c r="DP46" s="10">
        <v>0.159</v>
      </c>
      <c r="DQ46" s="4">
        <v>0.14699999999999999</v>
      </c>
      <c r="DR46" s="10">
        <v>0.161</v>
      </c>
      <c r="DS46" s="4">
        <v>0.13300000000000001</v>
      </c>
      <c r="DT46" s="4">
        <v>0.13400000000000001</v>
      </c>
      <c r="DU46" s="4">
        <v>0.11799999999999999</v>
      </c>
      <c r="DV46" s="4">
        <v>8.2000000000000003E-2</v>
      </c>
      <c r="DW46" s="4">
        <v>0.14399999999999999</v>
      </c>
      <c r="DX46" s="4">
        <v>0.16500000000000001</v>
      </c>
      <c r="DY46" s="4">
        <v>0.193</v>
      </c>
      <c r="DZ46" s="4">
        <v>0.13500000000000001</v>
      </c>
      <c r="EA46" s="4">
        <v>0.115</v>
      </c>
      <c r="EB46" s="4">
        <v>0.14099999999999999</v>
      </c>
      <c r="EC46" s="4">
        <v>0.121</v>
      </c>
      <c r="ED46" s="4">
        <v>0.14099999999999999</v>
      </c>
      <c r="EE46" s="4">
        <v>0.155</v>
      </c>
      <c r="EF46" s="4">
        <v>0.186</v>
      </c>
      <c r="EG46" s="4">
        <v>0.183</v>
      </c>
      <c r="EH46" s="4">
        <v>6.7000000000000004E-2</v>
      </c>
      <c r="EI46" s="4">
        <v>7.1999999999999995E-2</v>
      </c>
      <c r="EJ46" s="4">
        <v>6.3E-2</v>
      </c>
      <c r="EK46" s="4">
        <v>8.3000000000000004E-2</v>
      </c>
      <c r="EL46" s="4">
        <v>8.5000000000000006E-2</v>
      </c>
      <c r="EM46" s="4">
        <v>7.8E-2</v>
      </c>
      <c r="EN46" s="4">
        <v>6.2E-2</v>
      </c>
      <c r="EO46" s="4">
        <v>0.10299999999999999</v>
      </c>
      <c r="EP46" s="4">
        <v>8.5000000000000006E-2</v>
      </c>
      <c r="EQ46" s="4">
        <v>0.10100000000000001</v>
      </c>
      <c r="ER46" s="4">
        <v>0.1</v>
      </c>
      <c r="ES46" s="4">
        <v>0.114</v>
      </c>
      <c r="ET46" s="4">
        <v>0.106</v>
      </c>
      <c r="EU46" s="4">
        <v>8.7999999999999995E-2</v>
      </c>
      <c r="EV46" s="4">
        <v>9.7000000000000003E-2</v>
      </c>
      <c r="EW46" s="4">
        <v>9.1999999999999998E-2</v>
      </c>
      <c r="EX46" s="4">
        <v>6.6000000000000003E-2</v>
      </c>
      <c r="EY46" s="4">
        <v>5.8999999999999997E-2</v>
      </c>
      <c r="EZ46" s="4">
        <v>8.4000000000000005E-2</v>
      </c>
      <c r="FA46" s="4">
        <v>9.1999999999999998E-2</v>
      </c>
      <c r="FB46" s="4">
        <v>7.6999999999999999E-2</v>
      </c>
      <c r="FC46" s="4">
        <v>9.9000000000000005E-2</v>
      </c>
      <c r="FD46" s="4">
        <v>7.9000000000000001E-2</v>
      </c>
      <c r="FE46" s="4">
        <v>8.1000000000000003E-2</v>
      </c>
      <c r="FF46" s="4">
        <v>0.13400000000000001</v>
      </c>
      <c r="FG46" s="4"/>
      <c r="FH46" s="4"/>
      <c r="FI46" s="4"/>
      <c r="FJ46" s="4"/>
      <c r="FK46" s="4"/>
      <c r="FL46" s="4"/>
    </row>
    <row r="47" spans="1:168" x14ac:dyDescent="0.3">
      <c r="A47" t="s">
        <v>200</v>
      </c>
      <c r="B47" s="4">
        <v>0.126</v>
      </c>
      <c r="C47" s="4">
        <v>0.13800000000000001</v>
      </c>
      <c r="D47" s="4">
        <v>0.124</v>
      </c>
      <c r="E47" s="4">
        <v>0.14099999999999999</v>
      </c>
      <c r="F47" s="4">
        <v>0.125</v>
      </c>
      <c r="G47" s="4">
        <v>0.124</v>
      </c>
      <c r="H47" s="4">
        <v>0.109</v>
      </c>
      <c r="I47" s="4">
        <v>8.2000000000000003E-2</v>
      </c>
      <c r="J47" s="4">
        <v>0.14099999999999999</v>
      </c>
      <c r="K47" s="4">
        <v>6.9000000000000006E-2</v>
      </c>
      <c r="L47" s="4">
        <v>7.3999999999999996E-2</v>
      </c>
      <c r="M47" s="4">
        <v>7.8E-2</v>
      </c>
      <c r="N47" s="4">
        <v>0.11</v>
      </c>
      <c r="O47" s="4">
        <v>6.7000000000000004E-2</v>
      </c>
      <c r="P47" s="4">
        <v>0.05</v>
      </c>
      <c r="Q47" s="4">
        <v>4.2999999999999997E-2</v>
      </c>
      <c r="R47" s="4">
        <v>0.161</v>
      </c>
      <c r="S47" s="4">
        <v>0.10199999999999999</v>
      </c>
      <c r="T47" s="4">
        <v>6.6000000000000003E-2</v>
      </c>
      <c r="U47" s="4">
        <v>8.5999999999999993E-2</v>
      </c>
      <c r="V47" s="4">
        <v>0.11899999999999999</v>
      </c>
      <c r="W47" s="4">
        <v>0.121</v>
      </c>
      <c r="X47" s="4">
        <v>0.16600000000000001</v>
      </c>
      <c r="Y47" s="4">
        <v>0.10100000000000001</v>
      </c>
      <c r="Z47" s="4">
        <v>0.11600000000000001</v>
      </c>
      <c r="AA47" s="4">
        <v>0.14899999999999999</v>
      </c>
      <c r="AB47" s="4">
        <v>0.14099999999999999</v>
      </c>
      <c r="AC47" s="4">
        <v>0.13900000000000001</v>
      </c>
      <c r="AD47" s="4">
        <v>0.13800000000000001</v>
      </c>
      <c r="AE47" s="4">
        <v>0.158</v>
      </c>
      <c r="AF47" s="4">
        <v>0.161</v>
      </c>
      <c r="AG47" s="4">
        <v>5.3999999999999999E-2</v>
      </c>
      <c r="AH47" s="4">
        <v>6.4000000000000001E-2</v>
      </c>
      <c r="AI47" s="4">
        <v>4.5999999999999999E-2</v>
      </c>
      <c r="AJ47" s="4">
        <v>0.11799999999999999</v>
      </c>
      <c r="AK47" s="4">
        <v>0.13200000000000001</v>
      </c>
      <c r="AL47" s="4">
        <v>0.115</v>
      </c>
      <c r="AM47" s="4">
        <v>0.158</v>
      </c>
      <c r="AN47" s="4">
        <v>0.11799999999999999</v>
      </c>
      <c r="AO47" s="4">
        <v>9.5000000000000001E-2</v>
      </c>
      <c r="AP47" s="4">
        <v>5.3999999999999999E-2</v>
      </c>
      <c r="AQ47" s="10">
        <v>6.2E-2</v>
      </c>
      <c r="AR47" s="10">
        <v>4.8000000000000001E-2</v>
      </c>
      <c r="AS47" s="10">
        <v>0.13500000000000001</v>
      </c>
      <c r="AT47" s="10">
        <v>7.6999999999999999E-2</v>
      </c>
      <c r="AU47" s="10">
        <v>0.107</v>
      </c>
      <c r="AV47" s="10">
        <v>9.6000000000000002E-2</v>
      </c>
      <c r="AW47" s="10">
        <v>8.7999999999999995E-2</v>
      </c>
      <c r="AX47" s="10">
        <v>0.08</v>
      </c>
      <c r="AY47" s="10">
        <v>9.9000000000000005E-2</v>
      </c>
      <c r="AZ47" s="10">
        <v>9.8000000000000004E-2</v>
      </c>
      <c r="BA47" s="10">
        <v>5.8000000000000003E-2</v>
      </c>
      <c r="BB47" s="10">
        <v>6.0999999999999999E-2</v>
      </c>
      <c r="BC47" s="10">
        <v>0.13100000000000001</v>
      </c>
      <c r="BD47" s="10">
        <v>0.11</v>
      </c>
      <c r="BE47" s="10">
        <v>0.08</v>
      </c>
      <c r="BF47" s="10">
        <v>0.11</v>
      </c>
      <c r="BG47" s="10">
        <v>5.7000000000000002E-2</v>
      </c>
      <c r="BH47" s="10">
        <v>7.9000000000000001E-2</v>
      </c>
      <c r="BI47" s="10">
        <v>9.1999999999999998E-2</v>
      </c>
      <c r="BJ47" s="10">
        <v>0.125</v>
      </c>
      <c r="BK47" s="10">
        <v>9.7000000000000003E-2</v>
      </c>
      <c r="BL47" s="10">
        <v>0.13700000000000001</v>
      </c>
      <c r="BM47" s="10">
        <v>0.156</v>
      </c>
      <c r="BN47" s="10">
        <v>0.123</v>
      </c>
      <c r="BO47" s="4">
        <v>0.13100000000000001</v>
      </c>
      <c r="BP47" s="10">
        <v>9.8000000000000004E-2</v>
      </c>
      <c r="BQ47" s="10">
        <v>0.108</v>
      </c>
      <c r="BR47" s="10">
        <v>0.128</v>
      </c>
      <c r="BS47" s="10">
        <v>0.14099999999999999</v>
      </c>
      <c r="BT47" s="3">
        <v>7.5999999999999998E-2</v>
      </c>
      <c r="BU47" s="7">
        <v>7.8E-2</v>
      </c>
      <c r="BV47" s="3">
        <v>9.5000000000000001E-2</v>
      </c>
      <c r="BW47" s="4">
        <v>5.8000000000000003E-2</v>
      </c>
      <c r="BX47" s="4">
        <v>7.6999999999999999E-2</v>
      </c>
      <c r="BY47" s="3">
        <v>6.9000000000000006E-2</v>
      </c>
      <c r="BZ47" s="4">
        <v>0.14199999999999999</v>
      </c>
      <c r="CA47" s="4">
        <v>0.125</v>
      </c>
      <c r="CB47" s="4">
        <v>0.11799999999999999</v>
      </c>
      <c r="CC47" s="4">
        <v>0.14599999999999999</v>
      </c>
      <c r="CD47" s="4">
        <v>0.13100000000000001</v>
      </c>
      <c r="CE47" s="4">
        <v>0.113</v>
      </c>
      <c r="CF47" s="4">
        <v>0.124</v>
      </c>
      <c r="CG47" s="4">
        <v>0.11</v>
      </c>
      <c r="CH47" s="4">
        <v>0.151</v>
      </c>
      <c r="CI47" s="4">
        <v>0.16300000000000001</v>
      </c>
      <c r="CJ47" s="4">
        <v>9.0999999999999998E-2</v>
      </c>
      <c r="CK47" s="4">
        <v>0.13</v>
      </c>
      <c r="CL47" s="4">
        <v>0.14799999999999999</v>
      </c>
      <c r="CM47" s="4">
        <v>0.13900000000000001</v>
      </c>
      <c r="CN47" s="4">
        <v>0.17699999999999999</v>
      </c>
      <c r="CO47" s="4">
        <v>0.13500000000000001</v>
      </c>
      <c r="CP47" s="4">
        <v>0.16200000000000001</v>
      </c>
      <c r="CQ47" s="4">
        <v>0.11</v>
      </c>
      <c r="CR47" s="4">
        <v>0.16200000000000001</v>
      </c>
      <c r="CS47" s="4">
        <v>0.13600000000000001</v>
      </c>
      <c r="CT47" s="4">
        <v>0.16500000000000001</v>
      </c>
      <c r="CU47" s="4">
        <v>0.15</v>
      </c>
      <c r="CV47" s="4">
        <v>0.1</v>
      </c>
      <c r="CW47" s="4">
        <v>9.8000000000000004E-2</v>
      </c>
      <c r="CX47" s="4">
        <v>0.11899999999999999</v>
      </c>
      <c r="CY47" s="4">
        <v>8.2000000000000003E-2</v>
      </c>
      <c r="CZ47" s="4">
        <v>8.5000000000000006E-2</v>
      </c>
      <c r="DA47" s="4">
        <v>4.3999999999999997E-2</v>
      </c>
      <c r="DB47" s="4">
        <v>0.11700000000000001</v>
      </c>
      <c r="DC47" s="4">
        <v>0.106</v>
      </c>
      <c r="DD47" s="4">
        <v>0.105</v>
      </c>
      <c r="DE47" s="4">
        <v>0.1</v>
      </c>
      <c r="DF47" s="4">
        <v>0.10199999999999999</v>
      </c>
      <c r="DG47" s="4">
        <v>0.13300000000000001</v>
      </c>
      <c r="DH47" s="4">
        <v>0.126</v>
      </c>
      <c r="DI47" s="4">
        <v>8.1000000000000003E-2</v>
      </c>
      <c r="DJ47" s="4">
        <v>6.8000000000000005E-2</v>
      </c>
      <c r="DK47" s="4">
        <v>0.08</v>
      </c>
      <c r="DL47" s="4">
        <v>7.5999999999999998E-2</v>
      </c>
      <c r="DM47" s="4">
        <v>8.3000000000000004E-2</v>
      </c>
      <c r="DN47" s="4">
        <v>0.106</v>
      </c>
      <c r="DO47" s="4">
        <v>8.3000000000000004E-2</v>
      </c>
      <c r="DP47" s="10">
        <v>6.6000000000000003E-2</v>
      </c>
      <c r="DQ47" s="4">
        <v>0.09</v>
      </c>
      <c r="DR47" s="10">
        <v>6.2E-2</v>
      </c>
      <c r="DS47" s="4">
        <v>0.115</v>
      </c>
      <c r="DT47" s="4">
        <v>0.128</v>
      </c>
      <c r="DU47" s="4">
        <v>0.11899999999999999</v>
      </c>
      <c r="DV47" s="4">
        <v>8.2000000000000003E-2</v>
      </c>
      <c r="DW47" s="4">
        <v>0.1</v>
      </c>
      <c r="DX47" s="4">
        <v>0.158</v>
      </c>
      <c r="DY47" s="4">
        <v>0.17799999999999999</v>
      </c>
      <c r="DZ47" s="4">
        <v>0.108</v>
      </c>
      <c r="EA47" s="4">
        <v>8.4000000000000005E-2</v>
      </c>
      <c r="EB47" s="4">
        <v>0.13900000000000001</v>
      </c>
      <c r="EC47" s="4">
        <v>0.112</v>
      </c>
      <c r="ED47" s="4">
        <v>0.111</v>
      </c>
      <c r="EE47" s="4">
        <v>0.13700000000000001</v>
      </c>
      <c r="EF47" s="4">
        <v>0.14000000000000001</v>
      </c>
      <c r="EG47" s="4">
        <v>0.129</v>
      </c>
      <c r="EH47" s="4">
        <v>6.6000000000000003E-2</v>
      </c>
      <c r="EI47" s="4">
        <v>6.7000000000000004E-2</v>
      </c>
      <c r="EJ47" s="4">
        <v>5.1999999999999998E-2</v>
      </c>
      <c r="EK47" s="4">
        <v>7.3999999999999996E-2</v>
      </c>
      <c r="EL47" s="4">
        <v>7.4999999999999997E-2</v>
      </c>
      <c r="EM47" s="4">
        <v>6.9000000000000006E-2</v>
      </c>
      <c r="EN47" s="4">
        <v>5.8999999999999997E-2</v>
      </c>
      <c r="EO47" s="4">
        <v>0.11600000000000001</v>
      </c>
      <c r="EP47" s="4">
        <v>9.0999999999999998E-2</v>
      </c>
      <c r="EQ47" s="4">
        <v>0.09</v>
      </c>
      <c r="ER47" s="4">
        <v>8.7999999999999995E-2</v>
      </c>
      <c r="ES47" s="4">
        <v>0.125</v>
      </c>
      <c r="ET47" s="4">
        <v>0.113</v>
      </c>
      <c r="EU47" s="4">
        <v>4.2000000000000003E-2</v>
      </c>
      <c r="EV47" s="4">
        <v>5.5E-2</v>
      </c>
      <c r="EW47" s="4">
        <v>6.4000000000000001E-2</v>
      </c>
      <c r="EX47" s="4">
        <v>5.6000000000000001E-2</v>
      </c>
      <c r="EY47" s="4">
        <v>3.6999999999999998E-2</v>
      </c>
      <c r="EZ47" s="4">
        <v>7.1999999999999995E-2</v>
      </c>
      <c r="FA47" s="4">
        <v>7.5999999999999998E-2</v>
      </c>
      <c r="FB47" s="4">
        <v>7.5999999999999998E-2</v>
      </c>
      <c r="FC47" s="4">
        <v>0.108</v>
      </c>
      <c r="FD47" s="4">
        <v>7.2999999999999995E-2</v>
      </c>
      <c r="FE47" s="4">
        <v>8.1000000000000003E-2</v>
      </c>
      <c r="FF47" s="4">
        <v>0.115</v>
      </c>
      <c r="FG47" s="4"/>
      <c r="FH47" s="4"/>
      <c r="FI47" s="4"/>
      <c r="FJ47" s="4"/>
      <c r="FK47" s="4"/>
      <c r="FL47" s="4"/>
    </row>
    <row r="48" spans="1:168" x14ac:dyDescent="0.3">
      <c r="A48" t="s">
        <v>202</v>
      </c>
      <c r="B48" s="4">
        <v>0.4</v>
      </c>
      <c r="C48" s="4">
        <v>0.44400000000000001</v>
      </c>
      <c r="D48" s="4">
        <v>0.434</v>
      </c>
      <c r="E48" s="8">
        <v>0.44700000000000001</v>
      </c>
      <c r="F48" s="8">
        <v>0.377</v>
      </c>
      <c r="G48" s="4">
        <v>0.4</v>
      </c>
      <c r="H48" s="4">
        <v>0.3</v>
      </c>
      <c r="I48" s="4">
        <v>0.35399999999999998</v>
      </c>
      <c r="J48" s="4">
        <v>0.55000000000000004</v>
      </c>
      <c r="K48" s="8">
        <v>0.437</v>
      </c>
      <c r="L48" s="4">
        <v>0.53700000000000003</v>
      </c>
      <c r="M48" s="4">
        <v>0.26</v>
      </c>
      <c r="N48" s="4">
        <v>0.51</v>
      </c>
      <c r="O48" s="4">
        <v>0.29499999999999998</v>
      </c>
      <c r="P48" s="4">
        <v>0.53</v>
      </c>
      <c r="Q48" s="4">
        <v>0.68700000000000006</v>
      </c>
      <c r="R48" s="4">
        <v>0.54600000000000004</v>
      </c>
      <c r="S48" s="4">
        <v>0.42699999999999999</v>
      </c>
      <c r="T48" s="4">
        <v>0.28999999999999998</v>
      </c>
      <c r="U48" s="4">
        <v>0.42</v>
      </c>
      <c r="V48" s="4">
        <v>0.254</v>
      </c>
      <c r="W48" s="4">
        <v>0.42</v>
      </c>
      <c r="X48" s="4">
        <v>0.55000000000000004</v>
      </c>
      <c r="Y48" s="4">
        <v>0.42599999999999999</v>
      </c>
      <c r="Z48" s="8">
        <v>0.38100000000000001</v>
      </c>
      <c r="AA48" s="8">
        <v>0.372</v>
      </c>
      <c r="AB48" s="4">
        <v>0.38</v>
      </c>
      <c r="AC48" s="4">
        <v>0.45200000000000001</v>
      </c>
      <c r="AD48" s="4">
        <v>0.40699999999999997</v>
      </c>
      <c r="AE48" s="4">
        <v>0.40100000000000002</v>
      </c>
      <c r="AF48" s="4">
        <v>0.35799999999999998</v>
      </c>
      <c r="AG48" s="8">
        <v>0.64100000000000001</v>
      </c>
      <c r="AH48" s="8">
        <v>0.57699999999999996</v>
      </c>
      <c r="AI48" s="4">
        <v>0.79600000000000004</v>
      </c>
      <c r="AJ48" s="4">
        <v>0.40400000000000003</v>
      </c>
      <c r="AK48" s="8">
        <v>0.432</v>
      </c>
      <c r="AL48" s="4">
        <v>0.436</v>
      </c>
      <c r="AM48" s="4">
        <v>0.65600000000000003</v>
      </c>
      <c r="AN48" s="4">
        <v>0.59399999999999997</v>
      </c>
      <c r="AO48" s="4">
        <v>0.66</v>
      </c>
      <c r="AP48" s="4">
        <v>0.51100000000000001</v>
      </c>
      <c r="AQ48" s="4">
        <v>0.504</v>
      </c>
      <c r="AR48" s="4">
        <v>0.45</v>
      </c>
      <c r="AS48" s="4">
        <v>0.28699999999999998</v>
      </c>
      <c r="AT48" s="4">
        <v>0.65</v>
      </c>
      <c r="AU48" s="4">
        <v>0.55100000000000005</v>
      </c>
      <c r="AV48" s="8">
        <v>0.379</v>
      </c>
      <c r="AW48" s="8">
        <v>0.27400000000000002</v>
      </c>
      <c r="AX48" s="4">
        <v>0.35599999999999998</v>
      </c>
      <c r="AY48" s="8">
        <v>0.45800000000000002</v>
      </c>
      <c r="AZ48" s="4">
        <v>0.39700000000000002</v>
      </c>
      <c r="BA48" s="4">
        <v>0.755</v>
      </c>
      <c r="BB48" s="4">
        <v>0.57999999999999996</v>
      </c>
      <c r="BC48" s="8">
        <v>0.501</v>
      </c>
      <c r="BD48" s="8">
        <v>0.29599999999999999</v>
      </c>
      <c r="BE48" s="8">
        <v>0.61</v>
      </c>
      <c r="BF48" s="4">
        <v>0.307</v>
      </c>
      <c r="BG48" s="4">
        <v>0.57299999999999995</v>
      </c>
      <c r="BH48" s="4">
        <v>0.23499999999999999</v>
      </c>
      <c r="BI48" s="4">
        <v>0.44700000000000001</v>
      </c>
      <c r="BJ48" s="4">
        <v>0.17100000000000001</v>
      </c>
      <c r="BK48" s="8">
        <v>0.44800000000000001</v>
      </c>
      <c r="BL48" s="4">
        <v>0.53</v>
      </c>
      <c r="BM48" s="8">
        <v>0.47399999999999998</v>
      </c>
      <c r="BN48" s="4">
        <v>0.46500000000000002</v>
      </c>
      <c r="BO48" s="8">
        <v>0.28399999999999997</v>
      </c>
      <c r="BP48" s="4">
        <v>0.35199999999999998</v>
      </c>
      <c r="BQ48" s="4">
        <v>0.498</v>
      </c>
      <c r="BR48" s="4">
        <v>0.495</v>
      </c>
      <c r="BS48" s="4">
        <v>0.51200000000000001</v>
      </c>
      <c r="BT48" s="3">
        <v>0.41399999999999998</v>
      </c>
      <c r="BU48" s="9">
        <v>0.52200000000000002</v>
      </c>
      <c r="BV48" s="3">
        <v>0.67700000000000005</v>
      </c>
      <c r="BW48" s="4">
        <v>0.32200000000000001</v>
      </c>
      <c r="BX48" s="8">
        <v>0.40699999999999997</v>
      </c>
      <c r="BY48" s="3">
        <v>0.47</v>
      </c>
      <c r="BZ48" s="8">
        <v>0.47899999999999998</v>
      </c>
      <c r="CA48" s="4">
        <v>0.42899999999999999</v>
      </c>
      <c r="CB48" s="4">
        <v>0.36199999999999999</v>
      </c>
      <c r="CC48" s="4">
        <v>0.42799999999999999</v>
      </c>
      <c r="CD48" s="4">
        <v>0.46600000000000003</v>
      </c>
      <c r="CE48" s="8">
        <v>0.46800000000000003</v>
      </c>
      <c r="CF48" s="4">
        <v>0.33600000000000002</v>
      </c>
      <c r="CG48" s="4">
        <v>0.30499999999999999</v>
      </c>
      <c r="CH48" s="4">
        <v>0.56599999999999995</v>
      </c>
      <c r="CI48" s="4">
        <v>0.51500000000000001</v>
      </c>
      <c r="CJ48" s="4">
        <v>0.20300000000000001</v>
      </c>
      <c r="CK48" s="4">
        <v>0.51100000000000001</v>
      </c>
      <c r="CL48" s="4">
        <v>0.59799999999999998</v>
      </c>
      <c r="CM48" s="8">
        <v>0.50800000000000001</v>
      </c>
      <c r="CN48" s="4">
        <v>0.64100000000000001</v>
      </c>
      <c r="CO48" s="8">
        <v>0.49</v>
      </c>
      <c r="CP48" s="4">
        <v>0.62</v>
      </c>
      <c r="CQ48" s="4">
        <v>0.41699999999999998</v>
      </c>
      <c r="CR48" s="4">
        <v>0.625</v>
      </c>
      <c r="CS48" s="8">
        <v>0.59699999999999998</v>
      </c>
      <c r="CT48" s="4">
        <v>0.64</v>
      </c>
      <c r="CU48" s="4">
        <v>0.56999999999999995</v>
      </c>
      <c r="CV48" s="4">
        <v>0.47499999999999998</v>
      </c>
      <c r="CW48" s="4">
        <v>0.29699999999999999</v>
      </c>
      <c r="CX48" s="4">
        <v>0.55300000000000005</v>
      </c>
      <c r="CY48" s="4">
        <v>0.57899999999999996</v>
      </c>
      <c r="CZ48" s="4">
        <v>0.65500000000000003</v>
      </c>
      <c r="DA48" s="4">
        <v>0.57699999999999996</v>
      </c>
      <c r="DB48" s="4">
        <v>0.57799999999999996</v>
      </c>
      <c r="DC48" s="8">
        <v>0.29099999999999998</v>
      </c>
      <c r="DD48" s="4">
        <v>0.39700000000000002</v>
      </c>
      <c r="DE48" s="4">
        <v>0.33900000000000002</v>
      </c>
      <c r="DF48" s="4">
        <v>0.3</v>
      </c>
      <c r="DG48" s="4">
        <v>0.48299999999999998</v>
      </c>
      <c r="DH48" s="4">
        <v>0.433</v>
      </c>
      <c r="DI48" s="4">
        <v>0.53600000000000003</v>
      </c>
      <c r="DJ48" s="8">
        <v>0.51100000000000001</v>
      </c>
      <c r="DK48" s="8">
        <v>0.48</v>
      </c>
      <c r="DL48" s="8">
        <v>0.45900000000000002</v>
      </c>
      <c r="DM48" s="8">
        <v>0.38900000000000001</v>
      </c>
      <c r="DN48" s="8">
        <v>0.61</v>
      </c>
      <c r="DO48" s="8">
        <v>0.73599999999999999</v>
      </c>
      <c r="DP48" s="8">
        <v>0.56699999999999995</v>
      </c>
      <c r="DQ48" s="4">
        <v>0.755</v>
      </c>
      <c r="DR48" s="10">
        <v>0.71599999999999997</v>
      </c>
      <c r="DS48" s="4">
        <v>0.52600000000000002</v>
      </c>
      <c r="DT48" s="10">
        <v>0.55400000000000005</v>
      </c>
      <c r="DU48" s="4">
        <v>0.36</v>
      </c>
      <c r="DV48" s="4">
        <v>0.52800000000000002</v>
      </c>
      <c r="DW48" s="4">
        <v>0.56000000000000005</v>
      </c>
      <c r="DX48" s="4">
        <v>0.65400000000000003</v>
      </c>
      <c r="DY48" s="4">
        <v>0.84</v>
      </c>
      <c r="DZ48" s="4">
        <v>0.80600000000000005</v>
      </c>
      <c r="EA48" s="4">
        <v>0.78100000000000003</v>
      </c>
      <c r="EB48" s="4">
        <v>0.75900000000000001</v>
      </c>
      <c r="EC48" s="8">
        <v>0.72199999999999998</v>
      </c>
      <c r="ED48" s="4">
        <v>0.77800000000000002</v>
      </c>
      <c r="EE48" s="4">
        <v>0.80600000000000005</v>
      </c>
      <c r="EF48" s="4">
        <v>0.77600000000000002</v>
      </c>
      <c r="EG48" s="4">
        <v>0.73</v>
      </c>
      <c r="EH48" s="4">
        <v>0.438</v>
      </c>
      <c r="EI48" s="4">
        <v>0.40200000000000002</v>
      </c>
      <c r="EJ48" s="4">
        <v>0.40400000000000003</v>
      </c>
      <c r="EK48" s="4">
        <v>0.34899999999999998</v>
      </c>
      <c r="EL48" s="4">
        <v>0.51800000000000002</v>
      </c>
      <c r="EM48" s="8">
        <v>0.46100000000000002</v>
      </c>
      <c r="EN48" s="4">
        <v>0.36899999999999999</v>
      </c>
      <c r="EO48" s="4">
        <v>0.624</v>
      </c>
      <c r="EP48" s="4">
        <v>0.52900000000000003</v>
      </c>
      <c r="EQ48" s="4">
        <v>0.62</v>
      </c>
      <c r="ER48" s="8">
        <v>0.66900000000000004</v>
      </c>
      <c r="ES48" s="8">
        <v>0.57099999999999995</v>
      </c>
      <c r="ET48" s="4">
        <v>0.44600000000000001</v>
      </c>
      <c r="EU48" s="8">
        <v>0.65300000000000002</v>
      </c>
      <c r="EV48" s="4">
        <v>0.59899999999999998</v>
      </c>
      <c r="EW48" s="4">
        <v>0.49399999999999999</v>
      </c>
      <c r="EX48" s="14">
        <v>0.73</v>
      </c>
      <c r="EY48" s="8">
        <v>0.78300000000000003</v>
      </c>
      <c r="EZ48" s="4">
        <v>0.42799999999999999</v>
      </c>
      <c r="FA48" s="4">
        <v>0.47899999999999998</v>
      </c>
      <c r="FB48" s="4">
        <v>0.45</v>
      </c>
      <c r="FC48" s="4">
        <v>0.33300000000000002</v>
      </c>
      <c r="FD48" s="4">
        <v>0.39800000000000002</v>
      </c>
      <c r="FE48" s="4">
        <v>0.33500000000000002</v>
      </c>
      <c r="FF48" s="4">
        <v>0.38700000000000001</v>
      </c>
      <c r="FG48" s="4"/>
      <c r="FH48" s="4"/>
      <c r="FI48" s="4"/>
      <c r="FJ48" s="4"/>
      <c r="FK48" s="4"/>
      <c r="FL48" s="4"/>
    </row>
    <row r="49" spans="1:168" x14ac:dyDescent="0.3">
      <c r="A49" t="s">
        <v>203</v>
      </c>
      <c r="B49" s="4">
        <v>0.72699999999999998</v>
      </c>
      <c r="C49" s="4">
        <v>0.64100000000000001</v>
      </c>
      <c r="D49" s="4">
        <v>0.74199999999999999</v>
      </c>
      <c r="E49" s="8">
        <v>0.79900000000000004</v>
      </c>
      <c r="F49" s="8">
        <v>0.77800000000000002</v>
      </c>
      <c r="G49" s="4">
        <v>0.77900000000000003</v>
      </c>
      <c r="H49" s="4">
        <v>0.67400000000000004</v>
      </c>
      <c r="I49" s="4">
        <v>0.79500000000000004</v>
      </c>
      <c r="J49" s="4">
        <v>0.87</v>
      </c>
      <c r="K49" s="8">
        <v>0.90700000000000003</v>
      </c>
      <c r="L49" s="4">
        <v>0.94599999999999995</v>
      </c>
      <c r="M49" s="4">
        <v>0.876</v>
      </c>
      <c r="N49" s="4">
        <v>0.90600000000000003</v>
      </c>
      <c r="O49" s="4">
        <v>0.86599999999999999</v>
      </c>
      <c r="P49" s="4">
        <v>0.95599999999999996</v>
      </c>
      <c r="Q49" s="4">
        <v>0.96899999999999997</v>
      </c>
      <c r="R49" s="4">
        <v>0.88800000000000001</v>
      </c>
      <c r="S49" s="4">
        <v>0.79500000000000004</v>
      </c>
      <c r="T49" s="4">
        <v>0.84399999999999997</v>
      </c>
      <c r="U49" s="4">
        <v>0.871</v>
      </c>
      <c r="V49" s="4">
        <v>0.65</v>
      </c>
      <c r="W49" s="4">
        <v>0.69599999999999995</v>
      </c>
      <c r="X49" s="4">
        <v>0.90700000000000003</v>
      </c>
      <c r="Y49" s="4">
        <v>0.76700000000000002</v>
      </c>
      <c r="Z49" s="8">
        <v>0.71699999999999997</v>
      </c>
      <c r="AA49" s="8">
        <v>0.83499999999999996</v>
      </c>
      <c r="AB49" s="4">
        <v>0.8</v>
      </c>
      <c r="AC49" s="4">
        <v>0.75</v>
      </c>
      <c r="AD49" s="4">
        <v>0.25900000000000001</v>
      </c>
      <c r="AE49" s="4">
        <v>0.77900000000000003</v>
      </c>
      <c r="AF49" s="4">
        <v>0.79100000000000004</v>
      </c>
      <c r="AG49" s="8">
        <v>0.95399999999999996</v>
      </c>
      <c r="AH49" s="8">
        <v>0.95299999999999996</v>
      </c>
      <c r="AI49" s="4">
        <v>0.97699999999999998</v>
      </c>
      <c r="AJ49" s="4">
        <v>0.86199999999999999</v>
      </c>
      <c r="AK49" s="8">
        <v>0.82799999999999996</v>
      </c>
      <c r="AL49" s="4">
        <v>0.85499999999999998</v>
      </c>
      <c r="AM49" s="4">
        <v>0.872</v>
      </c>
      <c r="AN49" s="4">
        <v>0.85799999999999998</v>
      </c>
      <c r="AO49" s="4">
        <v>0.96499999999999997</v>
      </c>
      <c r="AP49" s="4">
        <v>0.96799999999999997</v>
      </c>
      <c r="AQ49" s="4">
        <v>0.94899999999999995</v>
      </c>
      <c r="AR49" s="4">
        <v>0.94299999999999995</v>
      </c>
      <c r="AS49" s="4">
        <v>0.81699999999999995</v>
      </c>
      <c r="AT49" s="4">
        <v>0.97599999999999998</v>
      </c>
      <c r="AU49" s="4">
        <v>0.94299999999999995</v>
      </c>
      <c r="AV49" s="8">
        <v>0.83399999999999996</v>
      </c>
      <c r="AW49" s="8">
        <v>0.79900000000000004</v>
      </c>
      <c r="AX49" s="4">
        <v>0.83</v>
      </c>
      <c r="AY49" s="8">
        <v>0.88300000000000001</v>
      </c>
      <c r="AZ49" s="4">
        <v>0.749</v>
      </c>
      <c r="BA49" s="4">
        <v>0.97</v>
      </c>
      <c r="BB49" s="4">
        <v>0.93899999999999995</v>
      </c>
      <c r="BC49" s="8">
        <v>0.876</v>
      </c>
      <c r="BD49" s="8">
        <v>0.63700000000000001</v>
      </c>
      <c r="BE49" s="8">
        <v>0.86499999999999999</v>
      </c>
      <c r="BF49" s="4">
        <v>0.71199999999999997</v>
      </c>
      <c r="BG49" s="4">
        <v>0.97899999999999998</v>
      </c>
      <c r="BH49" s="4">
        <v>0.61299999999999999</v>
      </c>
      <c r="BI49" s="4">
        <v>0.92800000000000005</v>
      </c>
      <c r="BJ49" s="4">
        <v>0.43099999999999999</v>
      </c>
      <c r="BK49" s="8">
        <v>0.88</v>
      </c>
      <c r="BL49" s="4">
        <v>0.85499999999999998</v>
      </c>
      <c r="BM49" s="8">
        <v>0.84</v>
      </c>
      <c r="BN49" s="4">
        <v>0.73599999999999999</v>
      </c>
      <c r="BO49" s="8">
        <v>0.56499999999999995</v>
      </c>
      <c r="BP49" s="4">
        <v>0.79900000000000004</v>
      </c>
      <c r="BQ49" s="4">
        <v>0.94599999999999995</v>
      </c>
      <c r="BR49" s="4">
        <v>0.872</v>
      </c>
      <c r="BS49" s="4">
        <v>0.88200000000000001</v>
      </c>
      <c r="BT49" s="3">
        <v>0.874</v>
      </c>
      <c r="BU49" s="9">
        <v>0.96899999999999997</v>
      </c>
      <c r="BV49" s="3">
        <v>0.98099999999999998</v>
      </c>
      <c r="BW49" s="4">
        <v>0.96699999999999997</v>
      </c>
      <c r="BX49" s="8">
        <v>0.96299999999999997</v>
      </c>
      <c r="BY49" s="3">
        <v>0.92900000000000005</v>
      </c>
      <c r="BZ49" s="8">
        <v>0.86599999999999999</v>
      </c>
      <c r="CA49" s="4">
        <v>0.89800000000000002</v>
      </c>
      <c r="CB49" s="4">
        <v>0.82899999999999996</v>
      </c>
      <c r="CC49" s="4">
        <v>0.86799999999999999</v>
      </c>
      <c r="CD49" s="4">
        <v>0.86399999999999999</v>
      </c>
      <c r="CE49" s="8">
        <v>0.90400000000000003</v>
      </c>
      <c r="CF49" s="4">
        <v>0.69299999999999995</v>
      </c>
      <c r="CG49" s="4">
        <v>0.78800000000000003</v>
      </c>
      <c r="CH49" s="4">
        <v>0.94899999999999995</v>
      </c>
      <c r="CI49" s="4">
        <v>0.83599999999999997</v>
      </c>
      <c r="CJ49" s="4">
        <v>0.496</v>
      </c>
      <c r="CK49" s="4">
        <v>0.93400000000000005</v>
      </c>
      <c r="CL49" s="4">
        <v>0.92400000000000004</v>
      </c>
      <c r="CM49" s="8">
        <v>0.88500000000000001</v>
      </c>
      <c r="CN49" s="4">
        <v>0.91600000000000004</v>
      </c>
      <c r="CO49" s="8">
        <v>0.89600000000000002</v>
      </c>
      <c r="CP49" s="4">
        <v>0.96</v>
      </c>
      <c r="CQ49" s="4">
        <v>0.97499999999999998</v>
      </c>
      <c r="CR49" s="4">
        <v>0.88</v>
      </c>
      <c r="CS49" s="8">
        <v>0.875</v>
      </c>
      <c r="CT49" s="4">
        <v>0.96099999999999997</v>
      </c>
      <c r="CU49" s="4">
        <v>0.91500000000000004</v>
      </c>
      <c r="CV49" s="4">
        <v>0.92100000000000004</v>
      </c>
      <c r="CW49" s="4">
        <v>0.85499999999999998</v>
      </c>
      <c r="CX49" s="4">
        <v>0.88300000000000001</v>
      </c>
      <c r="CY49" s="4">
        <v>0.93899999999999995</v>
      </c>
      <c r="CZ49" s="4">
        <v>0.93899999999999995</v>
      </c>
      <c r="DA49" s="4">
        <v>0.98399999999999999</v>
      </c>
      <c r="DB49" s="4">
        <v>0.96599999999999997</v>
      </c>
      <c r="DC49" s="8">
        <v>0.66100000000000003</v>
      </c>
      <c r="DD49" s="4">
        <v>0.89300000000000002</v>
      </c>
      <c r="DE49" s="4">
        <v>0.77</v>
      </c>
      <c r="DF49" s="4">
        <v>0.72899999999999998</v>
      </c>
      <c r="DG49" s="4">
        <v>0.99199999999999999</v>
      </c>
      <c r="DH49" s="4">
        <v>0.95</v>
      </c>
      <c r="DI49" s="4">
        <v>0.89100000000000001</v>
      </c>
      <c r="DJ49" s="8">
        <v>0.94299999999999995</v>
      </c>
      <c r="DK49" s="8">
        <v>0.91800000000000004</v>
      </c>
      <c r="DL49" s="8">
        <v>0.90100000000000002</v>
      </c>
      <c r="DM49" s="8">
        <v>0.90600000000000003</v>
      </c>
      <c r="DN49" s="8">
        <v>0.89400000000000002</v>
      </c>
      <c r="DO49" s="8">
        <v>0.97099999999999997</v>
      </c>
      <c r="DP49" s="8">
        <v>0.98799999999999999</v>
      </c>
      <c r="DQ49" s="4">
        <v>0.96599999999999997</v>
      </c>
      <c r="DR49" s="10">
        <v>0.90300000000000002</v>
      </c>
      <c r="DS49" s="4">
        <v>0.91</v>
      </c>
      <c r="DT49" s="10">
        <v>0.92</v>
      </c>
      <c r="DU49" s="4">
        <v>0.502</v>
      </c>
      <c r="DV49" s="4">
        <v>0.95099999999999996</v>
      </c>
      <c r="DW49" s="4">
        <v>0.86</v>
      </c>
      <c r="DX49" s="4">
        <v>0.91200000000000003</v>
      </c>
      <c r="DY49" s="4">
        <v>0.98699999999999999</v>
      </c>
      <c r="DZ49" s="4">
        <v>0.98399999999999999</v>
      </c>
      <c r="EA49" s="4">
        <v>0.97</v>
      </c>
      <c r="EB49" s="4">
        <v>0.97</v>
      </c>
      <c r="EC49" s="8">
        <v>0.96699999999999997</v>
      </c>
      <c r="ED49" s="4">
        <v>0.95</v>
      </c>
      <c r="EE49" s="4">
        <v>0.95799999999999996</v>
      </c>
      <c r="EF49" s="4">
        <v>0.98599999999999999</v>
      </c>
      <c r="EG49" s="4">
        <v>0.98099999999999998</v>
      </c>
      <c r="EH49" s="4">
        <v>0.91</v>
      </c>
      <c r="EI49" s="4">
        <v>0.91800000000000004</v>
      </c>
      <c r="EJ49" s="4">
        <v>0.86099999999999999</v>
      </c>
      <c r="EK49" s="4">
        <v>0.86599999999999999</v>
      </c>
      <c r="EL49" s="4">
        <v>0.91900000000000004</v>
      </c>
      <c r="EM49" s="8">
        <v>0.86599999999999999</v>
      </c>
      <c r="EN49" s="4">
        <v>0.89800000000000002</v>
      </c>
      <c r="EO49" s="4">
        <v>0.83899999999999997</v>
      </c>
      <c r="EP49" s="4">
        <v>0.79600000000000004</v>
      </c>
      <c r="EQ49" s="4">
        <v>0.91300000000000003</v>
      </c>
      <c r="ER49" s="8">
        <v>0.95499999999999996</v>
      </c>
      <c r="ES49" s="8">
        <v>0.88300000000000001</v>
      </c>
      <c r="ET49" s="4">
        <v>0.876</v>
      </c>
      <c r="EU49" s="8">
        <v>0.79700000000000004</v>
      </c>
      <c r="EV49" s="4">
        <v>0.95099999999999996</v>
      </c>
      <c r="EW49" s="4">
        <v>0.92700000000000005</v>
      </c>
      <c r="EX49" s="8">
        <v>0.97299999999999998</v>
      </c>
      <c r="EY49" s="8">
        <v>0.98499999999999999</v>
      </c>
      <c r="EZ49" s="4">
        <v>0.92100000000000004</v>
      </c>
      <c r="FA49" s="4">
        <v>0.872</v>
      </c>
      <c r="FB49" s="4">
        <v>0.88100000000000001</v>
      </c>
      <c r="FC49" s="4">
        <v>0.71299999999999997</v>
      </c>
      <c r="FD49" s="4">
        <v>0.83399999999999996</v>
      </c>
      <c r="FE49" s="4">
        <v>0.79800000000000004</v>
      </c>
      <c r="FF49" s="4">
        <v>0.89300000000000002</v>
      </c>
      <c r="FG49" s="4"/>
      <c r="FH49" s="4"/>
      <c r="FI49" s="4"/>
      <c r="FJ49" s="4"/>
      <c r="FK49" s="4"/>
      <c r="FL49" s="4"/>
    </row>
    <row r="50" spans="1:168" x14ac:dyDescent="0.3">
      <c r="A50" t="s">
        <v>204</v>
      </c>
      <c r="B50" s="4">
        <v>7.6999999999999999E-2</v>
      </c>
      <c r="C50" s="4">
        <v>9.9000000000000005E-2</v>
      </c>
      <c r="D50" s="4">
        <v>8.5000000000000006E-2</v>
      </c>
      <c r="E50" s="8">
        <v>6.6000000000000003E-2</v>
      </c>
      <c r="F50" s="8">
        <v>5.6000000000000001E-2</v>
      </c>
      <c r="G50" s="4">
        <v>0.06</v>
      </c>
      <c r="H50" s="4">
        <v>7.9000000000000001E-2</v>
      </c>
      <c r="I50" s="4">
        <v>8.6999999999999994E-2</v>
      </c>
      <c r="J50" s="4">
        <v>7.3999999999999996E-2</v>
      </c>
      <c r="K50" s="8">
        <v>6.8000000000000005E-2</v>
      </c>
      <c r="L50" s="4">
        <v>8.2000000000000003E-2</v>
      </c>
      <c r="M50" s="4">
        <v>7.9000000000000001E-2</v>
      </c>
      <c r="N50" s="4">
        <v>5.7000000000000002E-2</v>
      </c>
      <c r="O50" s="4">
        <v>0.05</v>
      </c>
      <c r="P50" s="4">
        <v>6.6000000000000003E-2</v>
      </c>
      <c r="Q50" s="4">
        <v>7.8E-2</v>
      </c>
      <c r="R50" s="4">
        <v>8.8999999999999996E-2</v>
      </c>
      <c r="S50" s="4">
        <v>9.8000000000000004E-2</v>
      </c>
      <c r="T50" s="4">
        <v>4.9000000000000002E-2</v>
      </c>
      <c r="U50" s="4">
        <v>7.9000000000000001E-2</v>
      </c>
      <c r="V50" s="4">
        <v>6.2E-2</v>
      </c>
      <c r="W50" s="4">
        <v>9.5000000000000001E-2</v>
      </c>
      <c r="X50" s="4">
        <v>0.112</v>
      </c>
      <c r="Y50" s="4">
        <v>9.7000000000000003E-2</v>
      </c>
      <c r="Z50" s="8">
        <v>9.4E-2</v>
      </c>
      <c r="AA50" s="8">
        <v>8.7999999999999995E-2</v>
      </c>
      <c r="AB50" s="4">
        <v>8.5999999999999993E-2</v>
      </c>
      <c r="AC50" s="4">
        <v>0.109</v>
      </c>
      <c r="AD50" s="4">
        <v>0.20200000000000001</v>
      </c>
      <c r="AE50" s="4">
        <v>9.9000000000000005E-2</v>
      </c>
      <c r="AF50" s="4">
        <v>9.6000000000000002E-2</v>
      </c>
      <c r="AG50" s="8">
        <v>8.8999999999999996E-2</v>
      </c>
      <c r="AH50" s="8">
        <v>8.5999999999999993E-2</v>
      </c>
      <c r="AI50" s="4">
        <v>7.4999999999999997E-2</v>
      </c>
      <c r="AJ50" s="4">
        <v>4.9000000000000002E-2</v>
      </c>
      <c r="AK50" s="8">
        <v>5.1999999999999998E-2</v>
      </c>
      <c r="AL50" s="4">
        <v>4.8000000000000001E-2</v>
      </c>
      <c r="AM50" s="4">
        <v>0.10100000000000001</v>
      </c>
      <c r="AN50" s="4">
        <v>9.9000000000000005E-2</v>
      </c>
      <c r="AO50" s="4">
        <v>6.3E-2</v>
      </c>
      <c r="AP50" s="4">
        <v>5.1999999999999998E-2</v>
      </c>
      <c r="AQ50" s="4">
        <v>0.06</v>
      </c>
      <c r="AR50" s="4">
        <v>5.1999999999999998E-2</v>
      </c>
      <c r="AS50" s="4">
        <v>0.13600000000000001</v>
      </c>
      <c r="AT50" s="4">
        <v>0.10299999999999999</v>
      </c>
      <c r="AU50" s="4">
        <v>4.4999999999999998E-2</v>
      </c>
      <c r="AV50" s="8">
        <v>8.5000000000000006E-2</v>
      </c>
      <c r="AW50" s="8">
        <v>0.09</v>
      </c>
      <c r="AX50" s="4">
        <v>9.0999999999999998E-2</v>
      </c>
      <c r="AY50" s="8">
        <v>0.08</v>
      </c>
      <c r="AZ50" s="4">
        <v>0.124</v>
      </c>
      <c r="BA50" s="4">
        <v>0.17699999999999999</v>
      </c>
      <c r="BB50" s="4">
        <v>0.14299999999999999</v>
      </c>
      <c r="BC50" s="8">
        <v>0.107</v>
      </c>
      <c r="BD50" s="8">
        <v>0.11799999999999999</v>
      </c>
      <c r="BE50" s="8">
        <v>0.14799999999999999</v>
      </c>
      <c r="BF50" s="4">
        <v>5.8000000000000003E-2</v>
      </c>
      <c r="BG50" s="4">
        <v>6.5000000000000002E-2</v>
      </c>
      <c r="BH50" s="4">
        <v>5.8000000000000003E-2</v>
      </c>
      <c r="BI50" s="4">
        <v>7.9000000000000001E-2</v>
      </c>
      <c r="BJ50" s="4">
        <v>0.08</v>
      </c>
      <c r="BK50" s="8">
        <v>6.9000000000000006E-2</v>
      </c>
      <c r="BL50" s="4">
        <v>0.17299999999999999</v>
      </c>
      <c r="BM50" s="8">
        <v>6.3E-2</v>
      </c>
      <c r="BN50" s="4">
        <v>7.4999999999999997E-2</v>
      </c>
      <c r="BO50" s="8">
        <v>6.5000000000000002E-2</v>
      </c>
      <c r="BP50" s="4">
        <v>7.5999999999999998E-2</v>
      </c>
      <c r="BQ50" s="4">
        <v>6.3E-2</v>
      </c>
      <c r="BR50" s="4">
        <v>7.8E-2</v>
      </c>
      <c r="BS50" s="4">
        <v>7.0999999999999994E-2</v>
      </c>
      <c r="BT50" s="3">
        <v>0.125</v>
      </c>
      <c r="BU50" s="9">
        <v>6.0999999999999999E-2</v>
      </c>
      <c r="BV50" s="3">
        <v>7.8E-2</v>
      </c>
      <c r="BW50" s="4">
        <v>5.8000000000000003E-2</v>
      </c>
      <c r="BX50" s="8">
        <v>5.8999999999999997E-2</v>
      </c>
      <c r="BY50" s="3">
        <v>7.6999999999999999E-2</v>
      </c>
      <c r="BZ50" s="8">
        <v>6.2E-2</v>
      </c>
      <c r="CA50" s="4">
        <v>5.8000000000000003E-2</v>
      </c>
      <c r="CB50" s="4">
        <v>6.2E-2</v>
      </c>
      <c r="CC50" s="4">
        <v>6.7000000000000004E-2</v>
      </c>
      <c r="CD50" s="4">
        <v>6.3E-2</v>
      </c>
      <c r="CE50" s="8">
        <v>6.0999999999999999E-2</v>
      </c>
      <c r="CF50" s="4">
        <v>8.4000000000000005E-2</v>
      </c>
      <c r="CG50" s="4">
        <v>6.3E-2</v>
      </c>
      <c r="CH50" s="4">
        <v>5.5E-2</v>
      </c>
      <c r="CI50" s="4">
        <v>8.6999999999999994E-2</v>
      </c>
      <c r="CJ50" s="4">
        <v>8.6999999999999994E-2</v>
      </c>
      <c r="CK50" s="4">
        <v>5.2999999999999999E-2</v>
      </c>
      <c r="CL50" s="4">
        <v>6.5000000000000002E-2</v>
      </c>
      <c r="CM50" s="8">
        <v>6.6000000000000003E-2</v>
      </c>
      <c r="CN50" s="4">
        <v>0.08</v>
      </c>
      <c r="CO50" s="8">
        <v>5.6000000000000001E-2</v>
      </c>
      <c r="CP50" s="4">
        <v>6.2E-2</v>
      </c>
      <c r="CQ50" s="4">
        <v>4.5999999999999999E-2</v>
      </c>
      <c r="CR50" s="4">
        <v>8.3000000000000004E-2</v>
      </c>
      <c r="CS50" s="8">
        <v>6.5000000000000002E-2</v>
      </c>
      <c r="CT50" s="4">
        <v>6.6000000000000003E-2</v>
      </c>
      <c r="CU50" s="4">
        <v>9.0999999999999998E-2</v>
      </c>
      <c r="CV50" s="4">
        <v>0.108</v>
      </c>
      <c r="CW50" s="4">
        <v>9.4E-2</v>
      </c>
      <c r="CX50" s="4">
        <v>9.8000000000000004E-2</v>
      </c>
      <c r="CY50" s="4">
        <v>0.11899999999999999</v>
      </c>
      <c r="CZ50" s="4">
        <v>0.123</v>
      </c>
      <c r="DA50" s="4">
        <v>8.1000000000000003E-2</v>
      </c>
      <c r="DB50" s="4">
        <v>8.3000000000000004E-2</v>
      </c>
      <c r="DC50" s="8">
        <v>0.14699999999999999</v>
      </c>
      <c r="DD50" s="4">
        <v>8.7999999999999995E-2</v>
      </c>
      <c r="DE50" s="4">
        <v>0.10100000000000001</v>
      </c>
      <c r="DF50" s="4">
        <v>0.12</v>
      </c>
      <c r="DG50" s="4">
        <v>4.8000000000000001E-2</v>
      </c>
      <c r="DH50" s="4">
        <v>0.112</v>
      </c>
      <c r="DI50" s="4">
        <v>0.13900000000000001</v>
      </c>
      <c r="DJ50" s="8">
        <v>0.10100000000000001</v>
      </c>
      <c r="DK50" s="8">
        <v>0.123</v>
      </c>
      <c r="DL50" s="8">
        <v>0.11600000000000001</v>
      </c>
      <c r="DM50" s="8">
        <v>0.15</v>
      </c>
      <c r="DN50" s="8">
        <v>0.23400000000000001</v>
      </c>
      <c r="DO50" s="8">
        <v>0.14099999999999999</v>
      </c>
      <c r="DP50" s="8">
        <v>9.2999999999999999E-2</v>
      </c>
      <c r="DQ50" s="4">
        <v>0.155</v>
      </c>
      <c r="DR50" s="10">
        <v>0.25600000000000001</v>
      </c>
      <c r="DS50" s="4">
        <v>0.122</v>
      </c>
      <c r="DT50" s="10">
        <v>9.6000000000000002E-2</v>
      </c>
      <c r="DU50" s="4">
        <v>0.16400000000000001</v>
      </c>
      <c r="DV50" s="4">
        <v>0.10100000000000001</v>
      </c>
      <c r="DW50" s="4">
        <v>0.17399999999999999</v>
      </c>
      <c r="DX50" s="4">
        <v>0.158</v>
      </c>
      <c r="DY50" s="4">
        <v>0.1</v>
      </c>
      <c r="DZ50" s="4">
        <v>0.10199999999999999</v>
      </c>
      <c r="EA50" s="4">
        <v>0.106</v>
      </c>
      <c r="EB50" s="4">
        <v>0.1</v>
      </c>
      <c r="EC50" s="8">
        <v>9.0999999999999998E-2</v>
      </c>
      <c r="ED50" s="4">
        <v>0.14899999999999999</v>
      </c>
      <c r="EE50" s="4">
        <v>0.14699999999999999</v>
      </c>
      <c r="EF50" s="4">
        <v>6.6000000000000003E-2</v>
      </c>
      <c r="EG50" s="4">
        <v>6.5000000000000002E-2</v>
      </c>
      <c r="EH50" s="4">
        <v>7.4999999999999997E-2</v>
      </c>
      <c r="EI50" s="4">
        <v>6.8000000000000005E-2</v>
      </c>
      <c r="EJ50" s="4">
        <v>8.6999999999999994E-2</v>
      </c>
      <c r="EK50" s="4">
        <v>8.2000000000000003E-2</v>
      </c>
      <c r="EL50" s="4">
        <v>9.5000000000000001E-2</v>
      </c>
      <c r="EM50" s="8">
        <v>9.1999999999999998E-2</v>
      </c>
      <c r="EN50" s="4">
        <v>7.1999999999999995E-2</v>
      </c>
      <c r="EO50" s="4">
        <v>0.10100000000000001</v>
      </c>
      <c r="EP50" s="4">
        <v>9.6000000000000002E-2</v>
      </c>
      <c r="EQ50" s="4">
        <v>0.08</v>
      </c>
      <c r="ER50" s="8">
        <v>6.6000000000000003E-2</v>
      </c>
      <c r="ES50" s="8">
        <v>6.7000000000000004E-2</v>
      </c>
      <c r="ET50" s="4">
        <v>9.5000000000000001E-2</v>
      </c>
      <c r="EU50" s="8">
        <v>7.0000000000000007E-2</v>
      </c>
      <c r="EV50" s="4">
        <v>9.9000000000000005E-2</v>
      </c>
      <c r="EW50" s="4">
        <v>8.7999999999999995E-2</v>
      </c>
      <c r="EX50" s="8">
        <v>4.9000000000000002E-2</v>
      </c>
      <c r="EY50" s="8">
        <v>4.2999999999999997E-2</v>
      </c>
      <c r="EZ50" s="4">
        <v>8.4000000000000005E-2</v>
      </c>
      <c r="FA50" s="4">
        <v>9.1999999999999998E-2</v>
      </c>
      <c r="FB50" s="4">
        <v>8.1000000000000003E-2</v>
      </c>
      <c r="FC50" s="4">
        <v>8.4000000000000005E-2</v>
      </c>
      <c r="FD50" s="4">
        <v>8.5999999999999993E-2</v>
      </c>
      <c r="FE50" s="4">
        <v>8.6999999999999994E-2</v>
      </c>
      <c r="FF50" s="4">
        <v>6.7000000000000004E-2</v>
      </c>
      <c r="FG50" s="4"/>
      <c r="FH50" s="4"/>
      <c r="FI50" s="4"/>
      <c r="FJ50" s="4"/>
      <c r="FK50" s="4"/>
      <c r="FL50" s="4"/>
    </row>
    <row r="51" spans="1:168" x14ac:dyDescent="0.3">
      <c r="A51" t="s">
        <v>205</v>
      </c>
      <c r="B51" s="4">
        <v>0.10199999999999999</v>
      </c>
      <c r="C51" s="4">
        <v>0.14000000000000001</v>
      </c>
      <c r="D51" s="4">
        <v>0.113</v>
      </c>
      <c r="E51" s="8">
        <v>0.11700000000000001</v>
      </c>
      <c r="F51" s="8">
        <v>0.112</v>
      </c>
      <c r="G51" s="4">
        <v>0.10100000000000001</v>
      </c>
      <c r="H51" s="4">
        <v>9.1999999999999998E-2</v>
      </c>
      <c r="I51" s="4">
        <v>8.4000000000000005E-2</v>
      </c>
      <c r="J51" s="4">
        <v>7.5999999999999998E-2</v>
      </c>
      <c r="K51" s="8">
        <v>0.08</v>
      </c>
      <c r="L51" s="4">
        <v>6.4000000000000001E-2</v>
      </c>
      <c r="M51" s="4">
        <v>7.2999999999999995E-2</v>
      </c>
      <c r="N51" s="4">
        <v>0.08</v>
      </c>
      <c r="O51" s="4">
        <v>5.0999999999999997E-2</v>
      </c>
      <c r="P51" s="4">
        <v>5.5E-2</v>
      </c>
      <c r="Q51" s="4">
        <v>3.7999999999999999E-2</v>
      </c>
      <c r="R51" s="4">
        <v>7.3999999999999996E-2</v>
      </c>
      <c r="S51" s="4">
        <v>8.2000000000000003E-2</v>
      </c>
      <c r="T51" s="4">
        <v>5.8999999999999997E-2</v>
      </c>
      <c r="U51" s="4">
        <v>7.4999999999999997E-2</v>
      </c>
      <c r="V51" s="4">
        <v>0.115</v>
      </c>
      <c r="W51" s="4">
        <v>0.11700000000000001</v>
      </c>
      <c r="X51" s="4">
        <v>0.09</v>
      </c>
      <c r="Y51" s="4">
        <v>7.8E-2</v>
      </c>
      <c r="Z51" s="8">
        <v>0.09</v>
      </c>
      <c r="AA51" s="8">
        <v>0.13100000000000001</v>
      </c>
      <c r="AB51" s="4">
        <v>0.108</v>
      </c>
      <c r="AC51" s="4">
        <v>0.126</v>
      </c>
      <c r="AD51" s="4">
        <v>0.153</v>
      </c>
      <c r="AE51" s="4">
        <v>0.113</v>
      </c>
      <c r="AF51" s="4">
        <v>9.8000000000000004E-2</v>
      </c>
      <c r="AG51" s="8">
        <v>0.05</v>
      </c>
      <c r="AH51" s="8">
        <v>6.3E-2</v>
      </c>
      <c r="AI51" s="4">
        <v>3.5999999999999997E-2</v>
      </c>
      <c r="AJ51" s="4">
        <v>8.7999999999999995E-2</v>
      </c>
      <c r="AK51" s="8">
        <v>0.109</v>
      </c>
      <c r="AL51" s="4">
        <v>8.5000000000000006E-2</v>
      </c>
      <c r="AM51" s="4">
        <v>0.11</v>
      </c>
      <c r="AN51" s="4">
        <v>9.2999999999999999E-2</v>
      </c>
      <c r="AO51" s="4">
        <v>4.9000000000000002E-2</v>
      </c>
      <c r="AP51" s="4">
        <v>6.6000000000000003E-2</v>
      </c>
      <c r="AQ51" s="4">
        <v>7.2999999999999995E-2</v>
      </c>
      <c r="AR51" s="4">
        <v>5.5E-2</v>
      </c>
      <c r="AS51" s="4">
        <v>0.14499999999999999</v>
      </c>
      <c r="AT51" s="4">
        <v>6.5000000000000002E-2</v>
      </c>
      <c r="AU51" s="4">
        <v>0.06</v>
      </c>
      <c r="AV51" s="8">
        <v>9.8000000000000004E-2</v>
      </c>
      <c r="AW51" s="8">
        <v>9.4E-2</v>
      </c>
      <c r="AX51" s="4">
        <v>8.3000000000000004E-2</v>
      </c>
      <c r="AY51" s="8">
        <v>0.10299999999999999</v>
      </c>
      <c r="AZ51" s="4">
        <v>0.114</v>
      </c>
      <c r="BA51" s="4">
        <v>5.7000000000000002E-2</v>
      </c>
      <c r="BB51" s="4">
        <v>0.06</v>
      </c>
      <c r="BC51" s="8">
        <v>6.7000000000000004E-2</v>
      </c>
      <c r="BD51" s="8">
        <v>7.3999999999999996E-2</v>
      </c>
      <c r="BE51" s="8">
        <v>0.08</v>
      </c>
      <c r="BF51" s="4">
        <v>9.5000000000000001E-2</v>
      </c>
      <c r="BG51" s="4">
        <v>3.3000000000000002E-2</v>
      </c>
      <c r="BH51" s="4">
        <v>7.8E-2</v>
      </c>
      <c r="BI51" s="4">
        <v>6.9000000000000006E-2</v>
      </c>
      <c r="BJ51" s="4">
        <v>0.115</v>
      </c>
      <c r="BK51" s="8">
        <v>9.6000000000000002E-2</v>
      </c>
      <c r="BL51" s="4">
        <v>9.5000000000000001E-2</v>
      </c>
      <c r="BM51" s="8">
        <v>0.108</v>
      </c>
      <c r="BN51" s="4">
        <v>0.10299999999999999</v>
      </c>
      <c r="BO51" s="8">
        <v>0.13</v>
      </c>
      <c r="BP51" s="4">
        <v>7.2999999999999995E-2</v>
      </c>
      <c r="BQ51" s="4">
        <v>5.8999999999999997E-2</v>
      </c>
      <c r="BR51" s="4">
        <v>8.2000000000000003E-2</v>
      </c>
      <c r="BS51" s="4">
        <v>0.09</v>
      </c>
      <c r="BT51" s="3">
        <v>8.8999999999999996E-2</v>
      </c>
      <c r="BU51" s="9">
        <v>8.5000000000000006E-2</v>
      </c>
      <c r="BV51" s="3">
        <v>6.4000000000000001E-2</v>
      </c>
      <c r="BW51" s="4">
        <v>0.06</v>
      </c>
      <c r="BX51" s="8">
        <v>8.3000000000000004E-2</v>
      </c>
      <c r="BY51" s="3">
        <v>7.8E-2</v>
      </c>
      <c r="BZ51" s="8">
        <v>9.6000000000000002E-2</v>
      </c>
      <c r="CA51" s="4">
        <v>6.6000000000000003E-2</v>
      </c>
      <c r="CB51" s="4">
        <v>8.3000000000000004E-2</v>
      </c>
      <c r="CC51" s="4">
        <v>9.5000000000000001E-2</v>
      </c>
      <c r="CD51" s="4">
        <v>9.4E-2</v>
      </c>
      <c r="CE51" s="8">
        <v>7.4999999999999997E-2</v>
      </c>
      <c r="CF51" s="4">
        <v>0.112</v>
      </c>
      <c r="CG51" s="4">
        <v>0.09</v>
      </c>
      <c r="CH51" s="4">
        <v>6.6000000000000003E-2</v>
      </c>
      <c r="CI51" s="4">
        <v>0.115</v>
      </c>
      <c r="CJ51" s="4">
        <v>9.8000000000000004E-2</v>
      </c>
      <c r="CK51" s="4">
        <v>7.0999999999999994E-2</v>
      </c>
      <c r="CL51" s="4">
        <v>6.7000000000000004E-2</v>
      </c>
      <c r="CM51" s="8">
        <v>0.08</v>
      </c>
      <c r="CN51" s="4">
        <v>8.5999999999999993E-2</v>
      </c>
      <c r="CO51" s="8">
        <v>9.7000000000000003E-2</v>
      </c>
      <c r="CP51" s="4">
        <v>4.4999999999999998E-2</v>
      </c>
      <c r="CQ51" s="4">
        <v>6.0999999999999999E-2</v>
      </c>
      <c r="CR51" s="4">
        <v>0.1</v>
      </c>
      <c r="CS51" s="8">
        <v>9.9000000000000005E-2</v>
      </c>
      <c r="CT51" s="4">
        <v>4.9000000000000002E-2</v>
      </c>
      <c r="CU51" s="4">
        <v>7.0999999999999994E-2</v>
      </c>
      <c r="CV51" s="4">
        <v>0.10100000000000001</v>
      </c>
      <c r="CW51" s="4">
        <v>0.104</v>
      </c>
      <c r="CX51" s="4">
        <v>8.3000000000000004E-2</v>
      </c>
      <c r="CY51" s="4">
        <v>6.6000000000000003E-2</v>
      </c>
      <c r="CZ51" s="4">
        <v>5.1999999999999998E-2</v>
      </c>
      <c r="DA51" s="4">
        <v>3.3000000000000002E-2</v>
      </c>
      <c r="DB51" s="4">
        <v>3.4000000000000002E-2</v>
      </c>
      <c r="DC51" s="8">
        <v>0.10299999999999999</v>
      </c>
      <c r="DD51" s="4">
        <v>7.6999999999999999E-2</v>
      </c>
      <c r="DE51" s="4">
        <v>8.5999999999999993E-2</v>
      </c>
      <c r="DF51" s="4">
        <v>9.9000000000000005E-2</v>
      </c>
      <c r="DG51" s="4">
        <v>3.2000000000000001E-2</v>
      </c>
      <c r="DH51" s="4">
        <v>7.8E-2</v>
      </c>
      <c r="DI51" s="4">
        <v>6.2E-2</v>
      </c>
      <c r="DJ51" s="8">
        <v>5.8999999999999997E-2</v>
      </c>
      <c r="DK51" s="8">
        <v>6.8000000000000005E-2</v>
      </c>
      <c r="DL51" s="8">
        <v>8.4000000000000005E-2</v>
      </c>
      <c r="DM51" s="8">
        <v>8.5000000000000006E-2</v>
      </c>
      <c r="DN51" s="8">
        <v>8.7999999999999995E-2</v>
      </c>
      <c r="DO51" s="8">
        <v>4.4999999999999998E-2</v>
      </c>
      <c r="DP51" s="8">
        <v>3.6999999999999998E-2</v>
      </c>
      <c r="DQ51" s="4">
        <v>5.7000000000000002E-2</v>
      </c>
      <c r="DR51" s="10">
        <v>7.9000000000000001E-2</v>
      </c>
      <c r="DS51" s="4">
        <v>8.2000000000000003E-2</v>
      </c>
      <c r="DT51" s="10">
        <v>7.3999999999999996E-2</v>
      </c>
      <c r="DU51" s="4">
        <v>0.127</v>
      </c>
      <c r="DV51" s="4">
        <v>6.6000000000000003E-2</v>
      </c>
      <c r="DW51" s="4">
        <v>7.8E-2</v>
      </c>
      <c r="DX51" s="4">
        <v>9.1999999999999998E-2</v>
      </c>
      <c r="DY51" s="4">
        <v>4.2000000000000003E-2</v>
      </c>
      <c r="DZ51" s="4">
        <v>3.7999999999999999E-2</v>
      </c>
      <c r="EA51" s="4">
        <v>3.7999999999999999E-2</v>
      </c>
      <c r="EB51" s="4">
        <v>5.1999999999999998E-2</v>
      </c>
      <c r="EC51" s="8">
        <v>6.3E-2</v>
      </c>
      <c r="ED51" s="4">
        <v>5.8999999999999997E-2</v>
      </c>
      <c r="EE51" s="4">
        <v>6.4000000000000001E-2</v>
      </c>
      <c r="EF51" s="4">
        <v>3.3000000000000002E-2</v>
      </c>
      <c r="EG51" s="4">
        <v>4.8000000000000001E-2</v>
      </c>
      <c r="EH51" s="4">
        <v>6.3E-2</v>
      </c>
      <c r="EI51" s="4">
        <v>6.7000000000000004E-2</v>
      </c>
      <c r="EJ51" s="4">
        <v>5.8000000000000003E-2</v>
      </c>
      <c r="EK51" s="4">
        <v>7.0999999999999994E-2</v>
      </c>
      <c r="EL51" s="4">
        <v>6.8000000000000005E-2</v>
      </c>
      <c r="EM51" s="8">
        <v>6.4000000000000001E-2</v>
      </c>
      <c r="EN51" s="4">
        <v>5.7000000000000002E-2</v>
      </c>
      <c r="EO51" s="4">
        <v>9.9000000000000005E-2</v>
      </c>
      <c r="EP51" s="4">
        <v>7.8E-2</v>
      </c>
      <c r="EQ51" s="4">
        <v>5.7000000000000002E-2</v>
      </c>
      <c r="ER51" s="8">
        <v>5.8999999999999997E-2</v>
      </c>
      <c r="ES51" s="8">
        <v>0.08</v>
      </c>
      <c r="ET51" s="4">
        <v>0.109</v>
      </c>
      <c r="EU51" s="8">
        <v>0.04</v>
      </c>
      <c r="EV51" s="4">
        <v>5.2999999999999999E-2</v>
      </c>
      <c r="EW51" s="4">
        <v>5.8000000000000003E-2</v>
      </c>
      <c r="EX51" s="8">
        <v>4.8000000000000001E-2</v>
      </c>
      <c r="EY51" s="8">
        <v>3.4000000000000002E-2</v>
      </c>
      <c r="EZ51" s="4">
        <v>6.0999999999999999E-2</v>
      </c>
      <c r="FA51" s="4">
        <v>7.0999999999999994E-2</v>
      </c>
      <c r="FB51" s="4">
        <v>6.6000000000000003E-2</v>
      </c>
      <c r="FC51" s="4">
        <v>9.8000000000000004E-2</v>
      </c>
      <c r="FD51" s="4">
        <v>7.0000000000000007E-2</v>
      </c>
      <c r="FE51" s="4">
        <v>8.2000000000000003E-2</v>
      </c>
      <c r="FF51" s="4">
        <v>6.2E-2</v>
      </c>
      <c r="FG51" s="4"/>
      <c r="FH51" s="4"/>
      <c r="FI51" s="4"/>
      <c r="FJ51" s="4"/>
      <c r="FK51" s="4"/>
      <c r="FL51" s="4"/>
    </row>
    <row r="52" spans="1:168" x14ac:dyDescent="0.3">
      <c r="A52" t="s">
        <v>218</v>
      </c>
      <c r="B52" s="4">
        <v>0.23300000000000001</v>
      </c>
      <c r="C52" s="4">
        <v>0.42699999999999999</v>
      </c>
      <c r="D52" s="4">
        <v>0.34200000000000003</v>
      </c>
      <c r="E52" s="8">
        <v>0.29399999999999998</v>
      </c>
      <c r="F52" s="8">
        <v>0.30299999999999999</v>
      </c>
      <c r="G52" s="4">
        <v>0.26600000000000001</v>
      </c>
      <c r="H52" s="4">
        <v>0.183</v>
      </c>
      <c r="I52" s="4">
        <v>0.63300000000000001</v>
      </c>
      <c r="J52" s="4">
        <v>0.34</v>
      </c>
      <c r="K52" s="8">
        <v>0.79600000000000004</v>
      </c>
      <c r="L52" s="4">
        <v>0.748</v>
      </c>
      <c r="M52" s="4">
        <v>0.48699999999999999</v>
      </c>
      <c r="N52" s="4">
        <v>0.68500000000000005</v>
      </c>
      <c r="O52" s="4">
        <v>0.625</v>
      </c>
      <c r="P52" s="4">
        <v>0.93300000000000005</v>
      </c>
      <c r="Q52" s="4">
        <v>0.93799999999999994</v>
      </c>
      <c r="R52" s="4">
        <v>0.22900000000000001</v>
      </c>
      <c r="S52" s="4">
        <v>0.50900000000000001</v>
      </c>
      <c r="T52" s="4">
        <v>0.626</v>
      </c>
      <c r="U52" s="4">
        <v>0.56999999999999995</v>
      </c>
      <c r="V52" s="4">
        <v>0.30499999999999999</v>
      </c>
      <c r="W52" s="4">
        <v>0.34699999999999998</v>
      </c>
      <c r="X52" s="4">
        <v>0.32800000000000001</v>
      </c>
      <c r="Y52" s="4">
        <v>0.27100000000000002</v>
      </c>
      <c r="Z52" s="8">
        <v>0.47399999999999998</v>
      </c>
      <c r="AA52" s="8">
        <v>0.19</v>
      </c>
      <c r="AB52" s="4">
        <v>0.08</v>
      </c>
      <c r="AC52" s="4">
        <v>3.0000000000000001E-3</v>
      </c>
      <c r="AD52" s="4">
        <v>0.627</v>
      </c>
      <c r="AE52" s="4">
        <v>1E-3</v>
      </c>
      <c r="AF52" s="4">
        <v>4.7E-2</v>
      </c>
      <c r="AG52" s="8">
        <v>0.9</v>
      </c>
      <c r="AH52" s="8">
        <v>0.86899999999999999</v>
      </c>
      <c r="AI52" s="4">
        <v>0.91100000000000003</v>
      </c>
      <c r="AJ52" s="4">
        <v>0.32100000000000001</v>
      </c>
      <c r="AK52" s="8">
        <v>0.32</v>
      </c>
      <c r="AL52" s="4">
        <v>0.26400000000000001</v>
      </c>
      <c r="AM52" s="4">
        <v>0.505</v>
      </c>
      <c r="AN52" s="4">
        <v>0.52900000000000003</v>
      </c>
      <c r="AO52" s="4">
        <v>0.68200000000000005</v>
      </c>
      <c r="AP52" s="4">
        <v>0.92100000000000004</v>
      </c>
      <c r="AQ52" s="10">
        <v>0.83199999999999996</v>
      </c>
      <c r="AR52" s="10">
        <v>0.85699999999999998</v>
      </c>
      <c r="AS52" s="10">
        <v>0.71799999999999997</v>
      </c>
      <c r="AT52" s="10">
        <v>0.96499999999999997</v>
      </c>
      <c r="AU52" s="10">
        <v>0.47099999999999997</v>
      </c>
      <c r="AV52" s="8">
        <v>0.67200000000000004</v>
      </c>
      <c r="AW52" s="8">
        <v>0.86899999999999999</v>
      </c>
      <c r="AX52" s="10">
        <v>0.65300000000000002</v>
      </c>
      <c r="AY52" s="8">
        <v>0.74299999999999999</v>
      </c>
      <c r="AZ52" s="10">
        <v>0.94099999999999995</v>
      </c>
      <c r="BA52" s="10">
        <v>0.89400000000000002</v>
      </c>
      <c r="BB52" s="10">
        <v>0.82</v>
      </c>
      <c r="BC52" s="8">
        <v>0.24099999999999999</v>
      </c>
      <c r="BD52" s="8">
        <v>0.16300000000000001</v>
      </c>
      <c r="BE52" s="8">
        <v>0.83</v>
      </c>
      <c r="BF52" s="10">
        <v>0.26300000000000001</v>
      </c>
      <c r="BG52" s="10">
        <v>0.82399999999999995</v>
      </c>
      <c r="BH52" s="10">
        <v>0.72499999999999998</v>
      </c>
      <c r="BI52" s="10">
        <v>0.60699999999999998</v>
      </c>
      <c r="BJ52" s="10">
        <v>0.23699999999999999</v>
      </c>
      <c r="BK52" s="8">
        <v>0.40600000000000003</v>
      </c>
      <c r="BL52" s="10">
        <v>0.53100000000000003</v>
      </c>
      <c r="BM52" s="8">
        <v>0.161</v>
      </c>
      <c r="BN52" s="10">
        <v>0.315</v>
      </c>
      <c r="BO52" s="8">
        <v>0.254</v>
      </c>
      <c r="BP52" s="10">
        <v>0.30399999999999999</v>
      </c>
      <c r="BQ52" s="10">
        <v>0.30499999999999999</v>
      </c>
      <c r="BR52" s="10">
        <v>0.311</v>
      </c>
      <c r="BS52" s="10">
        <v>0.30399999999999999</v>
      </c>
      <c r="BT52" s="3">
        <v>0.84</v>
      </c>
      <c r="BU52" s="9">
        <v>0.74099999999999999</v>
      </c>
      <c r="BV52" s="3">
        <v>0.29799999999999999</v>
      </c>
      <c r="BW52" s="4">
        <v>0.86499999999999999</v>
      </c>
      <c r="BX52" s="8">
        <v>0.75600000000000001</v>
      </c>
      <c r="BY52" s="3">
        <v>0.84</v>
      </c>
      <c r="BZ52" s="8">
        <v>0.29399999999999998</v>
      </c>
      <c r="CA52" s="4">
        <v>0.27500000000000002</v>
      </c>
      <c r="CB52" s="4">
        <v>0.25700000000000001</v>
      </c>
      <c r="CC52" s="4">
        <v>0.34499999999999997</v>
      </c>
      <c r="CD52" s="4">
        <v>0.246</v>
      </c>
      <c r="CE52" s="8">
        <v>0.28399999999999997</v>
      </c>
      <c r="CF52" s="4">
        <v>0.39800000000000002</v>
      </c>
      <c r="CG52" s="4">
        <v>0.34200000000000003</v>
      </c>
      <c r="CH52" s="4">
        <v>0.26100000000000001</v>
      </c>
      <c r="CI52" s="4">
        <v>0.314</v>
      </c>
      <c r="CJ52" s="4">
        <v>0.497</v>
      </c>
      <c r="CK52" s="4">
        <v>0.36599999999999999</v>
      </c>
      <c r="CL52" s="4">
        <v>0.32</v>
      </c>
      <c r="CM52" s="8">
        <v>0.26900000000000002</v>
      </c>
      <c r="CN52" s="4">
        <v>0.36699999999999999</v>
      </c>
      <c r="CO52" s="8">
        <v>0.36199999999999999</v>
      </c>
      <c r="CP52" s="4">
        <v>0.29799999999999999</v>
      </c>
      <c r="CQ52" s="4">
        <v>0.316</v>
      </c>
      <c r="CR52" s="4">
        <v>0.39300000000000002</v>
      </c>
      <c r="CS52" s="8">
        <v>0.379</v>
      </c>
      <c r="CT52" s="4">
        <v>0.29099999999999998</v>
      </c>
      <c r="CU52" s="4">
        <v>0.379</v>
      </c>
      <c r="CV52" s="4">
        <v>0.58399999999999996</v>
      </c>
      <c r="CW52" s="4">
        <v>0.46</v>
      </c>
      <c r="CX52" s="4">
        <v>0.40100000000000002</v>
      </c>
      <c r="CY52" s="4">
        <v>0.70499999999999996</v>
      </c>
      <c r="CZ52" s="4">
        <v>0.71699999999999997</v>
      </c>
      <c r="DA52" s="4">
        <v>0.878</v>
      </c>
      <c r="DB52" s="4">
        <v>0.46800000000000003</v>
      </c>
      <c r="DC52" s="8">
        <v>0.52700000000000002</v>
      </c>
      <c r="DD52" s="4">
        <v>0.34200000000000003</v>
      </c>
      <c r="DE52" s="4">
        <v>0.35199999999999998</v>
      </c>
      <c r="DF52" s="4">
        <v>0.432</v>
      </c>
      <c r="DG52" s="4">
        <v>0.26100000000000001</v>
      </c>
      <c r="DH52" s="4">
        <v>0.221</v>
      </c>
      <c r="DI52" s="4">
        <v>0.65800000000000003</v>
      </c>
      <c r="DJ52" s="8">
        <v>0.73</v>
      </c>
      <c r="DK52" s="8">
        <v>0.61499999999999999</v>
      </c>
      <c r="DL52" s="8">
        <v>0.70199999999999996</v>
      </c>
      <c r="DM52" s="8">
        <v>0.80900000000000005</v>
      </c>
      <c r="DN52" s="8">
        <v>0.84299999999999997</v>
      </c>
      <c r="DO52" s="8">
        <v>0.502</v>
      </c>
      <c r="DP52" s="8">
        <v>0.75900000000000001</v>
      </c>
      <c r="DQ52" s="4">
        <v>0.27500000000000002</v>
      </c>
      <c r="DR52" s="10">
        <v>0.71599999999999997</v>
      </c>
      <c r="DS52" s="4">
        <v>0.23899999999999999</v>
      </c>
      <c r="DT52" s="10">
        <v>0.128</v>
      </c>
      <c r="DU52" s="4">
        <v>0.41099999999999998</v>
      </c>
      <c r="DV52" s="4">
        <v>0.7</v>
      </c>
      <c r="DW52" s="4">
        <v>0.69799999999999995</v>
      </c>
      <c r="DX52" s="4">
        <v>0.20599999999999999</v>
      </c>
      <c r="DY52" s="4">
        <v>0.69099999999999995</v>
      </c>
      <c r="DZ52" s="4">
        <v>0.77700000000000002</v>
      </c>
      <c r="EA52" s="4">
        <v>0.82899999999999996</v>
      </c>
      <c r="EB52" s="4">
        <v>0.71299999999999997</v>
      </c>
      <c r="EC52" s="8">
        <v>0.76400000000000001</v>
      </c>
      <c r="ED52" s="4">
        <v>0.76900000000000002</v>
      </c>
      <c r="EE52" s="4">
        <v>0.76500000000000001</v>
      </c>
      <c r="EF52" s="4">
        <v>0.51300000000000001</v>
      </c>
      <c r="EG52" s="4">
        <v>0.52500000000000002</v>
      </c>
      <c r="EH52" s="4">
        <v>0.72599999999999998</v>
      </c>
      <c r="EI52" s="4">
        <v>0.73899999999999999</v>
      </c>
      <c r="EJ52" s="4">
        <v>0.77700000000000002</v>
      </c>
      <c r="EK52" s="4">
        <v>0.56299999999999994</v>
      </c>
      <c r="EL52" s="4">
        <v>0.70799999999999996</v>
      </c>
      <c r="EM52" s="8">
        <v>0.67600000000000005</v>
      </c>
      <c r="EN52" s="4">
        <v>0.70499999999999996</v>
      </c>
      <c r="EO52" s="4">
        <v>0.501</v>
      </c>
      <c r="EP52" s="4">
        <v>0.67300000000000004</v>
      </c>
      <c r="EQ52" s="4">
        <v>0.44900000000000001</v>
      </c>
      <c r="ER52" s="8">
        <v>0.60399999999999998</v>
      </c>
      <c r="ES52" s="8">
        <v>0.34499999999999997</v>
      </c>
      <c r="ET52" s="4">
        <v>0.433</v>
      </c>
      <c r="EU52" s="8">
        <v>0.999</v>
      </c>
      <c r="EV52" s="4">
        <v>0.875</v>
      </c>
      <c r="EW52" s="4">
        <v>0.78300000000000003</v>
      </c>
      <c r="EX52" s="8">
        <v>0.89300000000000002</v>
      </c>
      <c r="EY52" s="8">
        <v>0.96299999999999997</v>
      </c>
      <c r="EZ52" s="4">
        <v>0.7</v>
      </c>
      <c r="FA52" s="4">
        <v>0.64</v>
      </c>
      <c r="FB52" s="4">
        <v>0.68</v>
      </c>
      <c r="FC52" s="4">
        <v>0.442</v>
      </c>
      <c r="FD52" s="4">
        <v>0.72099999999999997</v>
      </c>
      <c r="FE52" s="4">
        <v>0.67700000000000005</v>
      </c>
      <c r="FF52" s="4">
        <v>0.40300000000000002</v>
      </c>
      <c r="FG52" s="4"/>
      <c r="FH52" s="4"/>
      <c r="FI52" s="4"/>
      <c r="FJ52" s="4"/>
      <c r="FK52" s="4"/>
      <c r="FL52" s="4"/>
    </row>
    <row r="53" spans="1:168" x14ac:dyDescent="0.3">
      <c r="A53" t="s">
        <v>210</v>
      </c>
      <c r="B53" s="7">
        <f t="shared" ref="B53:BM53" si="162">(B48-B40)/B40</f>
        <v>1.5974025974025976</v>
      </c>
      <c r="C53" s="7">
        <f t="shared" si="162"/>
        <v>0.8655462184873951</v>
      </c>
      <c r="D53" s="7">
        <f t="shared" si="162"/>
        <v>0.9375</v>
      </c>
      <c r="E53" s="9">
        <f t="shared" si="162"/>
        <v>1.1594202898550725</v>
      </c>
      <c r="F53" s="9">
        <f t="shared" si="162"/>
        <v>1.35625</v>
      </c>
      <c r="G53" s="7">
        <f t="shared" si="162"/>
        <v>1.6666666666666667</v>
      </c>
      <c r="H53" s="7">
        <f t="shared" si="162"/>
        <v>2.5714285714285707</v>
      </c>
      <c r="I53" s="7">
        <f t="shared" si="162"/>
        <v>0.39370078740157471</v>
      </c>
      <c r="J53" s="7">
        <f t="shared" si="162"/>
        <v>1.0754716981132075</v>
      </c>
      <c r="K53" s="9">
        <f t="shared" si="162"/>
        <v>0.11195928753180658</v>
      </c>
      <c r="L53" s="7">
        <f t="shared" si="162"/>
        <v>0.10266940451745389</v>
      </c>
      <c r="M53" s="7">
        <f t="shared" si="162"/>
        <v>0.52941176470588225</v>
      </c>
      <c r="N53" s="7">
        <f t="shared" si="162"/>
        <v>0.21428571428571436</v>
      </c>
      <c r="O53" s="7">
        <f t="shared" si="162"/>
        <v>0.40476190476190477</v>
      </c>
      <c r="P53" s="7">
        <f t="shared" si="162"/>
        <v>6.0000000000000053E-2</v>
      </c>
      <c r="Q53" s="7">
        <f t="shared" si="162"/>
        <v>4.0909090909090944E-2</v>
      </c>
      <c r="R53" s="7">
        <f t="shared" si="162"/>
        <v>1.4484304932735428</v>
      </c>
      <c r="S53" s="7">
        <f t="shared" si="162"/>
        <v>0.43771043771043777</v>
      </c>
      <c r="T53" s="7">
        <f t="shared" si="162"/>
        <v>0.20833333333333329</v>
      </c>
      <c r="U53" s="7">
        <f t="shared" si="162"/>
        <v>0.2727272727272726</v>
      </c>
      <c r="V53" s="7">
        <f t="shared" si="162"/>
        <v>1.6458333333333333</v>
      </c>
      <c r="W53" s="7">
        <f t="shared" si="162"/>
        <v>1.4705882352941173</v>
      </c>
      <c r="X53" s="7">
        <f t="shared" si="162"/>
        <v>0.27906976744186057</v>
      </c>
      <c r="Y53" s="7">
        <f t="shared" si="162"/>
        <v>1.6134969325153374</v>
      </c>
      <c r="Z53" s="9">
        <f t="shared" si="162"/>
        <v>1.1284916201117319</v>
      </c>
      <c r="AA53" s="9">
        <f t="shared" si="162"/>
        <v>0.70642201834862384</v>
      </c>
      <c r="AB53" s="7">
        <f t="shared" si="162"/>
        <v>0.58995815899581594</v>
      </c>
      <c r="AC53" s="7">
        <f t="shared" si="162"/>
        <v>0.59717314487632533</v>
      </c>
      <c r="AD53" s="7">
        <f t="shared" si="162"/>
        <v>0.16285714285714287</v>
      </c>
      <c r="AE53" s="7">
        <f t="shared" si="162"/>
        <v>1.144385026737968</v>
      </c>
      <c r="AF53" s="7">
        <f t="shared" si="162"/>
        <v>0.84536082474226792</v>
      </c>
      <c r="AG53" s="9">
        <f t="shared" si="162"/>
        <v>3.2206119162640934E-2</v>
      </c>
      <c r="AH53" s="9">
        <f t="shared" si="162"/>
        <v>4.7186932849364628E-2</v>
      </c>
      <c r="AI53" s="7">
        <f t="shared" si="162"/>
        <v>1.6602809706257996E-2</v>
      </c>
      <c r="AJ53" s="7">
        <f t="shared" si="162"/>
        <v>1.9275362318840579</v>
      </c>
      <c r="AK53" s="9">
        <f t="shared" si="162"/>
        <v>3.3199999999999994</v>
      </c>
      <c r="AL53" s="7">
        <f t="shared" si="162"/>
        <v>2.3282442748091601</v>
      </c>
      <c r="AM53" s="7">
        <f t="shared" si="162"/>
        <v>0.23540489642184556</v>
      </c>
      <c r="AN53" s="7">
        <f t="shared" si="162"/>
        <v>0.32293986636971039</v>
      </c>
      <c r="AO53" s="7">
        <f t="shared" si="162"/>
        <v>0.21100917431192656</v>
      </c>
      <c r="AP53" s="7">
        <f t="shared" si="162"/>
        <v>3.0241935483870996E-2</v>
      </c>
      <c r="AQ53" s="7">
        <f t="shared" si="162"/>
        <v>8.3870967741935434E-2</v>
      </c>
      <c r="AR53" s="7">
        <f t="shared" si="162"/>
        <v>7.9136690647482091E-2</v>
      </c>
      <c r="AS53" s="7">
        <f t="shared" si="162"/>
        <v>0.34112149532710273</v>
      </c>
      <c r="AT53" s="7">
        <f t="shared" si="162"/>
        <v>1.0886469673405919E-2</v>
      </c>
      <c r="AU53" s="7">
        <f t="shared" si="162"/>
        <v>1.4380530973451331</v>
      </c>
      <c r="AV53" s="9">
        <f t="shared" si="162"/>
        <v>0.16257668711656439</v>
      </c>
      <c r="AW53" s="9">
        <f t="shared" si="162"/>
        <v>7.0312500000000056E-2</v>
      </c>
      <c r="AX53" s="7">
        <f t="shared" si="162"/>
        <v>0.79797979797979779</v>
      </c>
      <c r="AY53" s="9">
        <f t="shared" si="162"/>
        <v>0.29745042492917861</v>
      </c>
      <c r="AZ53" s="7">
        <f t="shared" si="162"/>
        <v>-0.14623655913978495</v>
      </c>
      <c r="BA53" s="7">
        <f t="shared" si="162"/>
        <v>6.7892503536067961E-2</v>
      </c>
      <c r="BB53" s="7">
        <f t="shared" si="162"/>
        <v>0.1507936507936507</v>
      </c>
      <c r="BC53" s="9">
        <f t="shared" si="162"/>
        <v>1.4086538461538465</v>
      </c>
      <c r="BD53" s="9">
        <f t="shared" si="162"/>
        <v>1.5964912280701753</v>
      </c>
      <c r="BE53" s="9">
        <f t="shared" si="162"/>
        <v>7.9646017699115126E-2</v>
      </c>
      <c r="BF53" s="7">
        <f t="shared" si="162"/>
        <v>1.5163934426229508</v>
      </c>
      <c r="BG53" s="7">
        <f t="shared" si="162"/>
        <v>0.10404624277456635</v>
      </c>
      <c r="BH53" s="7">
        <f t="shared" si="162"/>
        <v>0.24999999999999992</v>
      </c>
      <c r="BI53" s="7">
        <f t="shared" si="162"/>
        <v>0.23822714681440449</v>
      </c>
      <c r="BJ53" s="7">
        <f t="shared" si="162"/>
        <v>-0.71499999999999997</v>
      </c>
      <c r="BK53" s="9">
        <f t="shared" si="162"/>
        <v>1.24</v>
      </c>
      <c r="BL53" s="7">
        <f t="shared" si="162"/>
        <v>0.18568232662192397</v>
      </c>
      <c r="BM53" s="9">
        <f t="shared" si="162"/>
        <v>1.907975460122699</v>
      </c>
      <c r="BN53" s="7">
        <f t="shared" ref="BN53:DY53" si="163">(BN48-BN40)/BN40</f>
        <v>1.1627906976744187</v>
      </c>
      <c r="BO53" s="9">
        <f t="shared" si="163"/>
        <v>2.5949367088607591</v>
      </c>
      <c r="BP53" s="7">
        <f t="shared" si="163"/>
        <v>0.96648044692737423</v>
      </c>
      <c r="BQ53" s="7">
        <f t="shared" si="163"/>
        <v>0.39495798319327735</v>
      </c>
      <c r="BR53" s="7">
        <f t="shared" si="163"/>
        <v>0.58653846153846156</v>
      </c>
      <c r="BS53" s="7">
        <f t="shared" si="163"/>
        <v>1.098360655737705</v>
      </c>
      <c r="BT53" s="7">
        <f t="shared" si="163"/>
        <v>4.8101265822784713E-2</v>
      </c>
      <c r="BU53" s="9">
        <f t="shared" si="163"/>
        <v>0.11300639658848624</v>
      </c>
      <c r="BV53" s="7">
        <f t="shared" si="163"/>
        <v>1.4792899408284036E-3</v>
      </c>
      <c r="BW53" s="7">
        <f t="shared" si="163"/>
        <v>4.5454545454545497E-2</v>
      </c>
      <c r="BX53" s="9">
        <f t="shared" si="163"/>
        <v>0.32573289902280123</v>
      </c>
      <c r="BY53" s="7">
        <f t="shared" si="163"/>
        <v>7.061503416856485E-2</v>
      </c>
      <c r="BZ53" s="9">
        <f t="shared" si="163"/>
        <v>0.94715447154471544</v>
      </c>
      <c r="CA53" s="7">
        <f t="shared" si="163"/>
        <v>1.2460732984293192</v>
      </c>
      <c r="CB53" s="7">
        <f t="shared" si="163"/>
        <v>2.693877551020408</v>
      </c>
      <c r="CC53" s="7">
        <f t="shared" si="163"/>
        <v>1.2887700534759359</v>
      </c>
      <c r="CD53" s="7">
        <f t="shared" si="163"/>
        <v>1.034934497816594</v>
      </c>
      <c r="CE53" s="9">
        <f t="shared" si="163"/>
        <v>0.76603773584905666</v>
      </c>
      <c r="CF53" s="7">
        <f t="shared" si="163"/>
        <v>1.6666666666666667</v>
      </c>
      <c r="CG53" s="7">
        <f t="shared" si="163"/>
        <v>0.88271604938271597</v>
      </c>
      <c r="CH53" s="7">
        <f t="shared" si="163"/>
        <v>2.1098901098901095</v>
      </c>
      <c r="CI53" s="7">
        <f t="shared" si="163"/>
        <v>0.78200692041522513</v>
      </c>
      <c r="CJ53" s="7">
        <f t="shared" si="163"/>
        <v>4.2051282051282053</v>
      </c>
      <c r="CK53" s="7">
        <f t="shared" si="163"/>
        <v>1.1291666666666669</v>
      </c>
      <c r="CL53" s="7">
        <f t="shared" si="163"/>
        <v>0.63387978142076495</v>
      </c>
      <c r="CM53" s="9">
        <f t="shared" si="163"/>
        <v>0.74570446735395202</v>
      </c>
      <c r="CN53" s="7">
        <f t="shared" si="163"/>
        <v>0.46013667425968113</v>
      </c>
      <c r="CO53" s="9">
        <f t="shared" si="163"/>
        <v>0.83520599250936312</v>
      </c>
      <c r="CP53" s="7">
        <f t="shared" si="163"/>
        <v>0.78160919540229901</v>
      </c>
      <c r="CQ53" s="7">
        <f t="shared" si="163"/>
        <v>0.62256809338521391</v>
      </c>
      <c r="CR53" s="7">
        <f t="shared" si="163"/>
        <v>0.54702970297029696</v>
      </c>
      <c r="CS53" s="9">
        <f t="shared" si="163"/>
        <v>0.74561403508771906</v>
      </c>
      <c r="CT53" s="7">
        <f t="shared" si="163"/>
        <v>0.80281690140845086</v>
      </c>
      <c r="CU53" s="7">
        <f t="shared" si="163"/>
        <v>0.49999999999999983</v>
      </c>
      <c r="CV53" s="7">
        <f t="shared" si="163"/>
        <v>0.41369047619047605</v>
      </c>
      <c r="CW53" s="7">
        <f t="shared" si="163"/>
        <v>1.2671755725190839</v>
      </c>
      <c r="CX53" s="7">
        <f t="shared" si="163"/>
        <v>0.45910290237467027</v>
      </c>
      <c r="CY53" s="7">
        <f t="shared" si="163"/>
        <v>0.14880952380952372</v>
      </c>
      <c r="CZ53" s="7">
        <f t="shared" si="163"/>
        <v>0.21973929236499065</v>
      </c>
      <c r="DA53" s="7">
        <f t="shared" si="163"/>
        <v>8.2551594746716556E-2</v>
      </c>
      <c r="DB53" s="7">
        <f t="shared" si="163"/>
        <v>0.36966824644549756</v>
      </c>
      <c r="DC53" s="9">
        <f t="shared" si="163"/>
        <v>7.3800738007379935E-2</v>
      </c>
      <c r="DD53" s="7">
        <f t="shared" si="163"/>
        <v>0.27652733118971068</v>
      </c>
      <c r="DE53" s="7">
        <f t="shared" si="163"/>
        <v>0.2696629213483146</v>
      </c>
      <c r="DF53" s="7">
        <f t="shared" si="163"/>
        <v>0.2711864406779661</v>
      </c>
      <c r="DG53" s="7">
        <f t="shared" si="163"/>
        <v>1.1091703056768558</v>
      </c>
      <c r="DH53" s="7">
        <f t="shared" si="163"/>
        <v>2.1838235294117645</v>
      </c>
      <c r="DI53" s="7">
        <f t="shared" si="163"/>
        <v>0.20179372197309423</v>
      </c>
      <c r="DJ53" s="9">
        <f t="shared" si="163"/>
        <v>-7.9279279279279344E-2</v>
      </c>
      <c r="DK53" s="9">
        <f t="shared" si="163"/>
        <v>6.2893081761006345E-3</v>
      </c>
      <c r="DL53" s="9">
        <f t="shared" si="163"/>
        <v>0.10071942446043175</v>
      </c>
      <c r="DM53" s="9">
        <f t="shared" si="163"/>
        <v>-6.9377990430621941E-2</v>
      </c>
      <c r="DN53" s="9">
        <f t="shared" si="163"/>
        <v>4.9423393739703508E-3</v>
      </c>
      <c r="DO53" s="9">
        <f t="shared" si="163"/>
        <v>1.237964236588722E-2</v>
      </c>
      <c r="DP53" s="9">
        <f t="shared" si="163"/>
        <v>0.22198275862068947</v>
      </c>
      <c r="DQ53" s="7">
        <f t="shared" si="163"/>
        <v>5.7422969187675123E-2</v>
      </c>
      <c r="DR53" s="7">
        <f t="shared" si="163"/>
        <v>6.3893016344724995E-2</v>
      </c>
      <c r="DS53" s="7">
        <f t="shared" si="163"/>
        <v>6.0483870967741993E-2</v>
      </c>
      <c r="DT53" s="7">
        <f t="shared" si="163"/>
        <v>0.32219570405727938</v>
      </c>
      <c r="DU53" s="7">
        <f t="shared" si="163"/>
        <v>1.1686746987951806</v>
      </c>
      <c r="DV53" s="7">
        <f t="shared" si="163"/>
        <v>6.2374245472837077E-2</v>
      </c>
      <c r="DW53" s="7">
        <f t="shared" si="163"/>
        <v>0.11776447105788433</v>
      </c>
      <c r="DX53" s="7">
        <f t="shared" si="163"/>
        <v>9.3645484949832866E-2</v>
      </c>
      <c r="DY53" s="7">
        <f t="shared" si="163"/>
        <v>8.3870967741935407E-2</v>
      </c>
      <c r="DZ53" s="7">
        <f t="shared" ref="DZ53:EX53" si="164">(DZ48-DZ40)/DZ40</f>
        <v>7.8982597054886278E-2</v>
      </c>
      <c r="EA53" s="7">
        <f t="shared" si="164"/>
        <v>8.9260808926080973E-2</v>
      </c>
      <c r="EB53" s="7">
        <f t="shared" si="164"/>
        <v>9.2086330935251884E-2</v>
      </c>
      <c r="EC53" s="9">
        <f t="shared" si="164"/>
        <v>8.5714285714285618E-2</v>
      </c>
      <c r="ED53" s="7">
        <f t="shared" si="164"/>
        <v>7.1625344352617151E-2</v>
      </c>
      <c r="EE53" s="7">
        <f t="shared" si="164"/>
        <v>0.10410958904109599</v>
      </c>
      <c r="EF53" s="7">
        <f t="shared" si="164"/>
        <v>0.37102473498233235</v>
      </c>
      <c r="EG53" s="7">
        <f t="shared" si="164"/>
        <v>0.40926640926640917</v>
      </c>
      <c r="EH53" s="7">
        <f t="shared" si="164"/>
        <v>0.16180371352785144</v>
      </c>
      <c r="EI53" s="7">
        <f t="shared" si="164"/>
        <v>0.14529914529914545</v>
      </c>
      <c r="EJ53" s="7">
        <f t="shared" si="164"/>
        <v>6.0367454068241524E-2</v>
      </c>
      <c r="EK53" s="7">
        <f t="shared" si="164"/>
        <v>0.28308823529411747</v>
      </c>
      <c r="EL53" s="7">
        <f t="shared" si="164"/>
        <v>0.10920770877944323</v>
      </c>
      <c r="EM53" s="9">
        <f t="shared" si="164"/>
        <v>0.23262032085561504</v>
      </c>
      <c r="EN53" s="7">
        <f t="shared" si="164"/>
        <v>0.11818181818181811</v>
      </c>
      <c r="EO53" s="7">
        <f t="shared" si="164"/>
        <v>0.54455445544554448</v>
      </c>
      <c r="EP53" s="7">
        <f t="shared" si="164"/>
        <v>0.33249370277078083</v>
      </c>
      <c r="EQ53" s="7">
        <f t="shared" si="164"/>
        <v>0.43851508120649652</v>
      </c>
      <c r="ER53" s="9">
        <f t="shared" si="164"/>
        <v>0.29400386847195359</v>
      </c>
      <c r="ES53" s="9">
        <f t="shared" si="164"/>
        <v>0.89072847682119194</v>
      </c>
      <c r="ET53" s="7">
        <f t="shared" si="164"/>
        <v>0.17989417989417991</v>
      </c>
      <c r="EU53" s="9">
        <f t="shared" si="164"/>
        <v>-0.11397557666214378</v>
      </c>
      <c r="EV53" s="7">
        <f t="shared" si="164"/>
        <v>6.7736185383244066E-2</v>
      </c>
      <c r="EW53" s="7">
        <f t="shared" si="164"/>
        <v>0.1176470588235294</v>
      </c>
      <c r="EX53" s="9">
        <f t="shared" si="164"/>
        <v>2.2408963585434195E-2</v>
      </c>
      <c r="EY53" s="9">
        <f>(EY48-EY40)/EY40</f>
        <v>1.4248704663212448E-2</v>
      </c>
      <c r="EZ53" s="7">
        <f>(EZ48-EZ40)/EZ40</f>
        <v>0.19553072625698326</v>
      </c>
      <c r="FA53" s="7">
        <f>(FA48-FA40)/FA40</f>
        <v>0.25392670157068054</v>
      </c>
      <c r="FB53" s="7">
        <f>(FB48-FB40)/FB40</f>
        <v>0.57342657342657355</v>
      </c>
      <c r="FC53" s="7">
        <f>(FC48-FC40)/FC40</f>
        <v>0.62439024390243925</v>
      </c>
      <c r="FD53" s="7">
        <f>(FD48-FD40)/FD40</f>
        <v>0.24764890282131666</v>
      </c>
      <c r="FE53" s="7">
        <f>(FE48-FE40)/FE40</f>
        <v>0.32936507936507942</v>
      </c>
      <c r="FF53" s="7">
        <f>(FF48-FF40)/FF40</f>
        <v>0.66810344827586199</v>
      </c>
      <c r="FG53" s="4"/>
      <c r="FH53" s="4"/>
      <c r="FI53" s="4"/>
      <c r="FJ53" s="4"/>
      <c r="FK53" s="4"/>
      <c r="FL53" s="4"/>
    </row>
    <row r="54" spans="1:168" x14ac:dyDescent="0.3">
      <c r="A54" t="s">
        <v>211</v>
      </c>
      <c r="B54" s="7">
        <f t="shared" ref="B54:BM54" si="165">(B49-B41)/B41</f>
        <v>1.5331010452961673</v>
      </c>
      <c r="C54" s="7">
        <f t="shared" si="165"/>
        <v>0.52983293556085931</v>
      </c>
      <c r="D54" s="7">
        <f t="shared" si="165"/>
        <v>0.58886509635974293</v>
      </c>
      <c r="E54" s="9">
        <f t="shared" si="165"/>
        <v>0.71092077087794436</v>
      </c>
      <c r="F54" s="9">
        <f t="shared" si="165"/>
        <v>0.59426229508196726</v>
      </c>
      <c r="G54" s="7">
        <f t="shared" si="165"/>
        <v>0.96717171717171713</v>
      </c>
      <c r="H54" s="7">
        <f t="shared" si="165"/>
        <v>1.9823008849557524</v>
      </c>
      <c r="I54" s="7">
        <f t="shared" si="165"/>
        <v>9.9585062240663991E-2</v>
      </c>
      <c r="J54" s="7">
        <f t="shared" si="165"/>
        <v>1.5663716814159288</v>
      </c>
      <c r="K54" s="9">
        <f t="shared" si="165"/>
        <v>4.2528735632183949E-2</v>
      </c>
      <c r="L54" s="7">
        <f t="shared" si="165"/>
        <v>6.0538116591928176E-2</v>
      </c>
      <c r="M54" s="7">
        <f t="shared" si="165"/>
        <v>0.11308767471410415</v>
      </c>
      <c r="N54" s="7">
        <f t="shared" si="165"/>
        <v>0.11713933415536371</v>
      </c>
      <c r="O54" s="7">
        <f t="shared" si="165"/>
        <v>0.21971830985915497</v>
      </c>
      <c r="P54" s="7">
        <f t="shared" si="165"/>
        <v>3.1479538300104963E-3</v>
      </c>
      <c r="Q54" s="7">
        <f t="shared" si="165"/>
        <v>1.1482254697286023E-2</v>
      </c>
      <c r="R54" s="7">
        <f t="shared" si="165"/>
        <v>3.4179104477611939</v>
      </c>
      <c r="S54" s="7">
        <f t="shared" si="165"/>
        <v>0.13409415121255364</v>
      </c>
      <c r="T54" s="7">
        <f t="shared" si="165"/>
        <v>2.1791767554479438E-2</v>
      </c>
      <c r="U54" s="7">
        <f t="shared" si="165"/>
        <v>0.12532299741602063</v>
      </c>
      <c r="V54" s="7">
        <f t="shared" si="165"/>
        <v>0.67525773195876293</v>
      </c>
      <c r="W54" s="7">
        <f t="shared" si="165"/>
        <v>0.33589251439539336</v>
      </c>
      <c r="X54" s="7">
        <f t="shared" si="165"/>
        <v>0.39538461538461539</v>
      </c>
      <c r="Y54" s="7">
        <f t="shared" si="165"/>
        <v>0.66377440347071581</v>
      </c>
      <c r="Z54" s="9">
        <f t="shared" si="165"/>
        <v>1.1402985074626864</v>
      </c>
      <c r="AA54" s="9">
        <f t="shared" si="165"/>
        <v>0.56660412757973722</v>
      </c>
      <c r="AB54" s="7">
        <f t="shared" si="165"/>
        <v>1.1052631578947369</v>
      </c>
      <c r="AC54" s="7">
        <f t="shared" si="165"/>
        <v>1.3219814241486068</v>
      </c>
      <c r="AD54" s="7">
        <f t="shared" si="165"/>
        <v>0.30808080808080807</v>
      </c>
      <c r="AE54" s="7">
        <f t="shared" si="165"/>
        <v>1.6678082191780825</v>
      </c>
      <c r="AF54" s="7">
        <f t="shared" si="165"/>
        <v>1.3061224489795917</v>
      </c>
      <c r="AG54" s="9">
        <f t="shared" si="165"/>
        <v>1.2738853503184726E-2</v>
      </c>
      <c r="AH54" s="9">
        <f t="shared" si="165"/>
        <v>7.3995771670190341E-3</v>
      </c>
      <c r="AI54" s="7">
        <f t="shared" si="165"/>
        <v>4.110996916752316E-3</v>
      </c>
      <c r="AJ54" s="7">
        <f t="shared" si="165"/>
        <v>0.64503816793893121</v>
      </c>
      <c r="AK54" s="9">
        <f t="shared" si="165"/>
        <v>0.66935483870967738</v>
      </c>
      <c r="AL54" s="7">
        <f t="shared" si="165"/>
        <v>0.82692307692307676</v>
      </c>
      <c r="AM54" s="7">
        <f t="shared" si="165"/>
        <v>0.30734632683658164</v>
      </c>
      <c r="AN54" s="7">
        <f t="shared" si="165"/>
        <v>0.2748885586924219</v>
      </c>
      <c r="AO54" s="7">
        <f t="shared" si="165"/>
        <v>0.13396004700352526</v>
      </c>
      <c r="AP54" s="7">
        <f t="shared" si="165"/>
        <v>6.2370062370062426E-3</v>
      </c>
      <c r="AQ54" s="7">
        <f t="shared" si="165"/>
        <v>2.5945945945945847E-2</v>
      </c>
      <c r="AR54" s="7">
        <f t="shared" si="165"/>
        <v>1.9459459459459354E-2</v>
      </c>
      <c r="AS54" s="7">
        <f t="shared" si="165"/>
        <v>3.2869785082174349E-2</v>
      </c>
      <c r="AT54" s="7">
        <f t="shared" si="165"/>
        <v>0</v>
      </c>
      <c r="AU54" s="7">
        <f t="shared" si="165"/>
        <v>0.69909909909909884</v>
      </c>
      <c r="AV54" s="9">
        <f t="shared" si="165"/>
        <v>5.7034220532319296E-2</v>
      </c>
      <c r="AW54" s="9">
        <f t="shared" si="165"/>
        <v>1.139240506329115E-2</v>
      </c>
      <c r="AX54" s="7">
        <f t="shared" si="165"/>
        <v>7.9323797139141672E-2</v>
      </c>
      <c r="AY54" s="9">
        <f t="shared" si="165"/>
        <v>4.2502951593860722E-2</v>
      </c>
      <c r="AZ54" s="7">
        <f t="shared" si="165"/>
        <v>0</v>
      </c>
      <c r="BA54" s="7">
        <f t="shared" si="165"/>
        <v>8.3160083160083234E-3</v>
      </c>
      <c r="BB54" s="7">
        <f t="shared" si="165"/>
        <v>3.7569060773480573E-2</v>
      </c>
      <c r="BC54" s="9">
        <f t="shared" si="165"/>
        <v>1</v>
      </c>
      <c r="BD54" s="9">
        <f t="shared" si="165"/>
        <v>1.3768656716417909</v>
      </c>
      <c r="BE54" s="9">
        <f t="shared" si="165"/>
        <v>2.2458628841607587E-2</v>
      </c>
      <c r="BF54" s="7">
        <f t="shared" si="165"/>
        <v>1.0056338028169014</v>
      </c>
      <c r="BG54" s="7">
        <f t="shared" si="165"/>
        <v>4.2598509052183216E-2</v>
      </c>
      <c r="BH54" s="7">
        <f t="shared" si="165"/>
        <v>0.1351851851851851</v>
      </c>
      <c r="BI54" s="7">
        <f t="shared" si="165"/>
        <v>9.1764705882353026E-2</v>
      </c>
      <c r="BJ54" s="7">
        <f t="shared" si="165"/>
        <v>0.72399999999999998</v>
      </c>
      <c r="BK54" s="9">
        <f t="shared" si="165"/>
        <v>0.16710875331564987</v>
      </c>
      <c r="BL54" s="7">
        <f t="shared" si="165"/>
        <v>0.21448863636363641</v>
      </c>
      <c r="BM54" s="9">
        <f t="shared" si="165"/>
        <v>1.5</v>
      </c>
      <c r="BN54" s="7">
        <f t="shared" ref="BN54:DY54" si="166">(BN49-BN41)/BN41</f>
        <v>0.93684210526315781</v>
      </c>
      <c r="BO54" s="9">
        <f t="shared" si="166"/>
        <v>0.90878378378378366</v>
      </c>
      <c r="BP54" s="7">
        <f t="shared" si="166"/>
        <v>0.93932038834951481</v>
      </c>
      <c r="BQ54" s="7">
        <f t="shared" si="166"/>
        <v>0.55081967213114746</v>
      </c>
      <c r="BR54" s="7">
        <f t="shared" si="166"/>
        <v>0.74399999999999999</v>
      </c>
      <c r="BS54" s="7">
        <f t="shared" si="166"/>
        <v>1.2105263157894737</v>
      </c>
      <c r="BT54" s="7">
        <f t="shared" si="166"/>
        <v>1.6279069767441874E-2</v>
      </c>
      <c r="BU54" s="9">
        <f t="shared" si="166"/>
        <v>2.3231256599788828E-2</v>
      </c>
      <c r="BV54" s="7">
        <f t="shared" si="166"/>
        <v>8.3977900552486134E-2</v>
      </c>
      <c r="BW54" s="7">
        <f t="shared" si="166"/>
        <v>1.4690451206715648E-2</v>
      </c>
      <c r="BX54" s="9">
        <f t="shared" si="166"/>
        <v>2.0127118644067816E-2</v>
      </c>
      <c r="BY54" s="7">
        <f t="shared" si="166"/>
        <v>2.5386313465783687E-2</v>
      </c>
      <c r="BZ54" s="9">
        <f t="shared" si="166"/>
        <v>0.81171548117154813</v>
      </c>
      <c r="CA54" s="7">
        <f t="shared" si="166"/>
        <v>0.75390625</v>
      </c>
      <c r="CB54" s="7">
        <f t="shared" si="166"/>
        <v>0.8179824561403507</v>
      </c>
      <c r="CC54" s="7">
        <f t="shared" si="166"/>
        <v>0.72222222222222221</v>
      </c>
      <c r="CD54" s="7">
        <f t="shared" si="166"/>
        <v>0.65517241379310331</v>
      </c>
      <c r="CE54" s="9">
        <f t="shared" si="166"/>
        <v>0.58041958041958064</v>
      </c>
      <c r="CF54" s="7">
        <f t="shared" si="166"/>
        <v>0.76785714285714268</v>
      </c>
      <c r="CG54" s="7">
        <f t="shared" si="166"/>
        <v>0.57285429141716571</v>
      </c>
      <c r="CH54" s="7">
        <f t="shared" si="166"/>
        <v>1.9936908517350154</v>
      </c>
      <c r="CI54" s="7">
        <f t="shared" si="166"/>
        <v>0.61389961389961378</v>
      </c>
      <c r="CJ54" s="7">
        <f t="shared" si="166"/>
        <v>0.15887850467289721</v>
      </c>
      <c r="CK54" s="7">
        <f t="shared" si="166"/>
        <v>0.67084078711985684</v>
      </c>
      <c r="CL54" s="7">
        <f t="shared" si="166"/>
        <v>0.80821917808219179</v>
      </c>
      <c r="CM54" s="9">
        <f t="shared" si="166"/>
        <v>1.5726744186046513</v>
      </c>
      <c r="CN54" s="7">
        <f t="shared" si="166"/>
        <v>0.52666666666666684</v>
      </c>
      <c r="CO54" s="9">
        <f t="shared" si="166"/>
        <v>0.47854785478547862</v>
      </c>
      <c r="CP54" s="7">
        <f t="shared" si="166"/>
        <v>0.95121951219512191</v>
      </c>
      <c r="CQ54" s="7">
        <f t="shared" si="166"/>
        <v>0.31401617250673852</v>
      </c>
      <c r="CR54" s="7">
        <f t="shared" si="166"/>
        <v>0.44026186579378074</v>
      </c>
      <c r="CS54" s="9">
        <f t="shared" si="166"/>
        <v>0.46566164154103856</v>
      </c>
      <c r="CT54" s="7">
        <f t="shared" si="166"/>
        <v>0.84099616858237536</v>
      </c>
      <c r="CU54" s="7">
        <f t="shared" si="166"/>
        <v>0.66666666666666663</v>
      </c>
      <c r="CV54" s="7">
        <f t="shared" si="166"/>
        <v>0.38914027149321267</v>
      </c>
      <c r="CW54" s="7">
        <f t="shared" si="166"/>
        <v>0.11764705882352937</v>
      </c>
      <c r="CX54" s="7">
        <f t="shared" si="166"/>
        <v>0.46434494195688231</v>
      </c>
      <c r="CY54" s="7">
        <f t="shared" si="166"/>
        <v>9.6962616822429862E-2</v>
      </c>
      <c r="CZ54" s="7">
        <f t="shared" si="166"/>
        <v>0.12725090036014405</v>
      </c>
      <c r="DA54" s="7">
        <f t="shared" si="166"/>
        <v>2.3933402705515111E-2</v>
      </c>
      <c r="DB54" s="7">
        <f t="shared" si="166"/>
        <v>0.32692307692307693</v>
      </c>
      <c r="DC54" s="9">
        <f t="shared" si="166"/>
        <v>-6.0150375939849671E-3</v>
      </c>
      <c r="DD54" s="7">
        <f t="shared" si="166"/>
        <v>0.4520325203252033</v>
      </c>
      <c r="DE54" s="7">
        <f t="shared" si="166"/>
        <v>4.4776119402985114E-2</v>
      </c>
      <c r="DF54" s="7">
        <f t="shared" si="166"/>
        <v>0.47570850202429149</v>
      </c>
      <c r="DG54" s="7">
        <f t="shared" si="166"/>
        <v>0.35334242837653479</v>
      </c>
      <c r="DH54" s="7">
        <f t="shared" si="166"/>
        <v>0.20253164556962014</v>
      </c>
      <c r="DI54" s="7">
        <f t="shared" si="166"/>
        <v>0.17857142857142858</v>
      </c>
      <c r="DJ54" s="9">
        <f t="shared" si="166"/>
        <v>4.5454545454545373E-2</v>
      </c>
      <c r="DK54" s="9">
        <f t="shared" si="166"/>
        <v>5.8823529411764761E-2</v>
      </c>
      <c r="DL54" s="9">
        <f t="shared" si="166"/>
        <v>5.8754406580493593E-2</v>
      </c>
      <c r="DM54" s="9">
        <f t="shared" si="166"/>
        <v>1.2290502793296101E-2</v>
      </c>
      <c r="DN54" s="9">
        <f t="shared" si="166"/>
        <v>-9.6056622851364987E-2</v>
      </c>
      <c r="DO54" s="9">
        <f t="shared" si="166"/>
        <v>5.6583242655059776E-2</v>
      </c>
      <c r="DP54" s="9">
        <f t="shared" si="166"/>
        <v>1.7507723995880551E-2</v>
      </c>
      <c r="DQ54" s="7">
        <f t="shared" si="166"/>
        <v>7.5723830734966538E-2</v>
      </c>
      <c r="DR54" s="7">
        <f t="shared" si="166"/>
        <v>-1.2035010940919048E-2</v>
      </c>
      <c r="DS54" s="7">
        <f t="shared" si="166"/>
        <v>0.33040935672514615</v>
      </c>
      <c r="DT54" s="7">
        <f t="shared" si="166"/>
        <v>0.61120840630472872</v>
      </c>
      <c r="DU54" s="7">
        <f t="shared" si="166"/>
        <v>0.22738386308068467</v>
      </c>
      <c r="DV54" s="7">
        <f t="shared" si="166"/>
        <v>4.276315789473676E-2</v>
      </c>
      <c r="DW54" s="7">
        <f t="shared" si="166"/>
        <v>7.63454317897371E-2</v>
      </c>
      <c r="DX54" s="7">
        <f t="shared" si="166"/>
        <v>0.70467289719626169</v>
      </c>
      <c r="DY54" s="7">
        <f t="shared" si="166"/>
        <v>6.0150375939849558E-2</v>
      </c>
      <c r="DZ54" s="7">
        <f t="shared" ref="DZ54:EX54" si="167">(DZ49-DZ41)/DZ41</f>
        <v>5.6928034371643323E-2</v>
      </c>
      <c r="EA54" s="7">
        <f t="shared" si="167"/>
        <v>6.1269146608315027E-2</v>
      </c>
      <c r="EB54" s="7">
        <f t="shared" si="167"/>
        <v>8.3798882681564199E-2</v>
      </c>
      <c r="EC54" s="9">
        <f t="shared" si="167"/>
        <v>6.4977973568281874E-2</v>
      </c>
      <c r="ED54" s="7">
        <f t="shared" si="167"/>
        <v>5.3215077605321431E-2</v>
      </c>
      <c r="EE54" s="7">
        <f t="shared" si="167"/>
        <v>2.7896995708154411E-2</v>
      </c>
      <c r="EF54" s="7">
        <f t="shared" si="167"/>
        <v>0.31818181818181818</v>
      </c>
      <c r="EG54" s="7">
        <f t="shared" si="167"/>
        <v>0.37587657784011225</v>
      </c>
      <c r="EH54" s="7">
        <f t="shared" si="167"/>
        <v>6.5573770491803338E-2</v>
      </c>
      <c r="EI54" s="7">
        <f t="shared" si="167"/>
        <v>6.0046189376443473E-2</v>
      </c>
      <c r="EJ54" s="7">
        <f t="shared" si="167"/>
        <v>1.5330188679245297E-2</v>
      </c>
      <c r="EK54" s="7">
        <f t="shared" si="167"/>
        <v>0.22489391796322494</v>
      </c>
      <c r="EL54" s="7">
        <f t="shared" si="167"/>
        <v>8.3726415094339701E-2</v>
      </c>
      <c r="EM54" s="9">
        <f t="shared" si="167"/>
        <v>0.12031047865459246</v>
      </c>
      <c r="EN54" s="7">
        <f t="shared" si="167"/>
        <v>7.032181168057218E-2</v>
      </c>
      <c r="EO54" s="7">
        <f t="shared" si="167"/>
        <v>0.27121212121212113</v>
      </c>
      <c r="EP54" s="7">
        <f t="shared" si="167"/>
        <v>0.20423600605143721</v>
      </c>
      <c r="EQ54" s="7">
        <f t="shared" si="167"/>
        <v>0.35459940652818989</v>
      </c>
      <c r="ER54" s="9">
        <f t="shared" si="167"/>
        <v>0.11175785797438879</v>
      </c>
      <c r="ES54" s="9">
        <f t="shared" si="167"/>
        <v>1.2699228791773778</v>
      </c>
      <c r="ET54" s="7">
        <f t="shared" si="167"/>
        <v>0.21161825726141084</v>
      </c>
      <c r="EU54" s="9">
        <f t="shared" si="167"/>
        <v>-0.17580144777662868</v>
      </c>
      <c r="EV54" s="7">
        <f t="shared" si="167"/>
        <v>1.9292604501607614E-2</v>
      </c>
      <c r="EW54" s="7">
        <f t="shared" si="167"/>
        <v>6.0640732265446279E-2</v>
      </c>
      <c r="EX54" s="9">
        <f t="shared" si="167"/>
        <v>6.2047569803516086E-3</v>
      </c>
      <c r="EY54" s="9">
        <f t="shared" ref="EY54:EZ56" si="168">(EY49-EY41)/EY41</f>
        <v>1.016260162601627E-3</v>
      </c>
      <c r="EZ54" s="7">
        <f t="shared" si="168"/>
        <v>8.3529411764705963E-2</v>
      </c>
      <c r="FA54" s="7">
        <f t="shared" ref="FA54:FB54" si="169">(FA49-FA41)/FA41</f>
        <v>8.728179551122188E-2</v>
      </c>
      <c r="FB54" s="7">
        <f t="shared" si="169"/>
        <v>0.12229299363057321</v>
      </c>
      <c r="FC54" s="7">
        <f t="shared" ref="FC54:FD54" si="170">(FC49-FC41)/FC41</f>
        <v>0.20847457627118646</v>
      </c>
      <c r="FD54" s="7">
        <f t="shared" si="170"/>
        <v>0.11348464619492653</v>
      </c>
      <c r="FE54" s="7">
        <f t="shared" ref="FE54:FF54" si="171">(FE49-FE41)/FE41</f>
        <v>0.10526315789473693</v>
      </c>
      <c r="FF54" s="7">
        <f t="shared" si="171"/>
        <v>0.57773851590106029</v>
      </c>
      <c r="FG54" s="4"/>
      <c r="FH54" s="4"/>
      <c r="FI54" s="4"/>
      <c r="FJ54" s="4"/>
      <c r="FK54" s="4"/>
      <c r="FL54" s="4"/>
    </row>
    <row r="55" spans="1:168" x14ac:dyDescent="0.3">
      <c r="A55" t="s">
        <v>212</v>
      </c>
      <c r="B55" s="7">
        <f t="shared" ref="B55:BM55" si="172">(B50-B42)/B42</f>
        <v>-0.37903225806451613</v>
      </c>
      <c r="C55" s="7">
        <f t="shared" si="172"/>
        <v>-0.21428571428571425</v>
      </c>
      <c r="D55" s="7">
        <f t="shared" si="172"/>
        <v>-0.30327868852459011</v>
      </c>
      <c r="E55" s="9">
        <f t="shared" si="172"/>
        <v>-0.38317757009345788</v>
      </c>
      <c r="F55" s="9">
        <f t="shared" si="172"/>
        <v>-0.3411764705882353</v>
      </c>
      <c r="G55" s="7">
        <f t="shared" si="172"/>
        <v>-0.40000000000000008</v>
      </c>
      <c r="H55" s="7">
        <f t="shared" si="172"/>
        <v>0.16176470588235287</v>
      </c>
      <c r="I55" s="7">
        <f t="shared" si="172"/>
        <v>-0.13861386138613874</v>
      </c>
      <c r="J55" s="7">
        <f t="shared" si="172"/>
        <v>-0.5163398692810458</v>
      </c>
      <c r="K55" s="9">
        <f t="shared" si="172"/>
        <v>-0.14999999999999997</v>
      </c>
      <c r="L55" s="7">
        <f t="shared" si="172"/>
        <v>-0.26785714285714285</v>
      </c>
      <c r="M55" s="7">
        <f t="shared" si="172"/>
        <v>-0.24038461538461534</v>
      </c>
      <c r="N55" s="7">
        <f t="shared" si="172"/>
        <v>-0.29629629629629628</v>
      </c>
      <c r="O55" s="7">
        <f t="shared" si="172"/>
        <v>-0.31506849315068486</v>
      </c>
      <c r="P55" s="7">
        <f t="shared" si="172"/>
        <v>-2.9411764705882377E-2</v>
      </c>
      <c r="Q55" s="7">
        <f t="shared" si="172"/>
        <v>-0.15217391304347824</v>
      </c>
      <c r="R55" s="7">
        <f t="shared" si="172"/>
        <v>-0.62761506276150625</v>
      </c>
      <c r="S55" s="7">
        <f t="shared" si="172"/>
        <v>-0.16949152542372875</v>
      </c>
      <c r="T55" s="7">
        <f t="shared" si="172"/>
        <v>-0.34666666666666662</v>
      </c>
      <c r="U55" s="7">
        <f t="shared" si="172"/>
        <v>-0.24038461538461534</v>
      </c>
      <c r="V55" s="7">
        <f t="shared" si="172"/>
        <v>-0.24390243902439029</v>
      </c>
      <c r="W55" s="7">
        <f t="shared" si="172"/>
        <v>-0.18803418803418806</v>
      </c>
      <c r="X55" s="7">
        <f t="shared" si="172"/>
        <v>-0.48387096774193544</v>
      </c>
      <c r="Y55" s="7">
        <f t="shared" si="172"/>
        <v>-0.34013605442176864</v>
      </c>
      <c r="Z55" s="9">
        <f t="shared" si="172"/>
        <v>-0.34722222222222215</v>
      </c>
      <c r="AA55" s="9">
        <f t="shared" si="172"/>
        <v>-0.40540540540540543</v>
      </c>
      <c r="AB55" s="7">
        <f t="shared" si="172"/>
        <v>-0.43421052631578949</v>
      </c>
      <c r="AC55" s="7">
        <f t="shared" si="172"/>
        <v>-0.39106145251396646</v>
      </c>
      <c r="AD55" s="7">
        <f t="shared" si="172"/>
        <v>-4.2654028436018863E-2</v>
      </c>
      <c r="AE55" s="7">
        <f t="shared" si="172"/>
        <v>-0.44067796610169485</v>
      </c>
      <c r="AF55" s="7">
        <f t="shared" si="172"/>
        <v>-0.43859649122807021</v>
      </c>
      <c r="AG55" s="9">
        <f t="shared" si="172"/>
        <v>-0.1100000000000001</v>
      </c>
      <c r="AH55" s="9">
        <f t="shared" si="172"/>
        <v>-6.521739130434788E-2</v>
      </c>
      <c r="AI55" s="7">
        <f t="shared" si="172"/>
        <v>-7.4074074074074139E-2</v>
      </c>
      <c r="AJ55" s="7">
        <f t="shared" si="172"/>
        <v>-0.46153846153846151</v>
      </c>
      <c r="AK55" s="9">
        <f t="shared" si="172"/>
        <v>-0.4157303370786517</v>
      </c>
      <c r="AL55" s="7">
        <f t="shared" si="172"/>
        <v>-0.47252747252747251</v>
      </c>
      <c r="AM55" s="7">
        <f t="shared" si="172"/>
        <v>-0.38036809815950917</v>
      </c>
      <c r="AN55" s="7">
        <f t="shared" si="172"/>
        <v>-0.33999999999999997</v>
      </c>
      <c r="AO55" s="7">
        <f t="shared" si="172"/>
        <v>-0.51538461538461544</v>
      </c>
      <c r="AP55" s="7">
        <f t="shared" si="172"/>
        <v>-8.7719298245614113E-2</v>
      </c>
      <c r="AQ55" s="7">
        <f t="shared" si="172"/>
        <v>-0.16666666666666663</v>
      </c>
      <c r="AR55" s="7">
        <f t="shared" si="172"/>
        <v>-0.13333333333333333</v>
      </c>
      <c r="AS55" s="7">
        <f t="shared" si="172"/>
        <v>-6.2068965517241247E-2</v>
      </c>
      <c r="AT55" s="7">
        <f t="shared" si="172"/>
        <v>-9.6153846153846246E-3</v>
      </c>
      <c r="AU55" s="7">
        <f t="shared" si="172"/>
        <v>-0.64</v>
      </c>
      <c r="AV55" s="9">
        <f t="shared" si="172"/>
        <v>-0.11458333333333329</v>
      </c>
      <c r="AW55" s="9">
        <f t="shared" si="172"/>
        <v>-2.1739130434782629E-2</v>
      </c>
      <c r="AX55" s="7">
        <f t="shared" si="172"/>
        <v>-0.14150943396226415</v>
      </c>
      <c r="AY55" s="9">
        <f t="shared" si="172"/>
        <v>-2.4390243902439046E-2</v>
      </c>
      <c r="AZ55" s="7">
        <f t="shared" si="172"/>
        <v>0</v>
      </c>
      <c r="BA55" s="7">
        <f t="shared" si="172"/>
        <v>-0.10152284263959399</v>
      </c>
      <c r="BB55" s="7">
        <f t="shared" si="172"/>
        <v>-0.1966292134831461</v>
      </c>
      <c r="BC55" s="9">
        <f t="shared" si="172"/>
        <v>-0.5307017543859649</v>
      </c>
      <c r="BD55" s="9">
        <f t="shared" si="172"/>
        <v>-0.29761904761904773</v>
      </c>
      <c r="BE55" s="9">
        <f t="shared" si="172"/>
        <v>-0.10303030303030311</v>
      </c>
      <c r="BF55" s="7">
        <f t="shared" si="172"/>
        <v>-0.33333333333333326</v>
      </c>
      <c r="BG55" s="7">
        <f t="shared" si="172"/>
        <v>-0.41964285714285715</v>
      </c>
      <c r="BH55" s="7">
        <f t="shared" si="172"/>
        <v>-9.3749999999999972E-2</v>
      </c>
      <c r="BI55" s="7">
        <f t="shared" si="172"/>
        <v>-0.30701754385964913</v>
      </c>
      <c r="BJ55" s="7">
        <f t="shared" si="172"/>
        <v>-0.13043478260869562</v>
      </c>
      <c r="BK55" s="9">
        <f t="shared" si="172"/>
        <v>-0.29591836734693877</v>
      </c>
      <c r="BL55" s="7">
        <f t="shared" si="172"/>
        <v>-0.30241935483870974</v>
      </c>
      <c r="BM55" s="9">
        <f t="shared" si="172"/>
        <v>-0.5078125</v>
      </c>
      <c r="BN55" s="7">
        <f t="shared" ref="BN55:DY55" si="173">(BN50-BN42)/BN42</f>
        <v>-0.34782608695652178</v>
      </c>
      <c r="BO55" s="9">
        <f t="shared" si="173"/>
        <v>-0.20731707317073172</v>
      </c>
      <c r="BP55" s="7">
        <f t="shared" si="173"/>
        <v>-0.41984732824427484</v>
      </c>
      <c r="BQ55" s="7">
        <f t="shared" si="173"/>
        <v>-0.62721893491124259</v>
      </c>
      <c r="BR55" s="7">
        <f t="shared" si="173"/>
        <v>-0.49019607843137253</v>
      </c>
      <c r="BS55" s="7">
        <f t="shared" si="173"/>
        <v>-0.55900621118012428</v>
      </c>
      <c r="BT55" s="7">
        <f t="shared" si="173"/>
        <v>-4.5801526717557293E-2</v>
      </c>
      <c r="BU55" s="9">
        <f t="shared" si="173"/>
        <v>-0.19736842105263158</v>
      </c>
      <c r="BV55" s="7">
        <f t="shared" si="173"/>
        <v>-0.55681818181818177</v>
      </c>
      <c r="BW55" s="7">
        <f t="shared" si="173"/>
        <v>-0.14705882352941177</v>
      </c>
      <c r="BX55" s="9">
        <f t="shared" si="173"/>
        <v>-0.19178082191780821</v>
      </c>
      <c r="BY55" s="7">
        <f t="shared" si="173"/>
        <v>-0.13483146067415727</v>
      </c>
      <c r="BZ55" s="9">
        <f t="shared" si="173"/>
        <v>-0.49180327868852458</v>
      </c>
      <c r="CA55" s="7">
        <f t="shared" si="173"/>
        <v>-0.54330708661417326</v>
      </c>
      <c r="CB55" s="7">
        <f t="shared" si="173"/>
        <v>-0.44144144144144143</v>
      </c>
      <c r="CC55" s="7">
        <f t="shared" si="173"/>
        <v>-0.48461538461538461</v>
      </c>
      <c r="CD55" s="7">
        <f t="shared" si="173"/>
        <v>-0.47058823529411764</v>
      </c>
      <c r="CE55" s="9">
        <f t="shared" si="173"/>
        <v>-0.52713178294573648</v>
      </c>
      <c r="CF55" s="7">
        <f t="shared" si="173"/>
        <v>-0.28813559322033888</v>
      </c>
      <c r="CG55" s="7">
        <f t="shared" si="173"/>
        <v>-0.3505154639175258</v>
      </c>
      <c r="CH55" s="7">
        <f t="shared" si="173"/>
        <v>-0.72500000000000009</v>
      </c>
      <c r="CI55" s="7">
        <f t="shared" si="173"/>
        <v>-0.41610738255033558</v>
      </c>
      <c r="CJ55" s="7">
        <f t="shared" si="173"/>
        <v>-6.4516129032258118E-2</v>
      </c>
      <c r="CK55" s="7">
        <f t="shared" si="173"/>
        <v>-0.61594202898550732</v>
      </c>
      <c r="CL55" s="7">
        <f t="shared" si="173"/>
        <v>-0.60606060606060608</v>
      </c>
      <c r="CM55" s="9">
        <f t="shared" si="173"/>
        <v>-0.49230769230769228</v>
      </c>
      <c r="CN55" s="7">
        <f t="shared" si="173"/>
        <v>-0.54285714285714282</v>
      </c>
      <c r="CO55" s="9">
        <f t="shared" si="173"/>
        <v>-0.48623853211009171</v>
      </c>
      <c r="CP55" s="7">
        <f t="shared" si="173"/>
        <v>-0.72072072072072069</v>
      </c>
      <c r="CQ55" s="7">
        <f t="shared" si="173"/>
        <v>-0.68493150684931503</v>
      </c>
      <c r="CR55" s="7">
        <f t="shared" si="173"/>
        <v>-0.43150684931506844</v>
      </c>
      <c r="CS55" s="9">
        <f t="shared" si="173"/>
        <v>-0.43478260869565216</v>
      </c>
      <c r="CT55" s="7">
        <f t="shared" si="173"/>
        <v>-0.71304347826086956</v>
      </c>
      <c r="CU55" s="7">
        <f t="shared" si="173"/>
        <v>-0.56459330143540665</v>
      </c>
      <c r="CV55" s="7">
        <f t="shared" si="173"/>
        <v>-0.20000000000000007</v>
      </c>
      <c r="CW55" s="7">
        <f t="shared" si="173"/>
        <v>-0.21666666666666665</v>
      </c>
      <c r="CX55" s="7">
        <f t="shared" si="173"/>
        <v>-0.46153846153846151</v>
      </c>
      <c r="CY55" s="7">
        <f t="shared" si="173"/>
        <v>-0.35326086956521741</v>
      </c>
      <c r="CZ55" s="7">
        <f t="shared" si="173"/>
        <v>-0.39705882352941174</v>
      </c>
      <c r="DA55" s="7">
        <f t="shared" si="173"/>
        <v>-0.36220472440944879</v>
      </c>
      <c r="DB55" s="7">
        <f t="shared" si="173"/>
        <v>-0.64830508474576265</v>
      </c>
      <c r="DC55" s="9">
        <f t="shared" si="173"/>
        <v>-9.8159509202454073E-2</v>
      </c>
      <c r="DD55" s="7">
        <f t="shared" si="173"/>
        <v>-0.46987951807228923</v>
      </c>
      <c r="DE55" s="7">
        <f t="shared" si="173"/>
        <v>-0.22900763358778625</v>
      </c>
      <c r="DF55" s="7">
        <f t="shared" si="173"/>
        <v>-0.26829268292682934</v>
      </c>
      <c r="DG55" s="7">
        <f t="shared" si="173"/>
        <v>-0.82978723404255317</v>
      </c>
      <c r="DH55" s="7">
        <f t="shared" si="173"/>
        <v>-0.51515151515151514</v>
      </c>
      <c r="DI55" s="7">
        <f t="shared" si="173"/>
        <v>-0.3285024154589371</v>
      </c>
      <c r="DJ55" s="9">
        <f t="shared" si="173"/>
        <v>-0.23484848484848483</v>
      </c>
      <c r="DK55" s="9">
        <f t="shared" si="173"/>
        <v>-0.21656050955414013</v>
      </c>
      <c r="DL55" s="9">
        <f t="shared" si="173"/>
        <v>-0.18309859154929567</v>
      </c>
      <c r="DM55" s="9">
        <f t="shared" si="173"/>
        <v>-5.0632911392405111E-2</v>
      </c>
      <c r="DN55" s="9">
        <f t="shared" si="173"/>
        <v>1.7391304347826101E-2</v>
      </c>
      <c r="DO55" s="9">
        <f t="shared" si="173"/>
        <v>-0.4</v>
      </c>
      <c r="DP55" s="9">
        <f t="shared" si="173"/>
        <v>-0.3450704225352112</v>
      </c>
      <c r="DQ55" s="7">
        <f t="shared" si="173"/>
        <v>-0.42379182156133832</v>
      </c>
      <c r="DR55" s="7">
        <f t="shared" si="173"/>
        <v>6.2240663900414994E-2</v>
      </c>
      <c r="DS55" s="7">
        <f t="shared" si="173"/>
        <v>-0.46724890829694327</v>
      </c>
      <c r="DT55" s="7">
        <f t="shared" si="173"/>
        <v>-0.56950672645739908</v>
      </c>
      <c r="DU55" s="7">
        <f t="shared" si="173"/>
        <v>-0.11827956989247307</v>
      </c>
      <c r="DV55" s="7">
        <f t="shared" si="173"/>
        <v>-0.25185185185185183</v>
      </c>
      <c r="DW55" s="7">
        <f t="shared" si="173"/>
        <v>-0.1674641148325359</v>
      </c>
      <c r="DX55" s="7">
        <f t="shared" si="173"/>
        <v>-0.56353591160220995</v>
      </c>
      <c r="DY55" s="7">
        <f t="shared" si="173"/>
        <v>-0.5670995670995671</v>
      </c>
      <c r="DZ55" s="7">
        <f t="shared" ref="DZ55:EX55" si="174">(DZ50-DZ42)/DZ42</f>
        <v>-0.51196172248803828</v>
      </c>
      <c r="EA55" s="7">
        <f t="shared" si="174"/>
        <v>-0.4044943820224719</v>
      </c>
      <c r="EB55" s="7">
        <f t="shared" si="174"/>
        <v>-0.46524064171122992</v>
      </c>
      <c r="EC55" s="9">
        <f t="shared" si="174"/>
        <v>-0.40522875816993464</v>
      </c>
      <c r="ED55" s="7">
        <f t="shared" si="174"/>
        <v>-0.2904761904761905</v>
      </c>
      <c r="EE55" s="7">
        <f t="shared" si="174"/>
        <v>-0.20967741935483875</v>
      </c>
      <c r="EF55" s="7">
        <f t="shared" si="174"/>
        <v>-0.76428571428571435</v>
      </c>
      <c r="EG55" s="7">
        <f t="shared" si="174"/>
        <v>-0.74409448818897639</v>
      </c>
      <c r="EH55" s="7">
        <f t="shared" si="174"/>
        <v>-0.21875000000000006</v>
      </c>
      <c r="EI55" s="7">
        <f t="shared" si="174"/>
        <v>-0.21839080459770105</v>
      </c>
      <c r="EJ55" s="7">
        <f t="shared" si="174"/>
        <v>-4.3956043956043994E-2</v>
      </c>
      <c r="EK55" s="7">
        <f t="shared" si="174"/>
        <v>-0.32231404958677679</v>
      </c>
      <c r="EL55" s="7">
        <f t="shared" si="174"/>
        <v>-0.26923076923076927</v>
      </c>
      <c r="EM55" s="9">
        <f t="shared" si="174"/>
        <v>-0.23333333333333331</v>
      </c>
      <c r="EN55" s="7">
        <f t="shared" si="174"/>
        <v>-0.20000000000000004</v>
      </c>
      <c r="EO55" s="7">
        <f t="shared" si="174"/>
        <v>-0.31292517006802711</v>
      </c>
      <c r="EP55" s="7">
        <f t="shared" si="174"/>
        <v>-0.21951219512195119</v>
      </c>
      <c r="EQ55" s="7">
        <f t="shared" si="174"/>
        <v>-0.48387096774193544</v>
      </c>
      <c r="ER55" s="9">
        <f t="shared" si="174"/>
        <v>-0.4358974358974359</v>
      </c>
      <c r="ES55" s="9">
        <f t="shared" si="174"/>
        <v>-0.55921052631578949</v>
      </c>
      <c r="ET55" s="7">
        <f t="shared" si="174"/>
        <v>-0.33098591549295769</v>
      </c>
      <c r="EU55" s="9">
        <f t="shared" si="174"/>
        <v>-0.38053097345132741</v>
      </c>
      <c r="EV55" s="7">
        <f t="shared" si="174"/>
        <v>-0.14655172413793105</v>
      </c>
      <c r="EW55" s="7">
        <f t="shared" si="174"/>
        <v>-0.23478260869565226</v>
      </c>
      <c r="EX55" s="9">
        <f t="shared" si="174"/>
        <v>-9.2592592592592546E-2</v>
      </c>
      <c r="EY55" s="9">
        <f t="shared" si="168"/>
        <v>-2.2727272727272749E-2</v>
      </c>
      <c r="EZ55" s="7">
        <f t="shared" si="168"/>
        <v>-0.26956521739130435</v>
      </c>
      <c r="FA55" s="7">
        <f t="shared" ref="FA55:FB55" si="175">(FA50-FA42)/FA42</f>
        <v>-0.19298245614035092</v>
      </c>
      <c r="FB55" s="7">
        <f t="shared" si="175"/>
        <v>-0.25688073394495409</v>
      </c>
      <c r="FC55" s="7">
        <f t="shared" ref="FC55:FD55" si="176">(FC50-FC42)/FC42</f>
        <v>-0.16</v>
      </c>
      <c r="FD55" s="7">
        <f t="shared" si="176"/>
        <v>-0.18867924528301891</v>
      </c>
      <c r="FE55" s="7">
        <f t="shared" ref="FE55:FF55" si="177">(FE50-FE42)/FE42</f>
        <v>-0.14705882352941177</v>
      </c>
      <c r="FF55" s="7">
        <f t="shared" si="177"/>
        <v>-0.50370370370370365</v>
      </c>
      <c r="FG55" s="4"/>
      <c r="FH55" s="4"/>
      <c r="FI55" s="4"/>
      <c r="FJ55" s="4"/>
      <c r="FK55" s="4"/>
      <c r="FL55" s="4"/>
    </row>
    <row r="56" spans="1:168" x14ac:dyDescent="0.3">
      <c r="A56" t="s">
        <v>213</v>
      </c>
      <c r="B56" s="7">
        <f t="shared" ref="B56:BM56" si="178">(B51-B43)/B43</f>
        <v>-0.3461538461538462</v>
      </c>
      <c r="C56" s="7">
        <f t="shared" si="178"/>
        <v>-0.1616766467065868</v>
      </c>
      <c r="D56" s="7">
        <f t="shared" si="178"/>
        <v>-0.27096774193548384</v>
      </c>
      <c r="E56" s="9">
        <f t="shared" si="178"/>
        <v>-0.29940119760479039</v>
      </c>
      <c r="F56" s="9">
        <f t="shared" si="178"/>
        <v>-0.25827814569536423</v>
      </c>
      <c r="G56" s="7">
        <f t="shared" si="178"/>
        <v>-0.31292517006802711</v>
      </c>
      <c r="H56" s="7">
        <f t="shared" si="178"/>
        <v>-0.26984126984126988</v>
      </c>
      <c r="I56" s="7">
        <f t="shared" si="178"/>
        <v>-0.12499999999999996</v>
      </c>
      <c r="J56" s="7">
        <f t="shared" si="178"/>
        <v>-0.54216867469879526</v>
      </c>
      <c r="K56" s="9">
        <f t="shared" si="178"/>
        <v>-8.0459770114942444E-2</v>
      </c>
      <c r="L56" s="7">
        <f t="shared" si="178"/>
        <v>-0.30434782608695649</v>
      </c>
      <c r="M56" s="7">
        <f t="shared" si="178"/>
        <v>-0.20652173913043481</v>
      </c>
      <c r="N56" s="7">
        <f t="shared" si="178"/>
        <v>-0.27272727272727271</v>
      </c>
      <c r="O56" s="7">
        <f t="shared" si="178"/>
        <v>-0.23880597014925384</v>
      </c>
      <c r="P56" s="7">
        <f t="shared" si="178"/>
        <v>-5.1724137931034524E-2</v>
      </c>
      <c r="Q56" s="7">
        <f t="shared" si="178"/>
        <v>-0.19148936170212769</v>
      </c>
      <c r="R56" s="7">
        <f t="shared" si="178"/>
        <v>-0.61458333333333337</v>
      </c>
      <c r="S56" s="7">
        <f t="shared" si="178"/>
        <v>-0.26126126126126126</v>
      </c>
      <c r="T56" s="7">
        <f t="shared" si="178"/>
        <v>-0.24358974358974364</v>
      </c>
      <c r="U56" s="7">
        <f t="shared" si="178"/>
        <v>-0.20212765957446813</v>
      </c>
      <c r="V56" s="7">
        <f t="shared" si="178"/>
        <v>-0.15441176470588239</v>
      </c>
      <c r="W56" s="7">
        <f t="shared" si="178"/>
        <v>-0.14598540145985403</v>
      </c>
      <c r="X56" s="7">
        <f t="shared" si="178"/>
        <v>-0.55223880597014929</v>
      </c>
      <c r="Y56" s="7">
        <f t="shared" si="178"/>
        <v>-0.35</v>
      </c>
      <c r="Z56" s="9">
        <f t="shared" si="178"/>
        <v>-0.33823529411764713</v>
      </c>
      <c r="AA56" s="9">
        <f t="shared" si="178"/>
        <v>-0.28804347826086951</v>
      </c>
      <c r="AB56" s="7">
        <f t="shared" si="178"/>
        <v>-0.38285714285714284</v>
      </c>
      <c r="AC56" s="7">
        <f t="shared" si="178"/>
        <v>-0.27999999999999997</v>
      </c>
      <c r="AD56" s="7">
        <f t="shared" si="178"/>
        <v>-7.2727272727272793E-2</v>
      </c>
      <c r="AE56" s="7">
        <f t="shared" si="178"/>
        <v>-0.42346938775510207</v>
      </c>
      <c r="AF56" s="7">
        <f t="shared" si="178"/>
        <v>-0.41317365269461082</v>
      </c>
      <c r="AG56" s="9">
        <f t="shared" si="178"/>
        <v>-0.10714285714285711</v>
      </c>
      <c r="AH56" s="9">
        <f t="shared" si="178"/>
        <v>-5.970149253731348E-2</v>
      </c>
      <c r="AI56" s="7">
        <f t="shared" si="178"/>
        <v>-5.2631578947368467E-2</v>
      </c>
      <c r="AJ56" s="7">
        <f t="shared" si="178"/>
        <v>-0.39310344827586208</v>
      </c>
      <c r="AK56" s="9">
        <f t="shared" si="178"/>
        <v>-0.30573248407643311</v>
      </c>
      <c r="AL56" s="7">
        <f t="shared" si="178"/>
        <v>-0.39285714285714285</v>
      </c>
      <c r="AM56" s="7">
        <f t="shared" si="178"/>
        <v>-0.47115384615384615</v>
      </c>
      <c r="AN56" s="7">
        <f t="shared" si="178"/>
        <v>-0.34965034965034958</v>
      </c>
      <c r="AO56" s="7">
        <f t="shared" si="178"/>
        <v>-0.55454545454545456</v>
      </c>
      <c r="AP56" s="7">
        <f t="shared" si="178"/>
        <v>-2.9411764705882377E-2</v>
      </c>
      <c r="AQ56" s="7">
        <f t="shared" si="178"/>
        <v>-8.7500000000000078E-2</v>
      </c>
      <c r="AR56" s="7">
        <f t="shared" si="178"/>
        <v>-0.1129032258064516</v>
      </c>
      <c r="AS56" s="7">
        <f t="shared" si="178"/>
        <v>-6.4516129032258118E-2</v>
      </c>
      <c r="AT56" s="7">
        <f t="shared" si="178"/>
        <v>-2.985074626865674E-2</v>
      </c>
      <c r="AU56" s="7">
        <f t="shared" si="178"/>
        <v>-0.43925233644859812</v>
      </c>
      <c r="AV56" s="9">
        <f t="shared" si="178"/>
        <v>-7.5471698113207489E-2</v>
      </c>
      <c r="AW56" s="9">
        <f t="shared" si="178"/>
        <v>-2.0833333333333353E-2</v>
      </c>
      <c r="AX56" s="7">
        <f t="shared" si="178"/>
        <v>-9.7826086956521674E-2</v>
      </c>
      <c r="AY56" s="9">
        <f t="shared" si="178"/>
        <v>-8.849557522123902E-2</v>
      </c>
      <c r="AZ56" s="7">
        <f t="shared" si="178"/>
        <v>0</v>
      </c>
      <c r="BA56" s="7">
        <f t="shared" si="178"/>
        <v>-0.1492537313432836</v>
      </c>
      <c r="BB56" s="7">
        <f t="shared" si="178"/>
        <v>-0.2105263157894737</v>
      </c>
      <c r="BC56" s="9">
        <f t="shared" si="178"/>
        <v>-0.55033557046979864</v>
      </c>
      <c r="BD56" s="9">
        <f t="shared" si="178"/>
        <v>-0.40322580645161293</v>
      </c>
      <c r="BE56" s="9">
        <f t="shared" si="178"/>
        <v>-9.0909090909090842E-2</v>
      </c>
      <c r="BF56" s="7">
        <f t="shared" si="178"/>
        <v>-0.26356589147286824</v>
      </c>
      <c r="BG56" s="7">
        <f t="shared" si="178"/>
        <v>-0.42105263157894735</v>
      </c>
      <c r="BH56" s="7">
        <f t="shared" si="178"/>
        <v>-1.2658227848101278E-2</v>
      </c>
      <c r="BI56" s="7">
        <f t="shared" si="178"/>
        <v>-0.24999999999999992</v>
      </c>
      <c r="BJ56" s="7">
        <f t="shared" si="178"/>
        <v>-7.999999999999996E-2</v>
      </c>
      <c r="BK56" s="9">
        <f t="shared" si="178"/>
        <v>-0.23809523809523808</v>
      </c>
      <c r="BL56" s="7">
        <f t="shared" si="178"/>
        <v>-0.41717791411042948</v>
      </c>
      <c r="BM56" s="9">
        <f t="shared" si="178"/>
        <v>-0.42245989304812837</v>
      </c>
      <c r="BN56" s="7">
        <f t="shared" ref="BN56:DY56" si="179">(BN51-BN43)/BN43</f>
        <v>-0.30405405405405406</v>
      </c>
      <c r="BO56" s="9">
        <f t="shared" si="179"/>
        <v>-0.16666666666666663</v>
      </c>
      <c r="BP56" s="7">
        <f t="shared" si="179"/>
        <v>-0.37606837606837612</v>
      </c>
      <c r="BQ56" s="7">
        <f t="shared" si="179"/>
        <v>-0.54263565891472876</v>
      </c>
      <c r="BR56" s="7">
        <f t="shared" si="179"/>
        <v>-0.43835616438356156</v>
      </c>
      <c r="BS56" s="7">
        <f t="shared" si="179"/>
        <v>-0.45454545454545459</v>
      </c>
      <c r="BT56" s="7">
        <f t="shared" si="179"/>
        <v>-7.2916666666666727E-2</v>
      </c>
      <c r="BU56" s="9">
        <f t="shared" si="179"/>
        <v>-0.14141414141414138</v>
      </c>
      <c r="BV56" s="7">
        <f t="shared" si="179"/>
        <v>-0.42342342342342343</v>
      </c>
      <c r="BW56" s="7">
        <f t="shared" si="179"/>
        <v>-9.0909090909090981E-2</v>
      </c>
      <c r="BX56" s="9">
        <f t="shared" si="179"/>
        <v>-7.7777777777777696E-2</v>
      </c>
      <c r="BY56" s="7">
        <f t="shared" si="179"/>
        <v>-9.3023255813953418E-2</v>
      </c>
      <c r="BZ56" s="9">
        <f t="shared" si="179"/>
        <v>-0.42168674698795183</v>
      </c>
      <c r="CA56" s="7">
        <f t="shared" si="179"/>
        <v>-0.53521126760563376</v>
      </c>
      <c r="CB56" s="7">
        <f t="shared" si="179"/>
        <v>-0.38518518518518519</v>
      </c>
      <c r="CC56" s="7">
        <f t="shared" si="179"/>
        <v>-0.43113772455089822</v>
      </c>
      <c r="CD56" s="7">
        <f t="shared" si="179"/>
        <v>-0.3856209150326797</v>
      </c>
      <c r="CE56" s="9">
        <f t="shared" si="179"/>
        <v>-0.4525547445255475</v>
      </c>
      <c r="CF56" s="7">
        <f t="shared" si="179"/>
        <v>-0.22222222222222215</v>
      </c>
      <c r="CG56" s="7">
        <f t="shared" si="179"/>
        <v>-0.29133858267716539</v>
      </c>
      <c r="CH56" s="7">
        <f t="shared" si="179"/>
        <v>-0.7667844522968198</v>
      </c>
      <c r="CI56" s="7">
        <f t="shared" si="179"/>
        <v>-0.40414507772020725</v>
      </c>
      <c r="CJ56" s="7">
        <f t="shared" si="179"/>
        <v>-3.9215686274509706E-2</v>
      </c>
      <c r="CK56" s="7">
        <f t="shared" si="179"/>
        <v>-0.53896103896103897</v>
      </c>
      <c r="CL56" s="7">
        <f t="shared" si="179"/>
        <v>-0.61931818181818177</v>
      </c>
      <c r="CM56" s="9">
        <f t="shared" si="179"/>
        <v>-0.49685534591194969</v>
      </c>
      <c r="CN56" s="7">
        <f t="shared" si="179"/>
        <v>-0.57843137254901966</v>
      </c>
      <c r="CO56" s="9">
        <f t="shared" si="179"/>
        <v>-0.41212121212121211</v>
      </c>
      <c r="CP56" s="7">
        <f t="shared" si="179"/>
        <v>-0.78672985781990512</v>
      </c>
      <c r="CQ56" s="7">
        <f t="shared" si="179"/>
        <v>-0.54477611940298509</v>
      </c>
      <c r="CR56" s="7">
        <f t="shared" si="179"/>
        <v>-0.51923076923076916</v>
      </c>
      <c r="CS56" s="9">
        <f t="shared" si="179"/>
        <v>-0.40718562874251496</v>
      </c>
      <c r="CT56" s="7">
        <f t="shared" si="179"/>
        <v>-0.77828054298642524</v>
      </c>
      <c r="CU56" s="7">
        <f t="shared" si="179"/>
        <v>-0.62234042553191493</v>
      </c>
      <c r="CV56" s="7">
        <f t="shared" si="179"/>
        <v>-0.21093749999999997</v>
      </c>
      <c r="CW56" s="7">
        <f t="shared" si="179"/>
        <v>-0.12605042016806722</v>
      </c>
      <c r="CX56" s="7">
        <f t="shared" si="179"/>
        <v>-0.43918918918918914</v>
      </c>
      <c r="CY56" s="7">
        <f t="shared" si="179"/>
        <v>-0.3125</v>
      </c>
      <c r="CZ56" s="7">
        <f t="shared" si="179"/>
        <v>-0.4285714285714286</v>
      </c>
      <c r="DA56" s="7">
        <f t="shared" si="179"/>
        <v>-0.2978723404255319</v>
      </c>
      <c r="DB56" s="7">
        <f t="shared" si="179"/>
        <v>-0.73228346456692917</v>
      </c>
      <c r="DC56" s="9">
        <f t="shared" si="179"/>
        <v>-0.11206896551724148</v>
      </c>
      <c r="DD56" s="7">
        <f t="shared" si="179"/>
        <v>-0.45774647887323938</v>
      </c>
      <c r="DE56" s="7">
        <f t="shared" si="179"/>
        <v>-0.1962616822429907</v>
      </c>
      <c r="DF56" s="7">
        <f t="shared" si="179"/>
        <v>-0.23255813953488372</v>
      </c>
      <c r="DG56" s="7">
        <f t="shared" si="179"/>
        <v>-0.78523489932885904</v>
      </c>
      <c r="DH56" s="7">
        <f t="shared" si="179"/>
        <v>-0.38582677165354334</v>
      </c>
      <c r="DI56" s="7">
        <f t="shared" si="179"/>
        <v>-0.35416666666666669</v>
      </c>
      <c r="DJ56" s="9">
        <f t="shared" si="179"/>
        <v>-0.22368421052631582</v>
      </c>
      <c r="DK56" s="9">
        <f t="shared" si="179"/>
        <v>-0.2</v>
      </c>
      <c r="DL56" s="9">
        <f t="shared" si="179"/>
        <v>-0.16</v>
      </c>
      <c r="DM56" s="9">
        <f t="shared" si="179"/>
        <v>-7.6086956521739052E-2</v>
      </c>
      <c r="DN56" s="9">
        <f t="shared" si="179"/>
        <v>-3.2967032967032996E-2</v>
      </c>
      <c r="DO56" s="9">
        <f t="shared" si="179"/>
        <v>-0.47674418604651159</v>
      </c>
      <c r="DP56" s="9">
        <f t="shared" si="179"/>
        <v>-0.32727272727272733</v>
      </c>
      <c r="DQ56" s="7">
        <f t="shared" si="179"/>
        <v>-0.43564356435643564</v>
      </c>
      <c r="DR56" s="7">
        <f t="shared" si="179"/>
        <v>-2.4691358024691377E-2</v>
      </c>
      <c r="DS56" s="7">
        <f t="shared" si="179"/>
        <v>-0.359375</v>
      </c>
      <c r="DT56" s="7">
        <f t="shared" si="179"/>
        <v>-0.47142857142857153</v>
      </c>
      <c r="DU56" s="7">
        <f t="shared" si="179"/>
        <v>-3.7878787878787908E-2</v>
      </c>
      <c r="DV56" s="7">
        <f t="shared" si="179"/>
        <v>-0.20481927710843373</v>
      </c>
      <c r="DW56" s="7">
        <f t="shared" si="179"/>
        <v>-0.29090909090909089</v>
      </c>
      <c r="DX56" s="7">
        <f t="shared" si="179"/>
        <v>-0.47727272727272724</v>
      </c>
      <c r="DY56" s="7">
        <f t="shared" si="179"/>
        <v>-0.71034482758620676</v>
      </c>
      <c r="DZ56" s="7">
        <f t="shared" ref="DZ56:EX56" si="180">(DZ51-DZ43)/DZ43</f>
        <v>-0.62376237623762376</v>
      </c>
      <c r="EA56" s="7">
        <f t="shared" si="180"/>
        <v>-0.48648648648648646</v>
      </c>
      <c r="EB56" s="7">
        <f t="shared" si="180"/>
        <v>-0.57723577235772361</v>
      </c>
      <c r="EC56" s="9">
        <f t="shared" si="180"/>
        <v>-0.38834951456310673</v>
      </c>
      <c r="ED56" s="7">
        <f t="shared" si="180"/>
        <v>-0.48245614035087725</v>
      </c>
      <c r="EE56" s="7">
        <f t="shared" si="180"/>
        <v>-0.5</v>
      </c>
      <c r="EF56" s="7">
        <f t="shared" si="180"/>
        <v>-0.82065217391304346</v>
      </c>
      <c r="EG56" s="7">
        <f t="shared" si="180"/>
        <v>-0.70186335403726707</v>
      </c>
      <c r="EH56" s="7">
        <f t="shared" si="180"/>
        <v>-0.17105263157894735</v>
      </c>
      <c r="EI56" s="7">
        <f t="shared" si="180"/>
        <v>-0.15189873417721514</v>
      </c>
      <c r="EJ56" s="7">
        <f t="shared" si="180"/>
        <v>-3.333333333333325E-2</v>
      </c>
      <c r="EK56" s="7">
        <f t="shared" si="180"/>
        <v>-0.22826086956521743</v>
      </c>
      <c r="EL56" s="7">
        <f t="shared" si="180"/>
        <v>-0.20930232558139522</v>
      </c>
      <c r="EM56" s="9">
        <f t="shared" si="180"/>
        <v>-0.18987341772151897</v>
      </c>
      <c r="EN56" s="7">
        <f t="shared" si="180"/>
        <v>-0.16176470588235298</v>
      </c>
      <c r="EO56" s="7">
        <f t="shared" si="180"/>
        <v>-0.25</v>
      </c>
      <c r="EP56" s="7">
        <f t="shared" si="180"/>
        <v>-0.22000000000000006</v>
      </c>
      <c r="EQ56" s="7">
        <f t="shared" si="180"/>
        <v>-0.46226415094339618</v>
      </c>
      <c r="ER56" s="9">
        <f t="shared" si="180"/>
        <v>-0.39175257731958768</v>
      </c>
      <c r="ES56" s="9">
        <f t="shared" si="180"/>
        <v>-0.45205479452054792</v>
      </c>
      <c r="ET56" s="7">
        <f t="shared" si="180"/>
        <v>-0.2430555555555555</v>
      </c>
      <c r="EU56" s="9">
        <f t="shared" si="180"/>
        <v>0</v>
      </c>
      <c r="EV56" s="7">
        <f t="shared" si="180"/>
        <v>-0.14516129032258066</v>
      </c>
      <c r="EW56" s="7">
        <f t="shared" si="180"/>
        <v>-0.25641025641025639</v>
      </c>
      <c r="EX56" s="9">
        <f t="shared" si="180"/>
        <v>-0.11111111111111108</v>
      </c>
      <c r="EY56" s="9">
        <f t="shared" si="168"/>
        <v>-2.8571428571428595E-2</v>
      </c>
      <c r="EZ56" s="7">
        <f t="shared" si="168"/>
        <v>-0.27380952380952389</v>
      </c>
      <c r="FA56" s="7">
        <f t="shared" ref="FA56:FB56" si="181">(FA51-FA43)/FA43</f>
        <v>-0.1744186046511628</v>
      </c>
      <c r="FB56" s="7">
        <f t="shared" si="181"/>
        <v>-0.24999999999999992</v>
      </c>
      <c r="FC56" s="7">
        <f t="shared" ref="FC56:FD56" si="182">(FC51-FC43)/FC43</f>
        <v>-0.26315789473684209</v>
      </c>
      <c r="FD56" s="7">
        <f t="shared" si="182"/>
        <v>-0.1764705882352941</v>
      </c>
      <c r="FE56" s="7">
        <f t="shared" ref="FE56:FF56" si="183">(FE51-FE43)/FE43</f>
        <v>-0.12765957446808507</v>
      </c>
      <c r="FF56" s="7">
        <f t="shared" si="183"/>
        <v>-0.55714285714285716</v>
      </c>
      <c r="FG56" s="4"/>
      <c r="FH56" s="4"/>
      <c r="FI56" s="4"/>
      <c r="FJ56" s="4"/>
      <c r="FK56" s="4"/>
      <c r="FL56" s="4"/>
    </row>
    <row r="57" spans="1:168" x14ac:dyDescent="0.3">
      <c r="A57" t="s">
        <v>206</v>
      </c>
      <c r="B57" s="4">
        <v>0.30599999999999999</v>
      </c>
      <c r="C57" s="4">
        <v>0.32600000000000001</v>
      </c>
      <c r="D57" s="4">
        <v>0.307</v>
      </c>
      <c r="E57" s="4">
        <v>0.36299999999999999</v>
      </c>
      <c r="F57" s="4">
        <v>0.30399999999999999</v>
      </c>
      <c r="G57" s="4">
        <v>0.224</v>
      </c>
      <c r="H57" s="4">
        <v>0.24399999999999999</v>
      </c>
      <c r="I57" s="4">
        <v>0.25700000000000001</v>
      </c>
      <c r="J57" s="4">
        <v>0.48599999999999999</v>
      </c>
      <c r="K57" s="4">
        <v>0.34</v>
      </c>
      <c r="L57" s="4">
        <v>0.41</v>
      </c>
      <c r="M57" s="4">
        <v>0.30499999999999999</v>
      </c>
      <c r="N57" s="4">
        <v>0.51</v>
      </c>
      <c r="O57" s="4">
        <v>0.29499999999999998</v>
      </c>
      <c r="P57" s="4">
        <v>0.432</v>
      </c>
      <c r="Q57" s="4">
        <v>0.58799999999999997</v>
      </c>
      <c r="R57" s="4">
        <v>0.45100000000000001</v>
      </c>
      <c r="S57" s="4">
        <v>0.39500000000000002</v>
      </c>
      <c r="T57" s="4">
        <v>0.24099999999999999</v>
      </c>
      <c r="U57" s="4">
        <v>0.37</v>
      </c>
      <c r="V57" s="4">
        <v>0.23</v>
      </c>
      <c r="W57" s="4">
        <v>0.32900000000000001</v>
      </c>
      <c r="X57" s="4">
        <v>0.439</v>
      </c>
      <c r="Y57" s="4">
        <v>0.34799999999999998</v>
      </c>
      <c r="Z57" s="4">
        <v>0.31</v>
      </c>
      <c r="AA57" s="4">
        <v>0.32600000000000001</v>
      </c>
      <c r="AB57" s="4">
        <v>0.28100000000000003</v>
      </c>
      <c r="AC57" s="4">
        <v>0.33500000000000002</v>
      </c>
      <c r="AD57" s="4">
        <v>0.33400000000000002</v>
      </c>
      <c r="AE57" s="4">
        <v>0.313</v>
      </c>
      <c r="AF57" s="4">
        <v>0.26700000000000002</v>
      </c>
      <c r="AG57" s="4">
        <v>0.54800000000000004</v>
      </c>
      <c r="AH57" s="4">
        <v>0.53800000000000003</v>
      </c>
      <c r="AI57" s="4">
        <v>0.64400000000000002</v>
      </c>
      <c r="AJ57" s="4">
        <v>0.33500000000000002</v>
      </c>
      <c r="AK57" s="4">
        <v>0.32600000000000001</v>
      </c>
      <c r="AL57" s="4">
        <v>0.35699999999999998</v>
      </c>
      <c r="AM57" s="4">
        <v>0.53200000000000003</v>
      </c>
      <c r="AN57" s="4">
        <v>0.49</v>
      </c>
      <c r="AO57" s="4">
        <v>0.57899999999999996</v>
      </c>
      <c r="AP57" s="4">
        <v>0.42</v>
      </c>
      <c r="AQ57" s="4">
        <v>0.39400000000000002</v>
      </c>
      <c r="AR57" s="4">
        <v>0.32200000000000001</v>
      </c>
      <c r="AS57" s="4">
        <v>0.32</v>
      </c>
      <c r="AT57" s="4">
        <v>0.42399999999999999</v>
      </c>
      <c r="AU57" s="4">
        <v>0.55100000000000005</v>
      </c>
      <c r="AV57" s="4">
        <v>0.28699999999999998</v>
      </c>
      <c r="AW57" s="8">
        <v>0.221</v>
      </c>
      <c r="AX57" s="4">
        <v>0.23400000000000001</v>
      </c>
      <c r="AY57" s="4">
        <v>0.378</v>
      </c>
      <c r="AZ57" s="4">
        <v>0.39700000000000002</v>
      </c>
      <c r="BA57" s="4">
        <v>0.67100000000000004</v>
      </c>
      <c r="BB57" s="4">
        <v>0.36899999999999999</v>
      </c>
      <c r="BC57" s="8">
        <v>0.47299999999999998</v>
      </c>
      <c r="BD57" s="8">
        <v>0.3</v>
      </c>
      <c r="BE57" s="4">
        <v>0.57299999999999995</v>
      </c>
      <c r="BF57" s="4">
        <v>0.217</v>
      </c>
      <c r="BG57" s="4">
        <v>0.57299999999999995</v>
      </c>
      <c r="BH57" s="4">
        <v>0.23499999999999999</v>
      </c>
      <c r="BI57" s="4">
        <v>0.44700000000000001</v>
      </c>
      <c r="BJ57" s="4">
        <v>0.17100000000000001</v>
      </c>
      <c r="BK57" s="4">
        <v>0.28699999999999998</v>
      </c>
      <c r="BL57" s="4">
        <v>0.52900000000000003</v>
      </c>
      <c r="BM57" s="4">
        <v>0.39</v>
      </c>
      <c r="BN57" s="4">
        <v>0.376</v>
      </c>
      <c r="BO57" s="4">
        <v>0.20100000000000001</v>
      </c>
      <c r="BP57" s="4">
        <v>0.29299999999999998</v>
      </c>
      <c r="BQ57" s="4">
        <v>0.441</v>
      </c>
      <c r="BR57" s="4">
        <v>0.42599999999999999</v>
      </c>
      <c r="BS57" s="4">
        <v>0.42399999999999999</v>
      </c>
      <c r="BT57" s="3">
        <v>0.33900000000000002</v>
      </c>
      <c r="BU57" s="7">
        <v>0.39500000000000002</v>
      </c>
      <c r="BV57" s="3">
        <v>0.627</v>
      </c>
      <c r="BW57" s="4">
        <v>0.26800000000000002</v>
      </c>
      <c r="BX57" s="4">
        <v>0.307</v>
      </c>
      <c r="BY57" s="3">
        <v>0.34599999999999997</v>
      </c>
      <c r="BZ57" s="4">
        <v>0.39600000000000002</v>
      </c>
      <c r="CA57" s="4">
        <v>0.36299999999999999</v>
      </c>
      <c r="CB57" s="4">
        <v>0.30099999999999999</v>
      </c>
      <c r="CC57" s="4">
        <v>0.38200000000000001</v>
      </c>
      <c r="CD57" s="4">
        <v>0.39900000000000002</v>
      </c>
      <c r="CE57" s="4">
        <v>0.41199999999999998</v>
      </c>
      <c r="CF57" s="4">
        <v>0.27100000000000002</v>
      </c>
      <c r="CG57" s="4">
        <v>0.27300000000000002</v>
      </c>
      <c r="CH57" s="4">
        <v>0.48899999999999999</v>
      </c>
      <c r="CI57" s="4">
        <v>0.46700000000000003</v>
      </c>
      <c r="CJ57" s="4">
        <v>0.152</v>
      </c>
      <c r="CK57" s="4">
        <v>0.432</v>
      </c>
      <c r="CL57" s="4">
        <v>0.51700000000000002</v>
      </c>
      <c r="CM57" s="4">
        <v>0.432</v>
      </c>
      <c r="CN57" s="4">
        <v>0.54600000000000004</v>
      </c>
      <c r="CO57" s="4">
        <v>0.41399999999999998</v>
      </c>
      <c r="CP57" s="4">
        <v>0.52900000000000003</v>
      </c>
      <c r="CQ57" s="4">
        <v>0.35199999999999998</v>
      </c>
      <c r="CR57" s="4">
        <v>0.51100000000000001</v>
      </c>
      <c r="CS57" s="4">
        <v>0.496</v>
      </c>
      <c r="CT57" s="4">
        <v>0.53600000000000003</v>
      </c>
      <c r="CU57" s="4">
        <v>0.498</v>
      </c>
      <c r="CV57" s="4">
        <v>0.28000000000000003</v>
      </c>
      <c r="CW57" s="4">
        <v>0.154</v>
      </c>
      <c r="CX57" s="4">
        <v>0.44600000000000001</v>
      </c>
      <c r="CY57" s="4">
        <v>0.51600000000000001</v>
      </c>
      <c r="CZ57" s="4">
        <v>0.57799999999999996</v>
      </c>
      <c r="DA57" s="4">
        <v>0.52100000000000002</v>
      </c>
      <c r="DB57" s="4">
        <v>0.52</v>
      </c>
      <c r="DC57" s="4">
        <v>0.26100000000000001</v>
      </c>
      <c r="DD57" s="4">
        <v>0.27</v>
      </c>
      <c r="DE57" s="4">
        <v>0.26400000000000001</v>
      </c>
      <c r="DF57" s="4">
        <v>0.22800000000000001</v>
      </c>
      <c r="DG57" s="4">
        <v>0.41699999999999998</v>
      </c>
      <c r="DH57" s="4">
        <v>0.36899999999999999</v>
      </c>
      <c r="DI57" s="4">
        <v>0.44</v>
      </c>
      <c r="DJ57" s="8">
        <v>0.38200000000000001</v>
      </c>
      <c r="DK57" s="8">
        <v>0.41499999999999998</v>
      </c>
      <c r="DL57" s="8">
        <v>0.20300000000000001</v>
      </c>
      <c r="DM57" s="4">
        <v>0.31</v>
      </c>
      <c r="DN57" s="10">
        <v>0.59499999999999997</v>
      </c>
      <c r="DO57" s="4">
        <v>0.627</v>
      </c>
      <c r="DP57" s="4">
        <v>0.53100000000000003</v>
      </c>
      <c r="DQ57" s="4">
        <v>0.66900000000000004</v>
      </c>
      <c r="DR57" s="4">
        <v>0.68400000000000005</v>
      </c>
      <c r="DS57" s="4">
        <v>0.45300000000000001</v>
      </c>
      <c r="DT57" s="10">
        <v>0.498</v>
      </c>
      <c r="DU57" s="4">
        <v>0.30199999999999999</v>
      </c>
      <c r="DV57" s="4">
        <v>0.47799999999999998</v>
      </c>
      <c r="DW57" s="4">
        <v>0.51</v>
      </c>
      <c r="DX57" s="4">
        <v>0.60299999999999998</v>
      </c>
      <c r="DY57" s="4">
        <v>0.76900000000000002</v>
      </c>
      <c r="DZ57" s="4">
        <v>0.72899999999999998</v>
      </c>
      <c r="EA57" s="4">
        <v>0.67</v>
      </c>
      <c r="EB57" s="4">
        <v>0.64300000000000002</v>
      </c>
      <c r="EC57" s="4">
        <v>0.54</v>
      </c>
      <c r="ED57" s="4">
        <v>0.69599999999999995</v>
      </c>
      <c r="EE57" s="4">
        <v>0.7</v>
      </c>
      <c r="EF57" s="4">
        <v>0.73399999999999999</v>
      </c>
      <c r="EG57" s="4">
        <v>0.70399999999999996</v>
      </c>
      <c r="EH57" s="4">
        <v>0.33</v>
      </c>
      <c r="EI57" s="4">
        <v>0.28999999999999998</v>
      </c>
      <c r="EJ57" s="4">
        <v>0.318</v>
      </c>
      <c r="EK57" s="4">
        <v>0.255</v>
      </c>
      <c r="EL57" s="4">
        <v>0.38700000000000001</v>
      </c>
      <c r="EM57" s="4">
        <v>0.35499999999999998</v>
      </c>
      <c r="EN57" s="4">
        <v>0.29699999999999999</v>
      </c>
      <c r="EO57" s="4">
        <v>0.59899999999999998</v>
      </c>
      <c r="EP57" s="4">
        <v>0.46899999999999997</v>
      </c>
      <c r="EQ57" s="4">
        <v>0.55900000000000005</v>
      </c>
      <c r="ER57" s="4">
        <v>0.60499999999999998</v>
      </c>
      <c r="ES57" s="4">
        <v>0.48299999999999998</v>
      </c>
      <c r="ET57" s="4">
        <v>0.34399999999999997</v>
      </c>
      <c r="EU57" s="8">
        <v>0.65</v>
      </c>
      <c r="EV57" s="4">
        <v>0.49299999999999999</v>
      </c>
      <c r="EW57" s="4">
        <v>0.41699999999999998</v>
      </c>
      <c r="EX57" s="4">
        <v>0.63600000000000001</v>
      </c>
      <c r="EY57" s="4">
        <v>0.71799999999999997</v>
      </c>
      <c r="EZ57" s="4">
        <v>0.36699999999999999</v>
      </c>
      <c r="FA57" s="4">
        <v>0.40600000000000003</v>
      </c>
      <c r="FB57" s="4">
        <v>0.35799999999999998</v>
      </c>
      <c r="FC57" s="4">
        <v>0.23699999999999999</v>
      </c>
      <c r="FD57" s="4">
        <v>0.33300000000000002</v>
      </c>
      <c r="FE57" s="4">
        <v>0.27</v>
      </c>
      <c r="FF57" s="4">
        <v>0.30199999999999999</v>
      </c>
      <c r="FG57" s="4"/>
      <c r="FH57" s="4"/>
      <c r="FI57" s="4"/>
      <c r="FJ57" s="4"/>
      <c r="FK57" s="4"/>
      <c r="FL57" s="4"/>
    </row>
    <row r="58" spans="1:168" x14ac:dyDescent="0.3">
      <c r="A58" t="s">
        <v>207</v>
      </c>
      <c r="B58" s="4">
        <v>0.64200000000000002</v>
      </c>
      <c r="C58" s="4">
        <v>0.54100000000000004</v>
      </c>
      <c r="D58" s="4">
        <v>0.61599999999999999</v>
      </c>
      <c r="E58" s="4">
        <v>0.63400000000000001</v>
      </c>
      <c r="F58" s="4">
        <v>0.6</v>
      </c>
      <c r="G58" s="4">
        <v>0.64600000000000002</v>
      </c>
      <c r="H58" s="4">
        <v>0.54200000000000004</v>
      </c>
      <c r="I58" s="4">
        <v>0.69599999999999995</v>
      </c>
      <c r="J58" s="4">
        <v>0.79600000000000004</v>
      </c>
      <c r="K58" s="4">
        <v>0.85199999999999998</v>
      </c>
      <c r="L58" s="4">
        <v>0.84699999999999998</v>
      </c>
      <c r="M58" s="4">
        <v>0.81499999999999995</v>
      </c>
      <c r="N58" s="4">
        <v>0.90600000000000003</v>
      </c>
      <c r="O58" s="4">
        <v>0.86599999999999999</v>
      </c>
      <c r="P58" s="4">
        <v>0.89200000000000002</v>
      </c>
      <c r="Q58" s="4">
        <v>0.92300000000000004</v>
      </c>
      <c r="R58" s="4">
        <v>0.85799999999999998</v>
      </c>
      <c r="S58" s="4">
        <v>0.79</v>
      </c>
      <c r="T58" s="4">
        <v>0.89</v>
      </c>
      <c r="U58" s="4">
        <v>0.81599999999999995</v>
      </c>
      <c r="V58" s="4">
        <v>0.55100000000000005</v>
      </c>
      <c r="W58" s="4">
        <v>0.66700000000000004</v>
      </c>
      <c r="X58" s="4">
        <v>0.77100000000000002</v>
      </c>
      <c r="Y58" s="4">
        <v>0.77600000000000002</v>
      </c>
      <c r="Z58" s="4">
        <v>0.70599999999999996</v>
      </c>
      <c r="AA58" s="4">
        <v>0.68799999999999994</v>
      </c>
      <c r="AB58" s="4">
        <v>0.73299999999999998</v>
      </c>
      <c r="AC58" s="4">
        <v>0.69499999999999995</v>
      </c>
      <c r="AD58" s="4">
        <v>0.626</v>
      </c>
      <c r="AE58" s="4">
        <v>0.73</v>
      </c>
      <c r="AF58" s="4">
        <v>0.73299999999999998</v>
      </c>
      <c r="AG58" s="4">
        <v>0.88500000000000001</v>
      </c>
      <c r="AH58" s="4">
        <v>0.85</v>
      </c>
      <c r="AI58" s="4">
        <v>0.90800000000000003</v>
      </c>
      <c r="AJ58" s="4">
        <v>0.751</v>
      </c>
      <c r="AK58" s="4">
        <v>0.69399999999999995</v>
      </c>
      <c r="AL58" s="4">
        <v>0.76600000000000001</v>
      </c>
      <c r="AM58" s="4">
        <v>0.61699999999999999</v>
      </c>
      <c r="AN58" s="4">
        <v>0.76200000000000001</v>
      </c>
      <c r="AO58" s="4">
        <v>0.92400000000000004</v>
      </c>
      <c r="AP58" s="4">
        <v>0.94199999999999995</v>
      </c>
      <c r="AQ58" s="4">
        <v>0.86399999999999999</v>
      </c>
      <c r="AR58" s="4">
        <v>0.90300000000000002</v>
      </c>
      <c r="AS58" s="4">
        <v>0.73499999999999999</v>
      </c>
      <c r="AT58" s="4">
        <v>0.82599999999999996</v>
      </c>
      <c r="AU58" s="4">
        <v>0.94299999999999995</v>
      </c>
      <c r="AV58" s="4">
        <v>0.67300000000000004</v>
      </c>
      <c r="AW58" s="8">
        <v>0.68400000000000005</v>
      </c>
      <c r="AX58" s="4">
        <v>0.67700000000000005</v>
      </c>
      <c r="AY58" s="4">
        <v>0.74299999999999999</v>
      </c>
      <c r="AZ58" s="4">
        <v>0.64</v>
      </c>
      <c r="BA58" s="4">
        <v>0.873</v>
      </c>
      <c r="BB58" s="4">
        <v>0.871</v>
      </c>
      <c r="BC58" s="8">
        <v>0.81200000000000006</v>
      </c>
      <c r="BD58" s="8">
        <v>0.63700000000000001</v>
      </c>
      <c r="BE58" s="4">
        <v>0.876</v>
      </c>
      <c r="BF58" s="4">
        <v>0.63500000000000001</v>
      </c>
      <c r="BG58" s="4">
        <v>0.97899999999999998</v>
      </c>
      <c r="BH58" s="4">
        <v>0.61299999999999999</v>
      </c>
      <c r="BI58" s="4">
        <v>0.92800000000000005</v>
      </c>
      <c r="BJ58" s="4">
        <v>0.43099999999999999</v>
      </c>
      <c r="BK58" s="4">
        <v>0.72699999999999998</v>
      </c>
      <c r="BL58" s="4">
        <v>0.80900000000000005</v>
      </c>
      <c r="BM58" s="4">
        <v>0.68600000000000005</v>
      </c>
      <c r="BN58" s="4">
        <v>0.64700000000000002</v>
      </c>
      <c r="BO58" s="4">
        <v>0.44900000000000001</v>
      </c>
      <c r="BP58" s="4">
        <v>0.76900000000000002</v>
      </c>
      <c r="BQ58" s="4">
        <v>0.92500000000000004</v>
      </c>
      <c r="BR58" s="4">
        <v>0.82399999999999995</v>
      </c>
      <c r="BS58" s="4">
        <v>0.83099999999999996</v>
      </c>
      <c r="BT58" s="3">
        <v>0.73099999999999998</v>
      </c>
      <c r="BU58" s="7">
        <v>0.874</v>
      </c>
      <c r="BV58" s="3">
        <v>0.95799999999999996</v>
      </c>
      <c r="BW58" s="4">
        <v>0.89600000000000002</v>
      </c>
      <c r="BX58" s="4">
        <v>0.90600000000000003</v>
      </c>
      <c r="BY58" s="3">
        <v>0.83399999999999996</v>
      </c>
      <c r="BZ58" s="4">
        <v>0.75</v>
      </c>
      <c r="CA58" s="4">
        <v>0.84899999999999998</v>
      </c>
      <c r="CB58" s="4">
        <v>0.77</v>
      </c>
      <c r="CC58" s="4">
        <v>0.80300000000000005</v>
      </c>
      <c r="CD58" s="4">
        <v>0.78700000000000003</v>
      </c>
      <c r="CE58" s="4">
        <v>0.84299999999999997</v>
      </c>
      <c r="CF58" s="4">
        <v>0.73</v>
      </c>
      <c r="CG58" s="4">
        <v>0.74</v>
      </c>
      <c r="CH58" s="4">
        <v>0.91300000000000003</v>
      </c>
      <c r="CI58" s="4">
        <v>0.80100000000000005</v>
      </c>
      <c r="CJ58" s="4">
        <v>0.437</v>
      </c>
      <c r="CK58" s="4">
        <v>0.88</v>
      </c>
      <c r="CL58" s="4">
        <v>0.88100000000000001</v>
      </c>
      <c r="CM58" s="4">
        <v>0.83499999999999996</v>
      </c>
      <c r="CN58" s="4">
        <v>0.84199999999999997</v>
      </c>
      <c r="CO58" s="4">
        <v>0.79700000000000004</v>
      </c>
      <c r="CP58" s="4">
        <v>0.94</v>
      </c>
      <c r="CQ58" s="4">
        <v>0.92200000000000004</v>
      </c>
      <c r="CR58" s="4">
        <v>0.84399999999999997</v>
      </c>
      <c r="CS58" s="4">
        <v>0.626</v>
      </c>
      <c r="CT58" s="4">
        <v>0.93799999999999994</v>
      </c>
      <c r="CU58" s="4">
        <v>0.90100000000000002</v>
      </c>
      <c r="CV58" s="4">
        <v>0.68200000000000005</v>
      </c>
      <c r="CW58" s="4">
        <v>0.61799999999999999</v>
      </c>
      <c r="CX58" s="4">
        <v>0.80500000000000005</v>
      </c>
      <c r="CY58" s="4">
        <v>0.89900000000000002</v>
      </c>
      <c r="CZ58" s="4">
        <v>0.94699999999999995</v>
      </c>
      <c r="DA58" s="4">
        <v>0.96399999999999997</v>
      </c>
      <c r="DB58" s="4">
        <v>0.95499999999999996</v>
      </c>
      <c r="DC58" s="4">
        <v>0.64</v>
      </c>
      <c r="DD58" s="4">
        <v>0.81499999999999995</v>
      </c>
      <c r="DE58" s="4">
        <v>0.68300000000000005</v>
      </c>
      <c r="DF58" s="4">
        <v>0.66100000000000003</v>
      </c>
      <c r="DG58" s="4">
        <v>0.99</v>
      </c>
      <c r="DH58" s="4">
        <v>0.88100000000000001</v>
      </c>
      <c r="DI58" s="4">
        <v>0.877</v>
      </c>
      <c r="DJ58" s="8">
        <v>0.871</v>
      </c>
      <c r="DK58" s="8">
        <v>0.81599999999999995</v>
      </c>
      <c r="DL58" s="8">
        <v>0.80100000000000005</v>
      </c>
      <c r="DM58" s="4">
        <v>0.81</v>
      </c>
      <c r="DN58" s="4">
        <v>0.65300000000000002</v>
      </c>
      <c r="DO58" s="4">
        <v>0.85899999999999999</v>
      </c>
      <c r="DP58" s="4">
        <v>0.84699999999999998</v>
      </c>
      <c r="DQ58" s="4">
        <v>0.90200000000000002</v>
      </c>
      <c r="DR58" s="4">
        <v>0.8</v>
      </c>
      <c r="DS58" s="4">
        <v>0.83199999999999996</v>
      </c>
      <c r="DT58" s="10">
        <v>0.91</v>
      </c>
      <c r="DU58" s="4">
        <v>0.61099999999999999</v>
      </c>
      <c r="DV58" s="4">
        <v>0.93700000000000006</v>
      </c>
      <c r="DW58" s="4">
        <v>0.82199999999999995</v>
      </c>
      <c r="DX58" s="4">
        <v>0.85299999999999998</v>
      </c>
      <c r="DY58" s="4">
        <v>0.96599999999999997</v>
      </c>
      <c r="DZ58" s="4">
        <v>0.94199999999999995</v>
      </c>
      <c r="EA58" s="4">
        <v>0.91500000000000004</v>
      </c>
      <c r="EB58" s="4">
        <v>0.91700000000000004</v>
      </c>
      <c r="EC58" s="4">
        <v>0.79400000000000004</v>
      </c>
      <c r="ED58" s="4">
        <v>0.92100000000000004</v>
      </c>
      <c r="EE58" s="4">
        <v>0.90900000000000003</v>
      </c>
      <c r="EF58" s="4">
        <v>0.96499999999999997</v>
      </c>
      <c r="EG58" s="4">
        <v>0.98499999999999999</v>
      </c>
      <c r="EH58" s="4">
        <v>0.84499999999999997</v>
      </c>
      <c r="EI58" s="4">
        <v>0.81499999999999995</v>
      </c>
      <c r="EJ58" s="4">
        <v>0.85599999999999998</v>
      </c>
      <c r="EK58" s="4">
        <v>0.81</v>
      </c>
      <c r="EL58" s="4">
        <v>0.83399999999999996</v>
      </c>
      <c r="EM58" s="4">
        <v>0.83299999999999996</v>
      </c>
      <c r="EN58" s="4">
        <v>0.86</v>
      </c>
      <c r="EO58" s="4">
        <v>0.85499999999999998</v>
      </c>
      <c r="EP58" s="4">
        <v>0.84</v>
      </c>
      <c r="EQ58" s="4">
        <v>0.88800000000000001</v>
      </c>
      <c r="ER58" s="4">
        <v>0.89100000000000001</v>
      </c>
      <c r="ES58" s="4">
        <v>0.79</v>
      </c>
      <c r="ET58" s="4">
        <v>0.77700000000000002</v>
      </c>
      <c r="EU58" s="8">
        <v>0.88</v>
      </c>
      <c r="EV58" s="4">
        <v>0.84599999999999997</v>
      </c>
      <c r="EW58" s="4">
        <v>0.85699999999999998</v>
      </c>
      <c r="EX58" s="4">
        <v>0.81299999999999994</v>
      </c>
      <c r="EY58" s="4">
        <v>0.85599999999999998</v>
      </c>
      <c r="EZ58" s="4">
        <v>0.85</v>
      </c>
      <c r="FA58" s="4">
        <v>0.82899999999999996</v>
      </c>
      <c r="FB58" s="4">
        <v>0.83199999999999996</v>
      </c>
      <c r="FC58" s="4">
        <v>0.625</v>
      </c>
      <c r="FD58" s="4">
        <v>0.76100000000000001</v>
      </c>
      <c r="FE58" s="4">
        <v>0.68799999999999994</v>
      </c>
      <c r="FF58" s="4">
        <v>0.82699999999999996</v>
      </c>
      <c r="FG58" s="4"/>
      <c r="FH58" s="4"/>
      <c r="FI58" s="4"/>
      <c r="FJ58" s="4"/>
      <c r="FK58" s="4"/>
      <c r="FL58" s="4"/>
    </row>
    <row r="59" spans="1:168" x14ac:dyDescent="0.3">
      <c r="A59" t="s">
        <v>208</v>
      </c>
      <c r="B59" s="4">
        <v>6.5000000000000002E-2</v>
      </c>
      <c r="C59" s="4">
        <v>8.5000000000000006E-2</v>
      </c>
      <c r="D59" s="4">
        <v>7.3999999999999996E-2</v>
      </c>
      <c r="E59" s="4">
        <v>7.3999999999999996E-2</v>
      </c>
      <c r="F59" s="4">
        <v>7.0000000000000007E-2</v>
      </c>
      <c r="G59" s="4">
        <v>6.5000000000000002E-2</v>
      </c>
      <c r="H59" s="4">
        <v>5.2999999999999999E-2</v>
      </c>
      <c r="I59" s="4">
        <v>6.3E-2</v>
      </c>
      <c r="J59" s="4">
        <v>6.0999999999999999E-2</v>
      </c>
      <c r="K59" s="4">
        <v>6.2E-2</v>
      </c>
      <c r="L59" s="4">
        <v>8.3000000000000004E-2</v>
      </c>
      <c r="M59" s="4">
        <v>5.8999999999999997E-2</v>
      </c>
      <c r="N59" s="4">
        <v>5.7000000000000002E-2</v>
      </c>
      <c r="O59" s="4">
        <v>0.05</v>
      </c>
      <c r="P59" s="4">
        <v>5.8999999999999997E-2</v>
      </c>
      <c r="Q59" s="4">
        <v>6.4000000000000001E-2</v>
      </c>
      <c r="R59" s="4">
        <v>0.06</v>
      </c>
      <c r="S59" s="4">
        <v>6.0999999999999999E-2</v>
      </c>
      <c r="T59" s="4">
        <v>0.04</v>
      </c>
      <c r="U59" s="4">
        <v>6.3E-2</v>
      </c>
      <c r="V59" s="4">
        <v>6.6000000000000003E-2</v>
      </c>
      <c r="W59" s="4">
        <v>7.4999999999999997E-2</v>
      </c>
      <c r="X59" s="4">
        <v>0.1</v>
      </c>
      <c r="Y59" s="4">
        <v>6.6000000000000003E-2</v>
      </c>
      <c r="Z59" s="4">
        <v>7.0000000000000007E-2</v>
      </c>
      <c r="AA59" s="4">
        <v>8.7999999999999995E-2</v>
      </c>
      <c r="AB59" s="4">
        <v>7.2999999999999995E-2</v>
      </c>
      <c r="AC59" s="4">
        <v>8.7999999999999995E-2</v>
      </c>
      <c r="AD59" s="4">
        <v>0.1</v>
      </c>
      <c r="AE59" s="4">
        <v>7.8E-2</v>
      </c>
      <c r="AF59" s="4">
        <v>7.6999999999999999E-2</v>
      </c>
      <c r="AG59" s="4">
        <v>7.3999999999999996E-2</v>
      </c>
      <c r="AH59" s="4">
        <v>8.1000000000000003E-2</v>
      </c>
      <c r="AI59" s="4">
        <v>5.2999999999999999E-2</v>
      </c>
      <c r="AJ59" s="4">
        <v>5.1999999999999998E-2</v>
      </c>
      <c r="AK59" s="4">
        <v>0.06</v>
      </c>
      <c r="AL59" s="4">
        <v>5.0999999999999997E-2</v>
      </c>
      <c r="AM59" s="4">
        <v>0.115</v>
      </c>
      <c r="AN59" s="4">
        <v>8.4000000000000005E-2</v>
      </c>
      <c r="AO59" s="4">
        <v>5.5E-2</v>
      </c>
      <c r="AP59" s="4">
        <v>4.4999999999999998E-2</v>
      </c>
      <c r="AQ59" s="4">
        <v>6.0999999999999999E-2</v>
      </c>
      <c r="AR59" s="4">
        <v>3.9E-2</v>
      </c>
      <c r="AS59" s="4">
        <v>9.0999999999999998E-2</v>
      </c>
      <c r="AT59" s="4">
        <v>8.3000000000000004E-2</v>
      </c>
      <c r="AU59" s="4">
        <v>4.4999999999999998E-2</v>
      </c>
      <c r="AV59" s="4">
        <v>7.9000000000000001E-2</v>
      </c>
      <c r="AW59" s="8">
        <v>6.6000000000000003E-2</v>
      </c>
      <c r="AX59" s="4">
        <v>7.8E-2</v>
      </c>
      <c r="AY59" s="4">
        <v>0.08</v>
      </c>
      <c r="AZ59" s="4">
        <v>9.5000000000000001E-2</v>
      </c>
      <c r="BA59" s="4">
        <v>0.129</v>
      </c>
      <c r="BB59" s="4">
        <v>9.6000000000000002E-2</v>
      </c>
      <c r="BC59" s="8">
        <v>8.6999999999999994E-2</v>
      </c>
      <c r="BD59" s="8">
        <v>0.11799999999999999</v>
      </c>
      <c r="BE59" s="4">
        <v>0.09</v>
      </c>
      <c r="BF59" s="4">
        <v>5.5E-2</v>
      </c>
      <c r="BG59" s="4">
        <v>6.5000000000000002E-2</v>
      </c>
      <c r="BH59" s="4">
        <v>5.8000000000000003E-2</v>
      </c>
      <c r="BI59" s="4">
        <v>7.9000000000000001E-2</v>
      </c>
      <c r="BJ59" s="4">
        <v>0.08</v>
      </c>
      <c r="BK59" s="4">
        <v>5.8000000000000003E-2</v>
      </c>
      <c r="BL59" s="4">
        <v>0.115</v>
      </c>
      <c r="BM59" s="4">
        <v>7.2999999999999995E-2</v>
      </c>
      <c r="BN59" s="4">
        <v>6.8000000000000005E-2</v>
      </c>
      <c r="BO59" s="4">
        <v>6.5000000000000002E-2</v>
      </c>
      <c r="BP59" s="4">
        <v>5.1999999999999998E-2</v>
      </c>
      <c r="BQ59" s="4">
        <v>4.4999999999999998E-2</v>
      </c>
      <c r="BR59" s="4">
        <v>6.0999999999999999E-2</v>
      </c>
      <c r="BS59" s="4">
        <v>6.3E-2</v>
      </c>
      <c r="BT59" s="3">
        <v>9.5000000000000001E-2</v>
      </c>
      <c r="BU59" s="7">
        <v>7.1999999999999995E-2</v>
      </c>
      <c r="BV59" s="3">
        <v>4.7E-2</v>
      </c>
      <c r="BW59" s="4">
        <v>5.5E-2</v>
      </c>
      <c r="BX59" s="4">
        <v>5.5E-2</v>
      </c>
      <c r="BY59" s="3">
        <v>7.0999999999999994E-2</v>
      </c>
      <c r="BZ59" s="4">
        <v>6.6000000000000003E-2</v>
      </c>
      <c r="CA59" s="4">
        <v>4.4999999999999998E-2</v>
      </c>
      <c r="CB59" s="4">
        <v>5.5E-2</v>
      </c>
      <c r="CC59" s="4">
        <v>0.06</v>
      </c>
      <c r="CD59" s="4">
        <v>5.8000000000000003E-2</v>
      </c>
      <c r="CE59" s="4">
        <v>5.1999999999999998E-2</v>
      </c>
      <c r="CF59" s="4">
        <v>5.8999999999999997E-2</v>
      </c>
      <c r="CG59" s="4">
        <v>5.5E-2</v>
      </c>
      <c r="CH59" s="4">
        <v>4.2999999999999997E-2</v>
      </c>
      <c r="CI59" s="4">
        <v>6.6000000000000003E-2</v>
      </c>
      <c r="CJ59" s="4">
        <v>7.0999999999999994E-2</v>
      </c>
      <c r="CK59" s="4">
        <v>4.7E-2</v>
      </c>
      <c r="CL59" s="4">
        <v>0.05</v>
      </c>
      <c r="CM59" s="4">
        <v>5.1999999999999998E-2</v>
      </c>
      <c r="CN59" s="4">
        <v>6.5000000000000002E-2</v>
      </c>
      <c r="CO59" s="4">
        <v>5.6000000000000001E-2</v>
      </c>
      <c r="CP59" s="4">
        <v>4.4999999999999998E-2</v>
      </c>
      <c r="CQ59" s="4">
        <v>4.1000000000000002E-2</v>
      </c>
      <c r="CR59" s="4">
        <v>0.06</v>
      </c>
      <c r="CS59" s="4">
        <v>9.7000000000000003E-2</v>
      </c>
      <c r="CT59" s="4">
        <v>4.8000000000000001E-2</v>
      </c>
      <c r="CU59" s="4">
        <v>5.8999999999999997E-2</v>
      </c>
      <c r="CV59" s="4">
        <v>8.5000000000000006E-2</v>
      </c>
      <c r="CW59" s="4">
        <v>7.4999999999999997E-2</v>
      </c>
      <c r="CX59" s="4">
        <v>8.6999999999999994E-2</v>
      </c>
      <c r="CY59" s="4">
        <v>8.5000000000000006E-2</v>
      </c>
      <c r="CZ59" s="4">
        <v>6.2E-2</v>
      </c>
      <c r="DA59" s="4">
        <v>0.06</v>
      </c>
      <c r="DB59" s="4">
        <v>5.2999999999999999E-2</v>
      </c>
      <c r="DC59" s="4">
        <v>0.106</v>
      </c>
      <c r="DD59" s="4">
        <v>6.6000000000000003E-2</v>
      </c>
      <c r="DE59" s="4">
        <v>8.7999999999999995E-2</v>
      </c>
      <c r="DF59" s="4">
        <v>0.09</v>
      </c>
      <c r="DG59" s="4">
        <v>2.1000000000000001E-2</v>
      </c>
      <c r="DH59" s="4">
        <v>6.8000000000000005E-2</v>
      </c>
      <c r="DI59" s="4">
        <v>7.8E-2</v>
      </c>
      <c r="DJ59" s="8">
        <v>8.2000000000000003E-2</v>
      </c>
      <c r="DK59" s="8">
        <v>0.113</v>
      </c>
      <c r="DL59" s="8">
        <v>9.0999999999999998E-2</v>
      </c>
      <c r="DM59" s="4">
        <v>0.10299999999999999</v>
      </c>
      <c r="DN59" s="4">
        <v>0.19700000000000001</v>
      </c>
      <c r="DO59" s="4">
        <v>0.14199999999999999</v>
      </c>
      <c r="DP59" s="4">
        <v>0.14499999999999999</v>
      </c>
      <c r="DQ59" s="4">
        <v>0.115</v>
      </c>
      <c r="DR59" s="4">
        <v>0.16300000000000001</v>
      </c>
      <c r="DS59" s="4">
        <v>9.5000000000000001E-2</v>
      </c>
      <c r="DT59" s="10">
        <v>6.8000000000000005E-2</v>
      </c>
      <c r="DU59" s="4">
        <v>9.8000000000000004E-2</v>
      </c>
      <c r="DV59" s="4">
        <v>5.6000000000000001E-2</v>
      </c>
      <c r="DW59" s="4">
        <v>0.106</v>
      </c>
      <c r="DX59" s="4">
        <v>0.105</v>
      </c>
      <c r="DY59" s="4">
        <v>4.8000000000000001E-2</v>
      </c>
      <c r="DZ59" s="4">
        <v>5.7000000000000002E-2</v>
      </c>
      <c r="EA59" s="4">
        <v>7.0999999999999994E-2</v>
      </c>
      <c r="EB59" s="4">
        <v>6.2E-2</v>
      </c>
      <c r="EC59" s="4">
        <v>8.5000000000000006E-2</v>
      </c>
      <c r="ED59" s="4">
        <v>7.0000000000000007E-2</v>
      </c>
      <c r="EE59" s="4">
        <v>7.4999999999999997E-2</v>
      </c>
      <c r="EF59" s="4">
        <v>4.7E-2</v>
      </c>
      <c r="EG59" s="4">
        <v>3.2000000000000001E-2</v>
      </c>
      <c r="EH59" s="4">
        <v>5.3999999999999999E-2</v>
      </c>
      <c r="EI59" s="4">
        <v>0.06</v>
      </c>
      <c r="EJ59" s="4">
        <v>5.3999999999999999E-2</v>
      </c>
      <c r="EK59" s="4">
        <v>6.0999999999999999E-2</v>
      </c>
      <c r="EL59" s="4">
        <v>6.6000000000000003E-2</v>
      </c>
      <c r="EM59" s="4">
        <v>6.2E-2</v>
      </c>
      <c r="EN59" s="4">
        <v>5.0999999999999997E-2</v>
      </c>
      <c r="EO59" s="4">
        <v>5.8000000000000003E-2</v>
      </c>
      <c r="EP59" s="4">
        <v>5.8999999999999997E-2</v>
      </c>
      <c r="EQ59" s="4">
        <v>5.3999999999999999E-2</v>
      </c>
      <c r="ER59" s="4">
        <v>6.0999999999999999E-2</v>
      </c>
      <c r="ES59" s="4">
        <v>6.6000000000000003E-2</v>
      </c>
      <c r="ET59" s="4">
        <v>7.9000000000000001E-2</v>
      </c>
      <c r="EU59" s="8">
        <v>8.6999999999999994E-2</v>
      </c>
      <c r="EV59" s="4">
        <v>8.5000000000000006E-2</v>
      </c>
      <c r="EW59" s="4">
        <v>7.1999999999999995E-2</v>
      </c>
      <c r="EX59" s="4">
        <v>6.0999999999999999E-2</v>
      </c>
      <c r="EY59" s="4">
        <v>5.7000000000000002E-2</v>
      </c>
      <c r="EZ59" s="4">
        <v>6.3E-2</v>
      </c>
      <c r="FA59" s="4">
        <v>7.0999999999999994E-2</v>
      </c>
      <c r="FB59" s="4">
        <v>5.8999999999999997E-2</v>
      </c>
      <c r="FC59" s="4">
        <v>7.5999999999999998E-2</v>
      </c>
      <c r="FD59" s="4">
        <v>6.5000000000000002E-2</v>
      </c>
      <c r="FE59" s="4">
        <v>7.0000000000000007E-2</v>
      </c>
      <c r="FF59" s="4">
        <v>0.06</v>
      </c>
      <c r="FG59" s="4"/>
      <c r="FH59" s="4"/>
      <c r="FI59" s="4"/>
      <c r="FJ59" s="4"/>
      <c r="FK59" s="4"/>
      <c r="FL59" s="4"/>
    </row>
    <row r="60" spans="1:168" x14ac:dyDescent="0.3">
      <c r="A60" t="s">
        <v>209</v>
      </c>
      <c r="B60" s="4">
        <v>8.8999999999999996E-2</v>
      </c>
      <c r="C60" s="4">
        <v>0.129</v>
      </c>
      <c r="D60" s="4">
        <v>0.104</v>
      </c>
      <c r="E60" s="4">
        <v>0.104</v>
      </c>
      <c r="F60" s="4">
        <v>9.7000000000000003E-2</v>
      </c>
      <c r="G60" s="4">
        <v>8.8999999999999996E-2</v>
      </c>
      <c r="H60" s="4">
        <v>0.08</v>
      </c>
      <c r="I60" s="4">
        <v>7.4999999999999997E-2</v>
      </c>
      <c r="J60" s="4">
        <v>6.9000000000000006E-2</v>
      </c>
      <c r="K60" s="4">
        <v>6.6000000000000003E-2</v>
      </c>
      <c r="L60" s="4">
        <v>5.5E-2</v>
      </c>
      <c r="M60" s="4">
        <v>6.7000000000000004E-2</v>
      </c>
      <c r="N60" s="4">
        <v>0.08</v>
      </c>
      <c r="O60" s="4">
        <v>5.0999999999999997E-2</v>
      </c>
      <c r="P60" s="4">
        <v>4.9000000000000002E-2</v>
      </c>
      <c r="Q60" s="4">
        <v>3.6999999999999998E-2</v>
      </c>
      <c r="R60" s="4">
        <v>6.4000000000000001E-2</v>
      </c>
      <c r="S60" s="4">
        <v>8.7999999999999995E-2</v>
      </c>
      <c r="T60" s="4">
        <v>0.05</v>
      </c>
      <c r="U60" s="4">
        <v>7.5999999999999998E-2</v>
      </c>
      <c r="V60" s="4">
        <v>0.10100000000000001</v>
      </c>
      <c r="W60" s="4">
        <v>0.104</v>
      </c>
      <c r="X60" s="4">
        <v>7.3999999999999996E-2</v>
      </c>
      <c r="Y60" s="4">
        <v>6.7000000000000004E-2</v>
      </c>
      <c r="Z60" s="4">
        <v>7.8E-2</v>
      </c>
      <c r="AA60" s="4">
        <v>0.106</v>
      </c>
      <c r="AB60" s="4">
        <v>8.3000000000000004E-2</v>
      </c>
      <c r="AC60" s="4">
        <v>0.10100000000000001</v>
      </c>
      <c r="AD60" s="4">
        <v>0.13500000000000001</v>
      </c>
      <c r="AE60" s="4">
        <v>0.09</v>
      </c>
      <c r="AF60" s="4">
        <v>0.08</v>
      </c>
      <c r="AG60" s="4">
        <v>4.9000000000000002E-2</v>
      </c>
      <c r="AH60" s="4">
        <v>6.2E-2</v>
      </c>
      <c r="AI60" s="4">
        <v>4.7E-2</v>
      </c>
      <c r="AJ60" s="4">
        <v>7.5999999999999998E-2</v>
      </c>
      <c r="AK60" s="4">
        <v>9.5000000000000001E-2</v>
      </c>
      <c r="AL60" s="4">
        <v>7.1999999999999995E-2</v>
      </c>
      <c r="AM60" s="4">
        <v>8.8999999999999996E-2</v>
      </c>
      <c r="AN60" s="4">
        <v>0.08</v>
      </c>
      <c r="AO60" s="4">
        <v>4.9000000000000002E-2</v>
      </c>
      <c r="AP60" s="4">
        <v>5.1999999999999998E-2</v>
      </c>
      <c r="AQ60" s="4">
        <v>5.8999999999999997E-2</v>
      </c>
      <c r="AR60" s="4">
        <v>4.3999999999999997E-2</v>
      </c>
      <c r="AS60" s="4">
        <v>0.128</v>
      </c>
      <c r="AT60" s="4">
        <v>7.0999999999999994E-2</v>
      </c>
      <c r="AU60" s="4">
        <v>0.06</v>
      </c>
      <c r="AV60" s="4">
        <v>9.1999999999999998E-2</v>
      </c>
      <c r="AW60" s="8">
        <v>8.7999999999999995E-2</v>
      </c>
      <c r="AX60" s="4">
        <v>7.5999999999999998E-2</v>
      </c>
      <c r="AY60" s="4">
        <v>9.7000000000000003E-2</v>
      </c>
      <c r="AZ60" s="4">
        <v>9.8000000000000004E-2</v>
      </c>
      <c r="BA60" s="4">
        <v>5.8000000000000003E-2</v>
      </c>
      <c r="BB60" s="4">
        <v>6.4000000000000001E-2</v>
      </c>
      <c r="BC60" s="8">
        <v>6.4000000000000001E-2</v>
      </c>
      <c r="BD60" s="8">
        <v>7.3999999999999996E-2</v>
      </c>
      <c r="BE60" s="4">
        <v>7.3999999999999996E-2</v>
      </c>
      <c r="BF60" s="4">
        <v>8.2000000000000003E-2</v>
      </c>
      <c r="BG60" s="4">
        <v>3.3000000000000002E-2</v>
      </c>
      <c r="BH60" s="4">
        <v>7.8E-2</v>
      </c>
      <c r="BI60" s="4">
        <v>6.9000000000000006E-2</v>
      </c>
      <c r="BJ60" s="4">
        <v>0.115</v>
      </c>
      <c r="BK60" s="4">
        <v>8.2000000000000003E-2</v>
      </c>
      <c r="BL60" s="4">
        <v>9.6000000000000002E-2</v>
      </c>
      <c r="BM60" s="4">
        <v>9.1999999999999998E-2</v>
      </c>
      <c r="BN60" s="4">
        <v>9.0999999999999998E-2</v>
      </c>
      <c r="BO60" s="4">
        <v>0.114</v>
      </c>
      <c r="BP60" s="4">
        <v>6.2E-2</v>
      </c>
      <c r="BQ60" s="4">
        <v>5.1999999999999998E-2</v>
      </c>
      <c r="BR60" s="4">
        <v>7.3999999999999996E-2</v>
      </c>
      <c r="BS60" s="4">
        <v>0.08</v>
      </c>
      <c r="BT60" s="3">
        <v>7.2999999999999995E-2</v>
      </c>
      <c r="BU60" s="7">
        <v>6.9000000000000006E-2</v>
      </c>
      <c r="BV60" s="3">
        <v>0.06</v>
      </c>
      <c r="BW60" s="4">
        <v>5.3999999999999999E-2</v>
      </c>
      <c r="BX60" s="4">
        <v>7.1999999999999995E-2</v>
      </c>
      <c r="BY60" s="3">
        <v>6.5000000000000002E-2</v>
      </c>
      <c r="BZ60" s="4">
        <v>8.6999999999999994E-2</v>
      </c>
      <c r="CA60" s="4">
        <v>6.2E-2</v>
      </c>
      <c r="CB60" s="4">
        <v>7.5999999999999998E-2</v>
      </c>
      <c r="CC60" s="4">
        <v>8.8999999999999996E-2</v>
      </c>
      <c r="CD60" s="4">
        <v>8.5000000000000006E-2</v>
      </c>
      <c r="CE60" s="4">
        <v>7.1999999999999995E-2</v>
      </c>
      <c r="CF60" s="4">
        <v>0.10199999999999999</v>
      </c>
      <c r="CG60" s="4">
        <v>0.08</v>
      </c>
      <c r="CH60" s="4">
        <v>6.2E-2</v>
      </c>
      <c r="CI60" s="4">
        <v>0.10199999999999999</v>
      </c>
      <c r="CJ60" s="4">
        <v>9.7000000000000003E-2</v>
      </c>
      <c r="CK60" s="4">
        <v>6.5000000000000002E-2</v>
      </c>
      <c r="CL60" s="4">
        <v>6.0999999999999999E-2</v>
      </c>
      <c r="CM60" s="4">
        <v>7.1999999999999995E-2</v>
      </c>
      <c r="CN60" s="4">
        <v>7.8E-2</v>
      </c>
      <c r="CO60" s="4">
        <v>8.5999999999999993E-2</v>
      </c>
      <c r="CP60" s="4">
        <v>0.04</v>
      </c>
      <c r="CQ60" s="4">
        <v>5.3999999999999999E-2</v>
      </c>
      <c r="CR60" s="4">
        <v>8.5999999999999993E-2</v>
      </c>
      <c r="CS60" s="4">
        <v>0.09</v>
      </c>
      <c r="CT60" s="4">
        <v>4.2999999999999997E-2</v>
      </c>
      <c r="CU60" s="4">
        <v>6.3E-2</v>
      </c>
      <c r="CV60" s="4">
        <v>8.5000000000000006E-2</v>
      </c>
      <c r="CW60" s="4">
        <v>9.8000000000000004E-2</v>
      </c>
      <c r="CX60" s="4">
        <v>7.5999999999999998E-2</v>
      </c>
      <c r="CY60" s="4">
        <v>6.4000000000000001E-2</v>
      </c>
      <c r="CZ60" s="4">
        <v>5.1999999999999998E-2</v>
      </c>
      <c r="DA60" s="4">
        <v>3.1E-2</v>
      </c>
      <c r="DB60" s="4">
        <v>3.4000000000000002E-2</v>
      </c>
      <c r="DC60" s="4">
        <v>9.8000000000000004E-2</v>
      </c>
      <c r="DD60" s="4">
        <v>5.8999999999999997E-2</v>
      </c>
      <c r="DE60" s="4">
        <v>7.9000000000000001E-2</v>
      </c>
      <c r="DF60" s="4">
        <v>8.5000000000000006E-2</v>
      </c>
      <c r="DG60" s="4">
        <v>3.1E-2</v>
      </c>
      <c r="DH60" s="4">
        <v>6.6000000000000003E-2</v>
      </c>
      <c r="DI60" s="4">
        <v>6.0999999999999999E-2</v>
      </c>
      <c r="DJ60" s="8">
        <v>5.5E-2</v>
      </c>
      <c r="DK60" s="8">
        <v>6.5000000000000002E-2</v>
      </c>
      <c r="DL60" s="8">
        <v>6.6000000000000003E-2</v>
      </c>
      <c r="DM60" s="4">
        <v>7.6999999999999999E-2</v>
      </c>
      <c r="DN60" s="4">
        <v>0.1</v>
      </c>
      <c r="DO60" s="4">
        <v>5.0999999999999997E-2</v>
      </c>
      <c r="DP60" s="4">
        <v>5.1999999999999998E-2</v>
      </c>
      <c r="DQ60" s="4">
        <v>5.5E-2</v>
      </c>
      <c r="DR60" s="4">
        <v>0.06</v>
      </c>
      <c r="DS60" s="4">
        <v>7.6999999999999999E-2</v>
      </c>
      <c r="DT60" s="10">
        <v>6.6000000000000003E-2</v>
      </c>
      <c r="DU60" s="4">
        <v>0.115</v>
      </c>
      <c r="DV60" s="4">
        <v>6.8000000000000005E-2</v>
      </c>
      <c r="DW60" s="4">
        <v>7.6999999999999999E-2</v>
      </c>
      <c r="DX60" s="4">
        <v>9.1999999999999998E-2</v>
      </c>
      <c r="DY60" s="4">
        <v>4.9000000000000002E-2</v>
      </c>
      <c r="DZ60" s="4">
        <v>5.0999999999999997E-2</v>
      </c>
      <c r="EA60" s="4">
        <v>4.5999999999999999E-2</v>
      </c>
      <c r="EB60" s="4">
        <v>5.8999999999999997E-2</v>
      </c>
      <c r="EC60" s="4">
        <v>7.2999999999999995E-2</v>
      </c>
      <c r="ED60" s="4">
        <v>6.7000000000000004E-2</v>
      </c>
      <c r="EE60" s="4">
        <v>7.9000000000000001E-2</v>
      </c>
      <c r="EF60" s="4">
        <v>3.5999999999999997E-2</v>
      </c>
      <c r="EG60" s="4">
        <v>5.1999999999999998E-2</v>
      </c>
      <c r="EH60" s="4">
        <v>0.06</v>
      </c>
      <c r="EI60" s="4">
        <v>6.2E-2</v>
      </c>
      <c r="EJ60" s="4">
        <v>4.8000000000000001E-2</v>
      </c>
      <c r="EK60" s="4">
        <v>6.7000000000000004E-2</v>
      </c>
      <c r="EL60" s="4">
        <v>7.1999999999999995E-2</v>
      </c>
      <c r="EM60" s="4">
        <v>0.06</v>
      </c>
      <c r="EN60" s="4">
        <v>5.0999999999999997E-2</v>
      </c>
      <c r="EO60" s="4">
        <v>0.105</v>
      </c>
      <c r="EP60" s="4">
        <v>0.107</v>
      </c>
      <c r="EQ60" s="4">
        <v>7.0000000000000007E-2</v>
      </c>
      <c r="ER60" s="4">
        <v>6.5000000000000002E-2</v>
      </c>
      <c r="ES60" s="4">
        <v>7.4999999999999997E-2</v>
      </c>
      <c r="ET60" s="4">
        <v>8.4000000000000005E-2</v>
      </c>
      <c r="EU60" s="8">
        <v>4.2000000000000003E-2</v>
      </c>
      <c r="EV60" s="4">
        <v>5.0999999999999997E-2</v>
      </c>
      <c r="EW60" s="4">
        <v>4.9000000000000002E-2</v>
      </c>
      <c r="EX60" s="4">
        <v>5.2999999999999999E-2</v>
      </c>
      <c r="EY60" s="4">
        <v>3.5999999999999997E-2</v>
      </c>
      <c r="EZ60" s="4">
        <v>5.7000000000000002E-2</v>
      </c>
      <c r="FA60" s="4">
        <v>7.3999999999999996E-2</v>
      </c>
      <c r="FB60" s="4">
        <v>0.06</v>
      </c>
      <c r="FC60" s="4">
        <v>8.1000000000000003E-2</v>
      </c>
      <c r="FD60" s="4">
        <v>6.4000000000000001E-2</v>
      </c>
      <c r="FE60" s="4">
        <v>7.4999999999999997E-2</v>
      </c>
      <c r="FF60" s="4">
        <v>0.05</v>
      </c>
      <c r="FG60" s="4"/>
      <c r="FH60" s="4"/>
      <c r="FI60" s="4"/>
      <c r="FJ60" s="4"/>
      <c r="FK60" s="4"/>
      <c r="FL60" s="4"/>
    </row>
    <row r="61" spans="1:168" x14ac:dyDescent="0.3">
      <c r="A61" t="s">
        <v>219</v>
      </c>
      <c r="B61" s="4">
        <v>0.19400000000000001</v>
      </c>
      <c r="C61" s="4">
        <v>0.34300000000000003</v>
      </c>
      <c r="D61" s="4">
        <v>0.27400000000000002</v>
      </c>
      <c r="E61" s="4">
        <v>0.25700000000000001</v>
      </c>
      <c r="F61" s="4">
        <v>0.27500000000000002</v>
      </c>
      <c r="G61" s="4">
        <v>0.23499999999999999</v>
      </c>
      <c r="H61" s="4">
        <v>0.17599999999999999</v>
      </c>
      <c r="I61" s="4">
        <v>0.55900000000000005</v>
      </c>
      <c r="J61" s="4">
        <v>0.27900000000000003</v>
      </c>
      <c r="K61" s="4">
        <v>0.77500000000000002</v>
      </c>
      <c r="L61" s="4">
        <v>0.73799999999999999</v>
      </c>
      <c r="M61" s="4">
        <v>0.41399999999999998</v>
      </c>
      <c r="N61" s="4">
        <v>0.68500000000000005</v>
      </c>
      <c r="O61" s="4">
        <v>0.625</v>
      </c>
      <c r="P61" s="4">
        <v>0.94499999999999995</v>
      </c>
      <c r="Q61" s="4">
        <v>0.875</v>
      </c>
      <c r="R61" s="4">
        <v>0.22900000000000001</v>
      </c>
      <c r="S61" s="4">
        <v>0.50900000000000001</v>
      </c>
      <c r="T61" s="4">
        <v>0.62</v>
      </c>
      <c r="U61" s="4">
        <v>0.53</v>
      </c>
      <c r="V61" s="4">
        <v>0.27700000000000002</v>
      </c>
      <c r="W61" s="4">
        <v>0.317</v>
      </c>
      <c r="X61" s="4">
        <v>0.315</v>
      </c>
      <c r="Y61" s="4">
        <v>0.27100000000000002</v>
      </c>
      <c r="Z61" s="4">
        <v>0.47199999999999998</v>
      </c>
      <c r="AA61" s="4">
        <v>0.158</v>
      </c>
      <c r="AB61" s="4">
        <v>6.2E-2</v>
      </c>
      <c r="AC61" s="4">
        <v>1.7000000000000001E-2</v>
      </c>
      <c r="AD61" s="4">
        <v>0.54200000000000004</v>
      </c>
      <c r="AE61" s="4">
        <v>1.4E-2</v>
      </c>
      <c r="AF61" s="4">
        <v>5.8999999999999997E-2</v>
      </c>
      <c r="AG61" s="4">
        <v>0.87</v>
      </c>
      <c r="AH61" s="4">
        <v>0.86899999999999999</v>
      </c>
      <c r="AI61" s="4">
        <v>0.91100000000000003</v>
      </c>
      <c r="AJ61" s="4">
        <v>0.30599999999999999</v>
      </c>
      <c r="AK61" s="4">
        <v>0.30099999999999999</v>
      </c>
      <c r="AL61" s="4">
        <v>0.245</v>
      </c>
      <c r="AM61" s="4">
        <v>0.505</v>
      </c>
      <c r="AN61" s="4">
        <v>0.504</v>
      </c>
      <c r="AO61" s="4">
        <v>0.68200000000000005</v>
      </c>
      <c r="AP61" s="4">
        <v>0.92200000000000004</v>
      </c>
      <c r="AQ61" s="10">
        <v>0.82799999999999996</v>
      </c>
      <c r="AR61" s="10">
        <v>0.85</v>
      </c>
      <c r="AS61" s="10">
        <v>0.48899999999999999</v>
      </c>
      <c r="AT61" s="10">
        <v>0.96499999999999997</v>
      </c>
      <c r="AU61" s="10">
        <v>0.47099999999999997</v>
      </c>
      <c r="AV61" s="10">
        <v>0.60799999999999998</v>
      </c>
      <c r="AW61" s="8">
        <v>0.83199999999999996</v>
      </c>
      <c r="AX61" s="10">
        <v>0.64900000000000002</v>
      </c>
      <c r="AY61" s="10">
        <v>0.69299999999999995</v>
      </c>
      <c r="AZ61" s="10">
        <v>0.92800000000000005</v>
      </c>
      <c r="BA61" s="10">
        <v>0.85399999999999998</v>
      </c>
      <c r="BB61" s="10">
        <v>0.82</v>
      </c>
      <c r="BC61" s="8">
        <v>0.24099999999999999</v>
      </c>
      <c r="BD61" s="8">
        <v>0.16300000000000001</v>
      </c>
      <c r="BE61" s="10">
        <v>0.81299999999999994</v>
      </c>
      <c r="BF61" s="10">
        <v>0.247</v>
      </c>
      <c r="BG61" s="10">
        <v>0.82399999999999995</v>
      </c>
      <c r="BH61" s="10">
        <v>0.72499999999999998</v>
      </c>
      <c r="BI61" s="10">
        <v>0.60699999999999998</v>
      </c>
      <c r="BJ61" s="10">
        <v>0.23699999999999999</v>
      </c>
      <c r="BK61" s="10">
        <v>0.36499999999999999</v>
      </c>
      <c r="BL61" s="10">
        <v>0.442</v>
      </c>
      <c r="BM61" s="10">
        <v>0.154</v>
      </c>
      <c r="BN61" s="10">
        <v>0.30499999999999999</v>
      </c>
      <c r="BO61" s="10">
        <v>0.252</v>
      </c>
      <c r="BP61" s="10">
        <v>0.29599999999999999</v>
      </c>
      <c r="BQ61" s="10">
        <v>0.318</v>
      </c>
      <c r="BR61" s="10">
        <v>0.29799999999999999</v>
      </c>
      <c r="BS61" s="10">
        <v>0.315</v>
      </c>
      <c r="BT61" s="3">
        <v>0.83599999999999997</v>
      </c>
      <c r="BU61" s="3">
        <v>0.7</v>
      </c>
      <c r="BV61" s="3">
        <v>0.245</v>
      </c>
      <c r="BW61" s="4">
        <v>0.85799999999999998</v>
      </c>
      <c r="BX61" s="4">
        <v>0.73399999999999999</v>
      </c>
      <c r="BY61" s="3">
        <v>0.83</v>
      </c>
      <c r="BZ61" s="4">
        <v>0.27400000000000002</v>
      </c>
      <c r="CA61" s="4">
        <v>0.255</v>
      </c>
      <c r="CB61" s="4">
        <v>0.24399999999999999</v>
      </c>
      <c r="CC61" s="4">
        <v>0.314</v>
      </c>
      <c r="CD61" s="4">
        <v>0.245</v>
      </c>
      <c r="CE61" s="4">
        <v>0.26600000000000001</v>
      </c>
      <c r="CF61" s="4">
        <v>0.24199999999999999</v>
      </c>
      <c r="CG61" s="4">
        <v>0.316</v>
      </c>
      <c r="CH61" s="4">
        <v>0.249</v>
      </c>
      <c r="CI61" s="4">
        <v>0.29399999999999998</v>
      </c>
      <c r="CJ61" s="4">
        <v>0.33600000000000002</v>
      </c>
      <c r="CK61" s="4">
        <v>0.34100000000000003</v>
      </c>
      <c r="CL61" s="4">
        <v>0.312</v>
      </c>
      <c r="CM61" s="4">
        <v>0.245</v>
      </c>
      <c r="CN61" s="4">
        <v>0.35199999999999998</v>
      </c>
      <c r="CO61" s="4">
        <v>0.33</v>
      </c>
      <c r="CP61" s="4">
        <v>0.29299999999999998</v>
      </c>
      <c r="CQ61" s="4">
        <v>0.32200000000000001</v>
      </c>
      <c r="CR61" s="4">
        <v>0.36</v>
      </c>
      <c r="CS61" s="4">
        <v>0.379</v>
      </c>
      <c r="CT61" s="4">
        <v>0.28599999999999998</v>
      </c>
      <c r="CU61" s="4">
        <v>0.36199999999999999</v>
      </c>
      <c r="CV61" s="4">
        <v>0.61899999999999999</v>
      </c>
      <c r="CW61" s="4">
        <v>0.309</v>
      </c>
      <c r="CX61" s="4">
        <v>0.36099999999999999</v>
      </c>
      <c r="CY61" s="4">
        <v>0.71299999999999997</v>
      </c>
      <c r="CZ61" s="4">
        <v>0.71799999999999997</v>
      </c>
      <c r="DA61" s="4">
        <v>0.86799999999999999</v>
      </c>
      <c r="DB61" s="4">
        <v>0.47299999999999998</v>
      </c>
      <c r="DC61" s="4">
        <v>0.46400000000000002</v>
      </c>
      <c r="DD61" s="4">
        <v>0.34799999999999998</v>
      </c>
      <c r="DE61" s="4">
        <v>0.32400000000000001</v>
      </c>
      <c r="DF61" s="4">
        <v>0.41199999999999998</v>
      </c>
      <c r="DG61" s="4">
        <v>0.19600000000000001</v>
      </c>
      <c r="DH61" s="4">
        <v>0.11899999999999999</v>
      </c>
      <c r="DI61" s="4">
        <v>0.57699999999999996</v>
      </c>
      <c r="DJ61" s="8">
        <v>0.64</v>
      </c>
      <c r="DK61" s="8">
        <v>0.439</v>
      </c>
      <c r="DL61" s="8">
        <v>0.71399999999999997</v>
      </c>
      <c r="DM61" s="4">
        <v>0.83299999999999996</v>
      </c>
      <c r="DN61" s="4">
        <v>0.64800000000000002</v>
      </c>
      <c r="DO61" s="4">
        <v>0.47799999999999998</v>
      </c>
      <c r="DP61" s="4">
        <v>0.73499999999999999</v>
      </c>
      <c r="DQ61" s="4">
        <v>0.29199999999999998</v>
      </c>
      <c r="DR61" s="4">
        <v>0.64</v>
      </c>
      <c r="DS61" s="4">
        <v>0.126</v>
      </c>
      <c r="DT61" s="10">
        <v>7.1999999999999995E-2</v>
      </c>
      <c r="DU61" s="4">
        <v>0.13800000000000001</v>
      </c>
      <c r="DV61" s="4">
        <v>0.626</v>
      </c>
      <c r="DW61" s="4">
        <v>0.63</v>
      </c>
      <c r="DX61" s="4">
        <v>0.14899999999999999</v>
      </c>
      <c r="DY61" s="4">
        <v>0.55300000000000005</v>
      </c>
      <c r="DZ61" s="4">
        <v>0.68799999999999994</v>
      </c>
      <c r="EA61" s="4">
        <v>0.76200000000000001</v>
      </c>
      <c r="EB61" s="4">
        <v>0.56399999999999995</v>
      </c>
      <c r="EC61" s="4">
        <v>0.625</v>
      </c>
      <c r="ED61" s="4">
        <v>0.69799999999999995</v>
      </c>
      <c r="EE61" s="4">
        <v>0.621</v>
      </c>
      <c r="EF61" s="4">
        <v>0.47199999999999998</v>
      </c>
      <c r="EG61" s="4">
        <v>0.52700000000000002</v>
      </c>
      <c r="EH61" s="4">
        <v>0.70599999999999996</v>
      </c>
      <c r="EI61" s="4">
        <v>0.70699999999999996</v>
      </c>
      <c r="EJ61" s="4">
        <v>0.76600000000000001</v>
      </c>
      <c r="EK61" s="4">
        <v>0.51500000000000001</v>
      </c>
      <c r="EL61" s="4">
        <v>0.64900000000000002</v>
      </c>
      <c r="EM61" s="4">
        <v>0.66200000000000003</v>
      </c>
      <c r="EN61" s="4">
        <v>0.7</v>
      </c>
      <c r="EO61" s="4">
        <v>0.45300000000000001</v>
      </c>
      <c r="EP61" s="4">
        <v>0.53300000000000003</v>
      </c>
      <c r="EQ61" s="4">
        <v>0.39</v>
      </c>
      <c r="ER61" s="4">
        <v>0.60899999999999999</v>
      </c>
      <c r="ES61" s="4">
        <v>0.33300000000000002</v>
      </c>
      <c r="ET61" s="4">
        <v>0.41699999999999998</v>
      </c>
      <c r="EU61" s="8">
        <v>0.999</v>
      </c>
      <c r="EV61" s="4">
        <v>0.85899999999999999</v>
      </c>
      <c r="EW61" s="4">
        <v>0.76700000000000002</v>
      </c>
      <c r="EX61" s="4">
        <v>0.85199999999999998</v>
      </c>
      <c r="EY61" s="4">
        <v>0.94699999999999995</v>
      </c>
      <c r="EZ61" s="4">
        <v>0.68600000000000005</v>
      </c>
      <c r="FA61" s="4">
        <v>0.58399999999999996</v>
      </c>
      <c r="FB61" s="4">
        <v>0.66100000000000003</v>
      </c>
      <c r="FC61" s="4">
        <v>0.439</v>
      </c>
      <c r="FD61" s="4">
        <v>0.71299999999999997</v>
      </c>
      <c r="FE61" s="4">
        <v>0.65200000000000002</v>
      </c>
      <c r="FF61" s="4">
        <v>0.39600000000000002</v>
      </c>
      <c r="FG61" s="4"/>
      <c r="FH61" s="4"/>
      <c r="FI61" s="4"/>
      <c r="FJ61" s="4"/>
      <c r="FK61" s="4"/>
      <c r="FL61" s="4"/>
    </row>
    <row r="62" spans="1:168" x14ac:dyDescent="0.3">
      <c r="A62" t="s">
        <v>214</v>
      </c>
      <c r="B62" s="3">
        <f t="shared" ref="B62:BM62" si="184">(B57-B40)/B40</f>
        <v>0.98701298701298701</v>
      </c>
      <c r="C62" s="3">
        <f t="shared" si="184"/>
        <v>0.369747899159664</v>
      </c>
      <c r="D62" s="3">
        <f t="shared" si="184"/>
        <v>0.37053571428571425</v>
      </c>
      <c r="E62" s="3">
        <f t="shared" si="184"/>
        <v>0.75362318840579712</v>
      </c>
      <c r="F62" s="3">
        <f t="shared" si="184"/>
        <v>0.89999999999999991</v>
      </c>
      <c r="G62" s="3">
        <f t="shared" si="184"/>
        <v>0.4933333333333334</v>
      </c>
      <c r="H62" s="3">
        <f t="shared" si="184"/>
        <v>1.9047619047619044</v>
      </c>
      <c r="I62" s="3">
        <f t="shared" si="184"/>
        <v>1.1811023622047254E-2</v>
      </c>
      <c r="J62" s="3">
        <f t="shared" si="184"/>
        <v>0.83396226415094321</v>
      </c>
      <c r="K62" s="3">
        <f t="shared" si="184"/>
        <v>-0.13486005089058523</v>
      </c>
      <c r="L62" s="3">
        <f t="shared" si="184"/>
        <v>-0.15811088295687889</v>
      </c>
      <c r="M62" s="3">
        <f t="shared" si="184"/>
        <v>0.79411764705882337</v>
      </c>
      <c r="N62" s="3">
        <f t="shared" si="184"/>
        <v>0.21428571428571436</v>
      </c>
      <c r="O62" s="3">
        <f t="shared" si="184"/>
        <v>0.40476190476190477</v>
      </c>
      <c r="P62" s="3">
        <f t="shared" si="184"/>
        <v>-0.13600000000000001</v>
      </c>
      <c r="Q62" s="3">
        <f t="shared" si="184"/>
        <v>-0.10909090909090918</v>
      </c>
      <c r="R62" s="3">
        <f t="shared" si="184"/>
        <v>1.0224215246636772</v>
      </c>
      <c r="S62" s="3">
        <f t="shared" si="184"/>
        <v>0.32996632996633007</v>
      </c>
      <c r="T62" s="3">
        <f t="shared" si="184"/>
        <v>4.1666666666666709E-3</v>
      </c>
      <c r="U62" s="3">
        <f t="shared" si="184"/>
        <v>0.12121212121212115</v>
      </c>
      <c r="V62" s="3">
        <f t="shared" si="184"/>
        <v>1.3958333333333335</v>
      </c>
      <c r="W62" s="3">
        <f t="shared" si="184"/>
        <v>0.93529411764705872</v>
      </c>
      <c r="X62" s="3">
        <f t="shared" si="184"/>
        <v>2.0930232558139555E-2</v>
      </c>
      <c r="Y62" s="3">
        <f t="shared" si="184"/>
        <v>1.1349693251533739</v>
      </c>
      <c r="Z62" s="3">
        <f t="shared" si="184"/>
        <v>0.73184357541899447</v>
      </c>
      <c r="AA62" s="3">
        <f t="shared" si="184"/>
        <v>0.49541284403669733</v>
      </c>
      <c r="AB62" s="3">
        <f t="shared" si="184"/>
        <v>0.17573221757322191</v>
      </c>
      <c r="AC62" s="3">
        <f t="shared" si="184"/>
        <v>0.18374558303886943</v>
      </c>
      <c r="AD62" s="3">
        <f t="shared" si="184"/>
        <v>-4.5714285714285596E-2</v>
      </c>
      <c r="AE62" s="3">
        <f t="shared" si="184"/>
        <v>0.6737967914438503</v>
      </c>
      <c r="AF62" s="3">
        <f t="shared" si="184"/>
        <v>0.37628865979381448</v>
      </c>
      <c r="AG62" s="3">
        <f t="shared" si="184"/>
        <v>-0.11755233494363922</v>
      </c>
      <c r="AH62" s="3">
        <f t="shared" si="184"/>
        <v>-2.3593466424682415E-2</v>
      </c>
      <c r="AI62" s="3">
        <f t="shared" si="184"/>
        <v>-0.17752234993614305</v>
      </c>
      <c r="AJ62" s="3">
        <f t="shared" si="184"/>
        <v>1.4275362318840579</v>
      </c>
      <c r="AK62" s="3">
        <f t="shared" si="184"/>
        <v>2.2599999999999998</v>
      </c>
      <c r="AL62" s="3">
        <f t="shared" si="184"/>
        <v>1.7251908396946563</v>
      </c>
      <c r="AM62" s="3">
        <f t="shared" si="184"/>
        <v>1.8832391713747663E-3</v>
      </c>
      <c r="AN62" s="3">
        <f t="shared" si="184"/>
        <v>9.1314031180400851E-2</v>
      </c>
      <c r="AO62" s="3">
        <f t="shared" si="184"/>
        <v>6.2385321100917275E-2</v>
      </c>
      <c r="AP62" s="3">
        <f t="shared" si="184"/>
        <v>-0.15322580645161293</v>
      </c>
      <c r="AQ62" s="3">
        <f t="shared" si="184"/>
        <v>-0.15268817204301077</v>
      </c>
      <c r="AR62" s="3">
        <f t="shared" si="184"/>
        <v>-0.22781774580335726</v>
      </c>
      <c r="AS62" s="3">
        <f t="shared" si="184"/>
        <v>0.49532710280373837</v>
      </c>
      <c r="AT62" s="3">
        <f t="shared" si="184"/>
        <v>-0.34059097978227065</v>
      </c>
      <c r="AU62" s="3">
        <f t="shared" si="184"/>
        <v>1.4380530973451331</v>
      </c>
      <c r="AV62" s="3">
        <f t="shared" si="184"/>
        <v>-0.1196319018404909</v>
      </c>
      <c r="AW62" s="9">
        <f t="shared" si="184"/>
        <v>-0.13671875</v>
      </c>
      <c r="AX62" s="3">
        <f t="shared" si="184"/>
        <v>0.18181818181818182</v>
      </c>
      <c r="AY62" s="3">
        <f t="shared" si="184"/>
        <v>7.0821529745042563E-2</v>
      </c>
      <c r="AZ62" s="3">
        <f t="shared" si="184"/>
        <v>-0.14623655913978495</v>
      </c>
      <c r="BA62" s="3">
        <f t="shared" si="184"/>
        <v>-5.0919377652050811E-2</v>
      </c>
      <c r="BB62" s="3">
        <f t="shared" si="184"/>
        <v>-0.26785714285714285</v>
      </c>
      <c r="BC62" s="9">
        <f t="shared" si="184"/>
        <v>1.2740384615384617</v>
      </c>
      <c r="BD62" s="9">
        <f t="shared" si="184"/>
        <v>1.631578947368421</v>
      </c>
      <c r="BE62" s="3">
        <f t="shared" si="184"/>
        <v>1.4159292035398244E-2</v>
      </c>
      <c r="BF62" s="3">
        <f t="shared" si="184"/>
        <v>0.77868852459016391</v>
      </c>
      <c r="BG62" s="3">
        <f t="shared" si="184"/>
        <v>0.10404624277456635</v>
      </c>
      <c r="BH62" s="3">
        <f t="shared" si="184"/>
        <v>0.24999999999999992</v>
      </c>
      <c r="BI62" s="3">
        <f t="shared" si="184"/>
        <v>0.23822714681440449</v>
      </c>
      <c r="BJ62" s="3">
        <f t="shared" si="184"/>
        <v>-0.71499999999999997</v>
      </c>
      <c r="BK62" s="3">
        <f t="shared" si="184"/>
        <v>0.43499999999999983</v>
      </c>
      <c r="BL62" s="3">
        <f t="shared" si="184"/>
        <v>0.18344519015659957</v>
      </c>
      <c r="BM62" s="3">
        <f t="shared" si="184"/>
        <v>1.3926380368098159</v>
      </c>
      <c r="BN62" s="3">
        <f t="shared" ref="BN62:DY62" si="185">(BN57-BN40)/BN40</f>
        <v>0.74883720930232556</v>
      </c>
      <c r="BO62" s="3">
        <f t="shared" si="185"/>
        <v>1.5443037974683547</v>
      </c>
      <c r="BP62" s="3">
        <f t="shared" si="185"/>
        <v>0.63687150837988826</v>
      </c>
      <c r="BQ62" s="3">
        <f t="shared" si="185"/>
        <v>0.23529411764705888</v>
      </c>
      <c r="BR62" s="3">
        <f t="shared" si="185"/>
        <v>0.36538461538461536</v>
      </c>
      <c r="BS62" s="3">
        <f t="shared" si="185"/>
        <v>0.73770491803278693</v>
      </c>
      <c r="BT62" s="3">
        <f t="shared" si="185"/>
        <v>-0.14177215189873416</v>
      </c>
      <c r="BU62" s="3">
        <f t="shared" si="185"/>
        <v>-0.15778251599147114</v>
      </c>
      <c r="BV62" s="3">
        <f t="shared" si="185"/>
        <v>-7.2485207100591781E-2</v>
      </c>
      <c r="BW62" s="3">
        <f t="shared" si="185"/>
        <v>-0.1298701298701298</v>
      </c>
      <c r="BX62" s="3">
        <f t="shared" si="185"/>
        <v>0</v>
      </c>
      <c r="BY62" s="3">
        <f t="shared" si="185"/>
        <v>-0.21184510250569483</v>
      </c>
      <c r="BZ62" s="3">
        <f t="shared" si="185"/>
        <v>0.60975609756097571</v>
      </c>
      <c r="CA62" s="3">
        <f t="shared" si="185"/>
        <v>0.90052356020942403</v>
      </c>
      <c r="CB62" s="3">
        <f t="shared" si="185"/>
        <v>2.0714285714285712</v>
      </c>
      <c r="CC62" s="3">
        <f t="shared" si="185"/>
        <v>1.0427807486631016</v>
      </c>
      <c r="CD62" s="3">
        <f t="shared" si="185"/>
        <v>0.74235807860262015</v>
      </c>
      <c r="CE62" s="3">
        <f t="shared" si="185"/>
        <v>0.55471698113207535</v>
      </c>
      <c r="CF62" s="3">
        <f t="shared" si="185"/>
        <v>1.1507936507936509</v>
      </c>
      <c r="CG62" s="3">
        <f t="shared" si="185"/>
        <v>0.68518518518518523</v>
      </c>
      <c r="CH62" s="3">
        <f t="shared" si="185"/>
        <v>1.6868131868131868</v>
      </c>
      <c r="CI62" s="3">
        <f t="shared" si="185"/>
        <v>0.61591695501730126</v>
      </c>
      <c r="CJ62" s="3">
        <f t="shared" si="185"/>
        <v>2.8974358974358974</v>
      </c>
      <c r="CK62" s="3">
        <f t="shared" si="185"/>
        <v>0.8</v>
      </c>
      <c r="CL62" s="3">
        <f t="shared" si="185"/>
        <v>0.41256830601092903</v>
      </c>
      <c r="CM62" s="3">
        <f t="shared" si="185"/>
        <v>0.48453608247422686</v>
      </c>
      <c r="CN62" s="3">
        <f t="shared" si="185"/>
        <v>0.24373576309794998</v>
      </c>
      <c r="CO62" s="3">
        <f t="shared" si="185"/>
        <v>0.55056179775280878</v>
      </c>
      <c r="CP62" s="3">
        <f t="shared" si="185"/>
        <v>0.5201149425287358</v>
      </c>
      <c r="CQ62" s="3">
        <f t="shared" si="185"/>
        <v>0.36964980544747073</v>
      </c>
      <c r="CR62" s="3">
        <f t="shared" si="185"/>
        <v>0.26485148514851481</v>
      </c>
      <c r="CS62" s="3">
        <f t="shared" si="185"/>
        <v>0.45029239766081858</v>
      </c>
      <c r="CT62" s="3">
        <f t="shared" si="185"/>
        <v>0.50985915492957767</v>
      </c>
      <c r="CU62" s="3">
        <f t="shared" si="185"/>
        <v>0.31052631578947365</v>
      </c>
      <c r="CV62" s="3">
        <f t="shared" si="185"/>
        <v>-0.16666666666666663</v>
      </c>
      <c r="CW62" s="3">
        <f t="shared" si="185"/>
        <v>0.1755725190839694</v>
      </c>
      <c r="CX62" s="3">
        <f t="shared" si="185"/>
        <v>0.17678100263852245</v>
      </c>
      <c r="CY62" s="3">
        <f t="shared" si="185"/>
        <v>2.3809523809523829E-2</v>
      </c>
      <c r="CZ62" s="3">
        <f t="shared" si="185"/>
        <v>7.6350093109869496E-2</v>
      </c>
      <c r="DA62" s="3">
        <f t="shared" si="185"/>
        <v>-2.2514071294559117E-2</v>
      </c>
      <c r="DB62" s="3">
        <f t="shared" si="185"/>
        <v>0.23222748815165886</v>
      </c>
      <c r="DC62" s="3">
        <f t="shared" si="185"/>
        <v>-3.6900369003690064E-2</v>
      </c>
      <c r="DD62" s="3">
        <f t="shared" si="185"/>
        <v>-0.13183279742765266</v>
      </c>
      <c r="DE62" s="3">
        <f t="shared" si="185"/>
        <v>-1.1235955056179785E-2</v>
      </c>
      <c r="DF62" s="3">
        <f t="shared" si="185"/>
        <v>-3.3898305084745679E-2</v>
      </c>
      <c r="DG62" s="3">
        <f t="shared" si="185"/>
        <v>0.82096069868995614</v>
      </c>
      <c r="DH62" s="3">
        <f t="shared" si="185"/>
        <v>1.7132352941176467</v>
      </c>
      <c r="DI62" s="3">
        <f t="shared" si="185"/>
        <v>-1.3452914798206289E-2</v>
      </c>
      <c r="DJ62" s="9">
        <f t="shared" si="185"/>
        <v>-0.31171171171171175</v>
      </c>
      <c r="DK62" s="9">
        <f t="shared" si="185"/>
        <v>-0.12997903563941302</v>
      </c>
      <c r="DL62" s="9">
        <f t="shared" si="185"/>
        <v>-0.51318944844124692</v>
      </c>
      <c r="DM62" s="3">
        <f t="shared" si="185"/>
        <v>-0.25837320574162675</v>
      </c>
      <c r="DN62" s="3">
        <f t="shared" si="185"/>
        <v>-1.9769357495881403E-2</v>
      </c>
      <c r="DO62" s="3">
        <f t="shared" si="185"/>
        <v>-0.13755158184319116</v>
      </c>
      <c r="DP62" s="3">
        <f t="shared" si="185"/>
        <v>0.14439655172413793</v>
      </c>
      <c r="DQ62" s="3">
        <f t="shared" si="185"/>
        <v>-6.3025210084033514E-2</v>
      </c>
      <c r="DR62" s="3">
        <f t="shared" si="185"/>
        <v>1.6344725111441322E-2</v>
      </c>
      <c r="DS62" s="3">
        <f t="shared" si="185"/>
        <v>-8.6693548387096739E-2</v>
      </c>
      <c r="DT62" s="7">
        <f t="shared" si="185"/>
        <v>0.1885441527446301</v>
      </c>
      <c r="DU62" s="3">
        <f t="shared" si="185"/>
        <v>0.8192771084337348</v>
      </c>
      <c r="DV62" s="3">
        <f t="shared" si="185"/>
        <v>-3.8229376257545307E-2</v>
      </c>
      <c r="DW62" s="3">
        <f t="shared" si="185"/>
        <v>1.7964071856287442E-2</v>
      </c>
      <c r="DX62" s="3">
        <f t="shared" si="185"/>
        <v>8.3612040133779347E-3</v>
      </c>
      <c r="DY62" s="3">
        <f t="shared" si="185"/>
        <v>-7.7419354838709747E-3</v>
      </c>
      <c r="DZ62" s="3">
        <f t="shared" ref="DZ62:EX62" si="186">(DZ57-DZ40)/DZ40</f>
        <v>-2.4096385542168697E-2</v>
      </c>
      <c r="EA62" s="3">
        <f t="shared" si="186"/>
        <v>-6.5550906555090563E-2</v>
      </c>
      <c r="EB62" s="3">
        <f t="shared" si="186"/>
        <v>-7.4820143884891999E-2</v>
      </c>
      <c r="EC62" s="3">
        <f t="shared" si="186"/>
        <v>-0.18796992481203006</v>
      </c>
      <c r="ED62" s="3">
        <f t="shared" si="186"/>
        <v>-4.1322314049586813E-2</v>
      </c>
      <c r="EE62" s="3">
        <f t="shared" si="186"/>
        <v>-4.1095890410958943E-2</v>
      </c>
      <c r="EF62" s="3">
        <f t="shared" si="186"/>
        <v>0.29681978798586584</v>
      </c>
      <c r="EG62" s="3">
        <f t="shared" si="186"/>
        <v>0.35907335907335897</v>
      </c>
      <c r="EH62" s="3">
        <f t="shared" si="186"/>
        <v>-0.12466843501326257</v>
      </c>
      <c r="EI62" s="3">
        <f t="shared" si="186"/>
        <v>-0.1737891737891738</v>
      </c>
      <c r="EJ62" s="3">
        <f t="shared" si="186"/>
        <v>-0.16535433070866143</v>
      </c>
      <c r="EK62" s="3">
        <f t="shared" si="186"/>
        <v>-6.2500000000000056E-2</v>
      </c>
      <c r="EL62" s="3">
        <f t="shared" si="186"/>
        <v>-0.17130620985010708</v>
      </c>
      <c r="EM62" s="3">
        <f t="shared" si="186"/>
        <v>-5.0802139037433199E-2</v>
      </c>
      <c r="EN62" s="3">
        <f t="shared" si="186"/>
        <v>-0.10000000000000009</v>
      </c>
      <c r="EO62" s="3">
        <f t="shared" si="186"/>
        <v>0.48267326732673255</v>
      </c>
      <c r="EP62" s="3">
        <f t="shared" si="186"/>
        <v>0.18136020151133489</v>
      </c>
      <c r="EQ62" s="3">
        <f t="shared" si="186"/>
        <v>0.29698375870069621</v>
      </c>
      <c r="ER62" s="3">
        <f t="shared" si="186"/>
        <v>0.17021276595744675</v>
      </c>
      <c r="ES62" s="3">
        <f t="shared" si="186"/>
        <v>0.59933774834437081</v>
      </c>
      <c r="ET62" s="3">
        <f t="shared" si="186"/>
        <v>-8.9947089947090025E-2</v>
      </c>
      <c r="EU62" s="9">
        <f t="shared" si="186"/>
        <v>-0.11804613297150607</v>
      </c>
      <c r="EV62" s="3">
        <f t="shared" si="186"/>
        <v>-0.12121212121212131</v>
      </c>
      <c r="EW62" s="3">
        <f t="shared" si="186"/>
        <v>-5.6561085972850728E-2</v>
      </c>
      <c r="EX62" s="3">
        <f t="shared" si="186"/>
        <v>-0.10924369747899154</v>
      </c>
      <c r="EY62" s="3">
        <f t="shared" ref="EY62:EZ65" si="187">(EY57-EY40)/EY40</f>
        <v>-6.9948186528497464E-2</v>
      </c>
      <c r="EZ62" s="3">
        <f t="shared" si="187"/>
        <v>2.5139664804469296E-2</v>
      </c>
      <c r="FA62" s="3">
        <f t="shared" ref="FA62:FB62" si="188">(FA57-FA40)/FA40</f>
        <v>6.2827225130890105E-2</v>
      </c>
      <c r="FB62" s="3">
        <f t="shared" si="188"/>
        <v>0.25174825174825177</v>
      </c>
      <c r="FC62" s="3">
        <f t="shared" ref="FC62:FD62" si="189">(FC57-FC40)/FC40</f>
        <v>0.15609756097560976</v>
      </c>
      <c r="FD62" s="3">
        <f t="shared" si="189"/>
        <v>4.3887147335423232E-2</v>
      </c>
      <c r="FE62" s="3">
        <f t="shared" ref="FE62:FF62" si="190">(FE57-FE40)/FE40</f>
        <v>7.1428571428571494E-2</v>
      </c>
      <c r="FF62" s="3">
        <f t="shared" si="190"/>
        <v>0.30172413793103436</v>
      </c>
      <c r="FG62" s="4"/>
      <c r="FH62" s="4"/>
      <c r="FI62" s="4"/>
      <c r="FJ62" s="4"/>
      <c r="FK62" s="4"/>
      <c r="FL62" s="4"/>
    </row>
    <row r="63" spans="1:168" x14ac:dyDescent="0.3">
      <c r="A63" t="s">
        <v>215</v>
      </c>
      <c r="B63" s="3">
        <f t="shared" ref="B63:BM63" si="191">(B58-B41)/B41</f>
        <v>1.2369337979094079</v>
      </c>
      <c r="C63" s="3">
        <f t="shared" si="191"/>
        <v>0.29116945107398584</v>
      </c>
      <c r="D63" s="3">
        <f t="shared" si="191"/>
        <v>0.31905781584582432</v>
      </c>
      <c r="E63" s="3">
        <f t="shared" si="191"/>
        <v>0.35760171306209843</v>
      </c>
      <c r="F63" s="3">
        <f t="shared" si="191"/>
        <v>0.22950819672131145</v>
      </c>
      <c r="G63" s="3">
        <f t="shared" si="191"/>
        <v>0.63131313131313127</v>
      </c>
      <c r="H63" s="3">
        <f t="shared" si="191"/>
        <v>1.3982300884955754</v>
      </c>
      <c r="I63" s="3">
        <f t="shared" si="191"/>
        <v>-3.7344398340248997E-2</v>
      </c>
      <c r="J63" s="3">
        <f t="shared" si="191"/>
        <v>1.3480825958702065</v>
      </c>
      <c r="K63" s="3">
        <f t="shared" si="191"/>
        <v>-2.068965517241381E-2</v>
      </c>
      <c r="L63" s="3">
        <f t="shared" si="191"/>
        <v>-5.0448430493273584E-2</v>
      </c>
      <c r="M63" s="3">
        <f t="shared" si="191"/>
        <v>3.5578144853875365E-2</v>
      </c>
      <c r="N63" s="3">
        <f t="shared" si="191"/>
        <v>0.11713933415536371</v>
      </c>
      <c r="O63" s="3">
        <f t="shared" si="191"/>
        <v>0.21971830985915497</v>
      </c>
      <c r="P63" s="3">
        <f t="shared" si="191"/>
        <v>-6.4008394543546634E-2</v>
      </c>
      <c r="Q63" s="3">
        <f t="shared" si="191"/>
        <v>-3.6534446764091774E-2</v>
      </c>
      <c r="R63" s="3">
        <f t="shared" si="191"/>
        <v>3.2686567164179103</v>
      </c>
      <c r="S63" s="3">
        <f t="shared" si="191"/>
        <v>0.12696148359486459</v>
      </c>
      <c r="T63" s="3">
        <f t="shared" si="191"/>
        <v>7.7481840193704674E-2</v>
      </c>
      <c r="U63" s="3">
        <f t="shared" si="191"/>
        <v>5.426356589147277E-2</v>
      </c>
      <c r="V63" s="3">
        <f t="shared" si="191"/>
        <v>0.42010309278350522</v>
      </c>
      <c r="W63" s="3">
        <f t="shared" si="191"/>
        <v>0.28023032629558542</v>
      </c>
      <c r="X63" s="3">
        <f t="shared" si="191"/>
        <v>0.18615384615384614</v>
      </c>
      <c r="Y63" s="3">
        <f t="shared" si="191"/>
        <v>0.68329718004338391</v>
      </c>
      <c r="Z63" s="3">
        <f t="shared" si="191"/>
        <v>1.107462686567164</v>
      </c>
      <c r="AA63" s="3">
        <f t="shared" si="191"/>
        <v>0.29080675422138819</v>
      </c>
      <c r="AB63" s="3">
        <f t="shared" si="191"/>
        <v>0.92894736842105252</v>
      </c>
      <c r="AC63" s="3">
        <f t="shared" si="191"/>
        <v>1.1517027863777087</v>
      </c>
      <c r="AD63" s="3">
        <f t="shared" si="191"/>
        <v>2.1616161616161613</v>
      </c>
      <c r="AE63" s="3">
        <f t="shared" si="191"/>
        <v>1.5</v>
      </c>
      <c r="AF63" s="3">
        <f t="shared" si="191"/>
        <v>1.1370262390670551</v>
      </c>
      <c r="AG63" s="3">
        <f t="shared" si="191"/>
        <v>-6.0509554140127327E-2</v>
      </c>
      <c r="AH63" s="3">
        <f t="shared" si="191"/>
        <v>-0.10147991543340379</v>
      </c>
      <c r="AI63" s="3">
        <f t="shared" si="191"/>
        <v>-6.6803699897225025E-2</v>
      </c>
      <c r="AJ63" s="3">
        <f t="shared" si="191"/>
        <v>0.43320610687022892</v>
      </c>
      <c r="AK63" s="3">
        <f t="shared" si="191"/>
        <v>0.3991935483870967</v>
      </c>
      <c r="AL63" s="3">
        <f t="shared" si="191"/>
        <v>0.63675213675213671</v>
      </c>
      <c r="AM63" s="3">
        <f t="shared" si="191"/>
        <v>-7.4962518740629744E-2</v>
      </c>
      <c r="AN63" s="3">
        <f t="shared" si="191"/>
        <v>0.13224368499257053</v>
      </c>
      <c r="AO63" s="3">
        <f t="shared" si="191"/>
        <v>8.5781433607520649E-2</v>
      </c>
      <c r="AP63" s="3">
        <f t="shared" si="191"/>
        <v>-2.0790020790020809E-2</v>
      </c>
      <c r="AQ63" s="3">
        <f t="shared" si="191"/>
        <v>-6.5945945945946008E-2</v>
      </c>
      <c r="AR63" s="3">
        <f t="shared" si="191"/>
        <v>-2.3783783783783805E-2</v>
      </c>
      <c r="AS63" s="3">
        <f t="shared" si="191"/>
        <v>-7.0796460176991205E-2</v>
      </c>
      <c r="AT63" s="3">
        <f t="shared" si="191"/>
        <v>-0.15368852459016397</v>
      </c>
      <c r="AU63" s="3">
        <f t="shared" si="191"/>
        <v>0.69909909909909884</v>
      </c>
      <c r="AV63" s="3">
        <f t="shared" si="191"/>
        <v>-0.14702154626108996</v>
      </c>
      <c r="AW63" s="9">
        <f t="shared" si="191"/>
        <v>-0.13417721518987338</v>
      </c>
      <c r="AX63" s="3">
        <f t="shared" si="191"/>
        <v>-0.11963589076723012</v>
      </c>
      <c r="AY63" s="3">
        <f t="shared" si="191"/>
        <v>-0.1227863046044864</v>
      </c>
      <c r="AZ63" s="3">
        <f t="shared" si="191"/>
        <v>-0.14552736982643522</v>
      </c>
      <c r="BA63" s="3">
        <f t="shared" si="191"/>
        <v>-9.2515592515592479E-2</v>
      </c>
      <c r="BB63" s="3">
        <f t="shared" si="191"/>
        <v>-3.7569060773480698E-2</v>
      </c>
      <c r="BC63" s="9">
        <f t="shared" si="191"/>
        <v>0.8538812785388129</v>
      </c>
      <c r="BD63" s="9">
        <f t="shared" ref="BD63" si="192">(BD58-BD41)/BD41</f>
        <v>1.3768656716417909</v>
      </c>
      <c r="BE63" s="3">
        <f t="shared" si="191"/>
        <v>3.5460992907801449E-2</v>
      </c>
      <c r="BF63" s="3">
        <f t="shared" si="191"/>
        <v>0.78873239436619724</v>
      </c>
      <c r="BG63" s="3">
        <f t="shared" si="191"/>
        <v>4.2598509052183216E-2</v>
      </c>
      <c r="BH63" s="3">
        <f t="shared" si="191"/>
        <v>0.1351851851851851</v>
      </c>
      <c r="BI63" s="3">
        <f t="shared" si="191"/>
        <v>9.1764705882353026E-2</v>
      </c>
      <c r="BJ63" s="3">
        <f t="shared" si="191"/>
        <v>0.72399999999999998</v>
      </c>
      <c r="BK63" s="3">
        <f t="shared" si="191"/>
        <v>-3.5809018567639288E-2</v>
      </c>
      <c r="BL63" s="3">
        <f t="shared" si="191"/>
        <v>0.1491477272727274</v>
      </c>
      <c r="BM63" s="3">
        <f t="shared" si="191"/>
        <v>1.0416666666666667</v>
      </c>
      <c r="BN63" s="3">
        <f t="shared" ref="BN63:DY63" si="193">(BN58-BN41)/BN41</f>
        <v>0.7026315789473685</v>
      </c>
      <c r="BO63" s="3">
        <f t="shared" si="193"/>
        <v>0.516891891891892</v>
      </c>
      <c r="BP63" s="3">
        <f t="shared" si="193"/>
        <v>0.86650485436893221</v>
      </c>
      <c r="BQ63" s="3">
        <f t="shared" si="193"/>
        <v>0.51639344262295095</v>
      </c>
      <c r="BR63" s="3">
        <f t="shared" si="193"/>
        <v>0.64799999999999991</v>
      </c>
      <c r="BS63" s="3">
        <f t="shared" si="193"/>
        <v>1.082706766917293</v>
      </c>
      <c r="BT63" s="3">
        <f t="shared" si="193"/>
        <v>-0.15</v>
      </c>
      <c r="BU63" s="3">
        <f t="shared" si="193"/>
        <v>-7.7085533262935546E-2</v>
      </c>
      <c r="BV63" s="3">
        <f t="shared" si="193"/>
        <v>5.8563535911602141E-2</v>
      </c>
      <c r="BW63" s="3">
        <f t="shared" si="193"/>
        <v>-5.9811122770199308E-2</v>
      </c>
      <c r="BX63" s="3">
        <f t="shared" si="193"/>
        <v>-4.0254237288135514E-2</v>
      </c>
      <c r="BY63" s="3">
        <f t="shared" si="193"/>
        <v>-7.9470198675496762E-2</v>
      </c>
      <c r="BZ63" s="3">
        <f t="shared" si="193"/>
        <v>0.56903765690376573</v>
      </c>
      <c r="CA63" s="3">
        <f t="shared" si="193"/>
        <v>0.65820312499999989</v>
      </c>
      <c r="CB63" s="3">
        <f t="shared" si="193"/>
        <v>0.68859649122807021</v>
      </c>
      <c r="CC63" s="3">
        <f t="shared" si="193"/>
        <v>0.59325396825396837</v>
      </c>
      <c r="CD63" s="3">
        <f t="shared" si="193"/>
        <v>0.5076628352490421</v>
      </c>
      <c r="CE63" s="3">
        <f t="shared" si="193"/>
        <v>0.47377622377622386</v>
      </c>
      <c r="CF63" s="3">
        <f t="shared" si="193"/>
        <v>0.86224489795918358</v>
      </c>
      <c r="CG63" s="3">
        <f t="shared" si="193"/>
        <v>0.47704590818363274</v>
      </c>
      <c r="CH63" s="3">
        <f t="shared" si="193"/>
        <v>1.8801261829653</v>
      </c>
      <c r="CI63" s="3">
        <f t="shared" si="193"/>
        <v>0.54633204633204635</v>
      </c>
      <c r="CJ63" s="3">
        <f t="shared" si="193"/>
        <v>2.102803738317759E-2</v>
      </c>
      <c r="CK63" s="3">
        <f t="shared" si="193"/>
        <v>0.57423971377459737</v>
      </c>
      <c r="CL63" s="3">
        <f t="shared" si="193"/>
        <v>0.72407045009784732</v>
      </c>
      <c r="CM63" s="3">
        <f t="shared" si="193"/>
        <v>1.4273255813953489</v>
      </c>
      <c r="CN63" s="3">
        <f t="shared" si="193"/>
        <v>0.40333333333333332</v>
      </c>
      <c r="CO63" s="3">
        <f t="shared" si="193"/>
        <v>0.31518151815181528</v>
      </c>
      <c r="CP63" s="3">
        <f t="shared" si="193"/>
        <v>0.91056910569105687</v>
      </c>
      <c r="CQ63" s="3">
        <f t="shared" si="193"/>
        <v>0.24258760107816718</v>
      </c>
      <c r="CR63" s="3">
        <f t="shared" si="193"/>
        <v>0.381342062193126</v>
      </c>
      <c r="CS63" s="3">
        <f t="shared" si="193"/>
        <v>4.8576214405360182E-2</v>
      </c>
      <c r="CT63" s="3">
        <f t="shared" si="193"/>
        <v>0.79693486590038298</v>
      </c>
      <c r="CU63" s="3">
        <f t="shared" si="193"/>
        <v>0.64116575591985414</v>
      </c>
      <c r="CV63" s="3">
        <f t="shared" si="193"/>
        <v>2.8657616892911034E-2</v>
      </c>
      <c r="CW63" s="3">
        <f t="shared" si="193"/>
        <v>-0.19215686274509805</v>
      </c>
      <c r="CX63" s="3">
        <f t="shared" si="193"/>
        <v>0.33499170812603662</v>
      </c>
      <c r="CY63" s="3">
        <f t="shared" si="193"/>
        <v>5.0233644859813131E-2</v>
      </c>
      <c r="CZ63" s="3">
        <f t="shared" si="193"/>
        <v>0.1368547418967587</v>
      </c>
      <c r="DA63" s="3">
        <f t="shared" si="193"/>
        <v>3.1217481789802318E-3</v>
      </c>
      <c r="DB63" s="3">
        <f t="shared" si="193"/>
        <v>0.31181318681318682</v>
      </c>
      <c r="DC63" s="3">
        <f t="shared" si="193"/>
        <v>-3.7593984962406048E-2</v>
      </c>
      <c r="DD63" s="3">
        <f t="shared" si="193"/>
        <v>0.32520325203252026</v>
      </c>
      <c r="DE63" s="3">
        <f t="shared" si="193"/>
        <v>-7.3270013568520947E-2</v>
      </c>
      <c r="DF63" s="3">
        <f t="shared" si="193"/>
        <v>0.3380566801619434</v>
      </c>
      <c r="DG63" s="3">
        <f t="shared" si="193"/>
        <v>0.35061391541609827</v>
      </c>
      <c r="DH63" s="3">
        <f t="shared" si="193"/>
        <v>0.11518987341772148</v>
      </c>
      <c r="DI63" s="3">
        <f t="shared" si="193"/>
        <v>0.16005291005291006</v>
      </c>
      <c r="DJ63" s="9">
        <f t="shared" si="193"/>
        <v>-3.4368070953436837E-2</v>
      </c>
      <c r="DK63" s="9">
        <f t="shared" si="193"/>
        <v>-5.8823529411764761E-2</v>
      </c>
      <c r="DL63" s="9">
        <f t="shared" si="193"/>
        <v>-5.8754406580493461E-2</v>
      </c>
      <c r="DM63" s="3">
        <f t="shared" si="193"/>
        <v>-9.4972067039106101E-2</v>
      </c>
      <c r="DN63" s="3">
        <f t="shared" si="193"/>
        <v>-0.33973710819009095</v>
      </c>
      <c r="DO63" s="3">
        <f t="shared" si="193"/>
        <v>-6.52883569096845E-2</v>
      </c>
      <c r="DP63" s="3">
        <f t="shared" si="193"/>
        <v>-0.12770339855818744</v>
      </c>
      <c r="DQ63" s="3">
        <f t="shared" si="193"/>
        <v>4.4543429844098037E-3</v>
      </c>
      <c r="DR63" s="3">
        <f t="shared" si="193"/>
        <v>-0.12472647702407001</v>
      </c>
      <c r="DS63" s="3">
        <f t="shared" si="193"/>
        <v>0.2163742690058478</v>
      </c>
      <c r="DT63" s="7">
        <f t="shared" si="193"/>
        <v>0.59369527145359036</v>
      </c>
      <c r="DU63" s="3">
        <f t="shared" si="193"/>
        <v>0.49388753056234724</v>
      </c>
      <c r="DV63" s="3">
        <f t="shared" si="193"/>
        <v>2.7412280701754409E-2</v>
      </c>
      <c r="DW63" s="3">
        <f t="shared" si="193"/>
        <v>2.8785982478097508E-2</v>
      </c>
      <c r="DX63" s="3">
        <f t="shared" si="193"/>
        <v>0.59439252336448589</v>
      </c>
      <c r="DY63" s="3">
        <f t="shared" si="193"/>
        <v>3.759398496240593E-2</v>
      </c>
      <c r="DZ63" s="3">
        <f t="shared" ref="DZ63:EX63" si="194">(DZ58-DZ41)/DZ41</f>
        <v>1.1815252416756067E-2</v>
      </c>
      <c r="EA63" s="3">
        <f t="shared" si="194"/>
        <v>1.0940919037199133E-3</v>
      </c>
      <c r="EB63" s="3">
        <f t="shared" si="194"/>
        <v>2.4581005586592201E-2</v>
      </c>
      <c r="EC63" s="3">
        <f t="shared" si="194"/>
        <v>-0.12555066079295152</v>
      </c>
      <c r="ED63" s="3">
        <f t="shared" si="194"/>
        <v>2.1064301552106448E-2</v>
      </c>
      <c r="EE63" s="3">
        <f t="shared" si="194"/>
        <v>-2.4678111587982852E-2</v>
      </c>
      <c r="EF63" s="3">
        <f t="shared" si="194"/>
        <v>0.29010695187165769</v>
      </c>
      <c r="EG63" s="3">
        <f t="shared" si="194"/>
        <v>0.38148667601683034</v>
      </c>
      <c r="EH63" s="3">
        <f t="shared" si="194"/>
        <v>-1.053864168618268E-2</v>
      </c>
      <c r="EI63" s="3">
        <f t="shared" si="194"/>
        <v>-5.8891454965358019E-2</v>
      </c>
      <c r="EJ63" s="3">
        <f t="shared" si="194"/>
        <v>9.4339622641509517E-3</v>
      </c>
      <c r="EK63" s="3">
        <f t="shared" si="194"/>
        <v>0.14568599717114583</v>
      </c>
      <c r="EL63" s="3">
        <f t="shared" si="194"/>
        <v>-1.6509433962264165E-2</v>
      </c>
      <c r="EM63" s="3">
        <f t="shared" si="194"/>
        <v>7.7619663648124115E-2</v>
      </c>
      <c r="EN63" s="3">
        <f t="shared" si="194"/>
        <v>2.5029797377830773E-2</v>
      </c>
      <c r="EO63" s="3">
        <f t="shared" si="194"/>
        <v>0.29545454545454536</v>
      </c>
      <c r="EP63" s="3">
        <f t="shared" si="194"/>
        <v>0.27080181543116477</v>
      </c>
      <c r="EQ63" s="3">
        <f t="shared" si="194"/>
        <v>0.31750741839762603</v>
      </c>
      <c r="ER63" s="3">
        <f t="shared" si="194"/>
        <v>3.7252619324796309E-2</v>
      </c>
      <c r="ES63" s="3">
        <f t="shared" si="194"/>
        <v>1.0308483290488433</v>
      </c>
      <c r="ET63" s="3">
        <f t="shared" si="194"/>
        <v>7.4688796680497993E-2</v>
      </c>
      <c r="EU63" s="9">
        <f t="shared" si="194"/>
        <v>-8.9968976215098209E-2</v>
      </c>
      <c r="EV63" s="3">
        <f t="shared" si="194"/>
        <v>-9.324758842443738E-2</v>
      </c>
      <c r="EW63" s="3">
        <f t="shared" si="194"/>
        <v>-1.9450800915331825E-2</v>
      </c>
      <c r="EX63" s="3">
        <f t="shared" si="194"/>
        <v>-0.15925542916235783</v>
      </c>
      <c r="EY63" s="3">
        <f t="shared" si="187"/>
        <v>-0.13008130081300814</v>
      </c>
      <c r="EZ63" s="3">
        <f t="shared" si="187"/>
        <v>0</v>
      </c>
      <c r="FA63" s="3">
        <f t="shared" ref="FA63:FB63" si="195">(FA58-FA41)/FA41</f>
        <v>3.3665835411471209E-2</v>
      </c>
      <c r="FB63" s="3">
        <f t="shared" si="195"/>
        <v>5.9872611464968063E-2</v>
      </c>
      <c r="FC63" s="3">
        <f t="shared" ref="FC63:FD63" si="196">(FC58-FC41)/FC41</f>
        <v>5.9322033898305142E-2</v>
      </c>
      <c r="FD63" s="3">
        <f t="shared" si="196"/>
        <v>1.6021361815754354E-2</v>
      </c>
      <c r="FE63" s="3">
        <f t="shared" ref="FE63:FF63" si="197">(FE58-FE41)/FE41</f>
        <v>-4.7091412742382315E-2</v>
      </c>
      <c r="FF63" s="3">
        <f t="shared" si="197"/>
        <v>0.46113074204947002</v>
      </c>
      <c r="FG63" s="4"/>
      <c r="FH63" s="4"/>
      <c r="FI63" s="4"/>
      <c r="FJ63" s="4"/>
      <c r="FK63" s="4"/>
      <c r="FL63" s="4"/>
    </row>
    <row r="64" spans="1:168" x14ac:dyDescent="0.3">
      <c r="A64" t="s">
        <v>216</v>
      </c>
      <c r="B64" s="3">
        <f t="shared" ref="B64:BM64" si="198">(B59-B42)/B42</f>
        <v>-0.47580645161290319</v>
      </c>
      <c r="C64" s="3">
        <f t="shared" si="198"/>
        <v>-0.32539682539682535</v>
      </c>
      <c r="D64" s="3">
        <f t="shared" si="198"/>
        <v>-0.39344262295081966</v>
      </c>
      <c r="E64" s="3">
        <f t="shared" si="198"/>
        <v>-0.30841121495327106</v>
      </c>
      <c r="F64" s="3">
        <f t="shared" si="198"/>
        <v>-0.1764705882352941</v>
      </c>
      <c r="G64" s="3">
        <f t="shared" si="198"/>
        <v>-0.35000000000000003</v>
      </c>
      <c r="H64" s="3">
        <f t="shared" si="198"/>
        <v>-0.22058823529411772</v>
      </c>
      <c r="I64" s="3">
        <f t="shared" si="198"/>
        <v>-0.37623762376237629</v>
      </c>
      <c r="J64" s="3">
        <f t="shared" si="198"/>
        <v>-0.60130718954248363</v>
      </c>
      <c r="K64" s="3">
        <f t="shared" si="198"/>
        <v>-0.22500000000000003</v>
      </c>
      <c r="L64" s="3">
        <f t="shared" si="198"/>
        <v>-0.2589285714285714</v>
      </c>
      <c r="M64" s="3">
        <f t="shared" si="198"/>
        <v>-0.43269230769230771</v>
      </c>
      <c r="N64" s="3">
        <f t="shared" si="198"/>
        <v>-0.29629629629629628</v>
      </c>
      <c r="O64" s="3">
        <f t="shared" si="198"/>
        <v>-0.31506849315068486</v>
      </c>
      <c r="P64" s="3">
        <f t="shared" si="198"/>
        <v>-0.1323529411764707</v>
      </c>
      <c r="Q64" s="3">
        <f t="shared" si="198"/>
        <v>-0.30434782608695649</v>
      </c>
      <c r="R64" s="3">
        <f t="shared" si="198"/>
        <v>-0.7489539748953975</v>
      </c>
      <c r="S64" s="3">
        <f t="shared" si="198"/>
        <v>-0.48305084745762711</v>
      </c>
      <c r="T64" s="3">
        <f t="shared" si="198"/>
        <v>-0.46666666666666662</v>
      </c>
      <c r="U64" s="3">
        <f t="shared" si="198"/>
        <v>-0.39423076923076922</v>
      </c>
      <c r="V64" s="3">
        <f t="shared" si="198"/>
        <v>-0.1951219512195122</v>
      </c>
      <c r="W64" s="3">
        <f t="shared" si="198"/>
        <v>-0.35897435897435903</v>
      </c>
      <c r="X64" s="3">
        <f t="shared" si="198"/>
        <v>-0.53917050691244239</v>
      </c>
      <c r="Y64" s="3">
        <f t="shared" si="198"/>
        <v>-0.55102040816326525</v>
      </c>
      <c r="Z64" s="3">
        <f t="shared" si="198"/>
        <v>-0.51388888888888884</v>
      </c>
      <c r="AA64" s="3">
        <f t="shared" si="198"/>
        <v>-0.40540540540540543</v>
      </c>
      <c r="AB64" s="3">
        <f t="shared" si="198"/>
        <v>-0.51973684210526316</v>
      </c>
      <c r="AC64" s="3">
        <f t="shared" si="198"/>
        <v>-0.50837988826815639</v>
      </c>
      <c r="AD64" s="3">
        <f t="shared" si="198"/>
        <v>-0.52606635071090047</v>
      </c>
      <c r="AE64" s="3">
        <f t="shared" si="198"/>
        <v>-0.55932203389830504</v>
      </c>
      <c r="AF64" s="3">
        <f t="shared" si="198"/>
        <v>-0.54970760233918137</v>
      </c>
      <c r="AG64" s="3">
        <f t="shared" si="198"/>
        <v>-0.26000000000000006</v>
      </c>
      <c r="AH64" s="3">
        <f t="shared" si="198"/>
        <v>-0.11956521739130431</v>
      </c>
      <c r="AI64" s="3">
        <f t="shared" si="198"/>
        <v>-0.34567901234567905</v>
      </c>
      <c r="AJ64" s="3">
        <f t="shared" si="198"/>
        <v>-0.4285714285714286</v>
      </c>
      <c r="AK64" s="3">
        <f t="shared" si="198"/>
        <v>-0.3258426966292135</v>
      </c>
      <c r="AL64" s="3">
        <f t="shared" si="198"/>
        <v>-0.43956043956043961</v>
      </c>
      <c r="AM64" s="3">
        <f t="shared" si="198"/>
        <v>-0.29447852760736198</v>
      </c>
      <c r="AN64" s="3">
        <f t="shared" si="198"/>
        <v>-0.43999999999999995</v>
      </c>
      <c r="AO64" s="3">
        <f t="shared" si="198"/>
        <v>-0.57692307692307698</v>
      </c>
      <c r="AP64" s="3">
        <f t="shared" si="198"/>
        <v>-0.21052631578947373</v>
      </c>
      <c r="AQ64" s="3">
        <f t="shared" si="198"/>
        <v>-0.15277777777777773</v>
      </c>
      <c r="AR64" s="3">
        <f t="shared" si="198"/>
        <v>-0.35</v>
      </c>
      <c r="AS64" s="3">
        <f t="shared" si="198"/>
        <v>-0.37241379310344824</v>
      </c>
      <c r="AT64" s="3">
        <f t="shared" si="198"/>
        <v>-0.20192307692307684</v>
      </c>
      <c r="AU64" s="3">
        <f t="shared" si="198"/>
        <v>-0.64</v>
      </c>
      <c r="AV64" s="3">
        <f t="shared" si="198"/>
        <v>-0.17708333333333334</v>
      </c>
      <c r="AW64" s="9">
        <f t="shared" si="198"/>
        <v>-0.28260869565217389</v>
      </c>
      <c r="AX64" s="3">
        <f t="shared" si="198"/>
        <v>-0.26415094339622641</v>
      </c>
      <c r="AY64" s="3">
        <f t="shared" si="198"/>
        <v>-2.4390243902439046E-2</v>
      </c>
      <c r="AZ64" s="3">
        <f t="shared" si="198"/>
        <v>-0.23387096774193547</v>
      </c>
      <c r="BA64" s="3">
        <f t="shared" si="198"/>
        <v>-0.34517766497461932</v>
      </c>
      <c r="BB64" s="3">
        <f t="shared" si="198"/>
        <v>-0.46067415730337075</v>
      </c>
      <c r="BC64" s="9">
        <f t="shared" si="198"/>
        <v>-0.61842105263157898</v>
      </c>
      <c r="BD64" s="9">
        <f t="shared" ref="BD64" si="199">(BD59-BD42)/BD42</f>
        <v>-0.29761904761904773</v>
      </c>
      <c r="BE64" s="3">
        <f t="shared" si="198"/>
        <v>-0.45454545454545459</v>
      </c>
      <c r="BF64" s="3">
        <f t="shared" si="198"/>
        <v>-0.36781609195402293</v>
      </c>
      <c r="BG64" s="3">
        <f t="shared" si="198"/>
        <v>-0.41964285714285715</v>
      </c>
      <c r="BH64" s="3">
        <f t="shared" si="198"/>
        <v>-9.3749999999999972E-2</v>
      </c>
      <c r="BI64" s="3">
        <f t="shared" si="198"/>
        <v>-0.30701754385964913</v>
      </c>
      <c r="BJ64" s="3">
        <f t="shared" si="198"/>
        <v>-0.13043478260869562</v>
      </c>
      <c r="BK64" s="3">
        <f t="shared" si="198"/>
        <v>-0.40816326530612246</v>
      </c>
      <c r="BL64" s="3">
        <f t="shared" si="198"/>
        <v>-0.53629032258064524</v>
      </c>
      <c r="BM64" s="3">
        <f t="shared" si="198"/>
        <v>-0.42968750000000006</v>
      </c>
      <c r="BN64" s="3">
        <f t="shared" ref="BN64:DY64" si="200">(BN59-BN42)/BN42</f>
        <v>-0.40869565217391302</v>
      </c>
      <c r="BO64" s="3">
        <f t="shared" si="200"/>
        <v>-0.20731707317073172</v>
      </c>
      <c r="BP64" s="3">
        <f t="shared" si="200"/>
        <v>-0.60305343511450393</v>
      </c>
      <c r="BQ64" s="3">
        <f t="shared" si="200"/>
        <v>-0.73372781065088755</v>
      </c>
      <c r="BR64" s="3">
        <f t="shared" si="200"/>
        <v>-0.60130718954248363</v>
      </c>
      <c r="BS64" s="3">
        <f t="shared" si="200"/>
        <v>-0.60869565217391308</v>
      </c>
      <c r="BT64" s="3">
        <f t="shared" si="200"/>
        <v>-0.27480916030534353</v>
      </c>
      <c r="BU64" s="3">
        <f t="shared" si="200"/>
        <v>-5.2631578947368467E-2</v>
      </c>
      <c r="BV64" s="3">
        <f t="shared" si="200"/>
        <v>-0.73295454545454553</v>
      </c>
      <c r="BW64" s="3">
        <f t="shared" si="200"/>
        <v>-0.19117647058823534</v>
      </c>
      <c r="BX64" s="3">
        <f t="shared" si="200"/>
        <v>-0.24657534246575338</v>
      </c>
      <c r="BY64" s="3">
        <f t="shared" si="200"/>
        <v>-0.20224719101123598</v>
      </c>
      <c r="BZ64" s="3">
        <f t="shared" si="200"/>
        <v>-0.45901639344262291</v>
      </c>
      <c r="CA64" s="3">
        <f t="shared" si="200"/>
        <v>-0.64566929133858264</v>
      </c>
      <c r="CB64" s="3">
        <f t="shared" si="200"/>
        <v>-0.50450450450450446</v>
      </c>
      <c r="CC64" s="3">
        <f t="shared" si="200"/>
        <v>-0.53846153846153855</v>
      </c>
      <c r="CD64" s="3">
        <f t="shared" si="200"/>
        <v>-0.51260504201680668</v>
      </c>
      <c r="CE64" s="3">
        <f t="shared" si="200"/>
        <v>-0.59689922480620161</v>
      </c>
      <c r="CF64" s="3">
        <f t="shared" si="200"/>
        <v>-0.5</v>
      </c>
      <c r="CG64" s="3">
        <f t="shared" si="200"/>
        <v>-0.4329896907216495</v>
      </c>
      <c r="CH64" s="3">
        <f t="shared" si="200"/>
        <v>-0.78500000000000014</v>
      </c>
      <c r="CI64" s="3">
        <f t="shared" si="200"/>
        <v>-0.55704697986577179</v>
      </c>
      <c r="CJ64" s="3">
        <f t="shared" si="200"/>
        <v>-0.2365591397849463</v>
      </c>
      <c r="CK64" s="3">
        <f t="shared" si="200"/>
        <v>-0.65942028985507251</v>
      </c>
      <c r="CL64" s="3">
        <f t="shared" si="200"/>
        <v>-0.69696969696969702</v>
      </c>
      <c r="CM64" s="3">
        <f t="shared" si="200"/>
        <v>-0.60000000000000009</v>
      </c>
      <c r="CN64" s="3">
        <f t="shared" si="200"/>
        <v>-0.62857142857142856</v>
      </c>
      <c r="CO64" s="3">
        <f t="shared" si="200"/>
        <v>-0.48623853211009171</v>
      </c>
      <c r="CP64" s="3">
        <f t="shared" si="200"/>
        <v>-0.79729729729729726</v>
      </c>
      <c r="CQ64" s="3">
        <f t="shared" si="200"/>
        <v>-0.7191780821917807</v>
      </c>
      <c r="CR64" s="3">
        <f t="shared" si="200"/>
        <v>-0.58904109589041098</v>
      </c>
      <c r="CS64" s="3">
        <f t="shared" si="200"/>
        <v>-0.15652173913043479</v>
      </c>
      <c r="CT64" s="3">
        <f t="shared" si="200"/>
        <v>-0.79130434782608694</v>
      </c>
      <c r="CU64" s="3">
        <f t="shared" si="200"/>
        <v>-0.71770334928229662</v>
      </c>
      <c r="CV64" s="3">
        <f t="shared" si="200"/>
        <v>-0.37037037037037035</v>
      </c>
      <c r="CW64" s="3">
        <f t="shared" si="200"/>
        <v>-0.375</v>
      </c>
      <c r="CX64" s="3">
        <f t="shared" si="200"/>
        <v>-0.52197802197802201</v>
      </c>
      <c r="CY64" s="3">
        <f t="shared" si="200"/>
        <v>-0.53804347826086951</v>
      </c>
      <c r="CZ64" s="3">
        <f t="shared" si="200"/>
        <v>-0.69607843137254899</v>
      </c>
      <c r="DA64" s="3">
        <f t="shared" si="200"/>
        <v>-0.5275590551181103</v>
      </c>
      <c r="DB64" s="3">
        <f t="shared" si="200"/>
        <v>-0.77542372881355937</v>
      </c>
      <c r="DC64" s="3">
        <f t="shared" si="200"/>
        <v>-0.34969325153374237</v>
      </c>
      <c r="DD64" s="3">
        <f t="shared" si="200"/>
        <v>-0.60240963855421692</v>
      </c>
      <c r="DE64" s="3">
        <f t="shared" si="200"/>
        <v>-0.32824427480916035</v>
      </c>
      <c r="DF64" s="3">
        <f t="shared" si="200"/>
        <v>-0.45121951219512202</v>
      </c>
      <c r="DG64" s="3">
        <f t="shared" si="200"/>
        <v>-0.92553191489361697</v>
      </c>
      <c r="DH64" s="3">
        <f t="shared" si="200"/>
        <v>-0.7056277056277056</v>
      </c>
      <c r="DI64" s="3">
        <f t="shared" si="200"/>
        <v>-0.62318840579710155</v>
      </c>
      <c r="DJ64" s="9">
        <f t="shared" si="200"/>
        <v>-0.37878787878787878</v>
      </c>
      <c r="DK64" s="9">
        <f t="shared" si="200"/>
        <v>-0.28025477707006369</v>
      </c>
      <c r="DL64" s="9">
        <f t="shared" si="200"/>
        <v>-0.35915492957746475</v>
      </c>
      <c r="DM64" s="3">
        <f t="shared" si="200"/>
        <v>-0.34810126582278483</v>
      </c>
      <c r="DN64" s="3">
        <f t="shared" si="200"/>
        <v>-0.14347826086956522</v>
      </c>
      <c r="DO64" s="3">
        <f t="shared" si="200"/>
        <v>-0.39574468085106385</v>
      </c>
      <c r="DP64" s="3">
        <f t="shared" si="200"/>
        <v>2.1126760563380302E-2</v>
      </c>
      <c r="DQ64" s="3">
        <f t="shared" si="200"/>
        <v>-0.57249070631970267</v>
      </c>
      <c r="DR64" s="3">
        <f t="shared" si="200"/>
        <v>-0.32365145228215764</v>
      </c>
      <c r="DS64" s="3">
        <f t="shared" si="200"/>
        <v>-0.58515283842794763</v>
      </c>
      <c r="DT64" s="7">
        <f t="shared" si="200"/>
        <v>-0.69506726457399104</v>
      </c>
      <c r="DU64" s="3">
        <f t="shared" si="200"/>
        <v>-0.47311827956989244</v>
      </c>
      <c r="DV64" s="3">
        <f t="shared" si="200"/>
        <v>-0.58518518518518525</v>
      </c>
      <c r="DW64" s="3">
        <f t="shared" si="200"/>
        <v>-0.49282296650717705</v>
      </c>
      <c r="DX64" s="3">
        <f t="shared" si="200"/>
        <v>-0.70994475138121549</v>
      </c>
      <c r="DY64" s="3">
        <f t="shared" si="200"/>
        <v>-0.79220779220779214</v>
      </c>
      <c r="DZ64" s="3">
        <f t="shared" ref="DZ64:EX64" si="201">(DZ59-DZ42)/DZ42</f>
        <v>-0.72727272727272729</v>
      </c>
      <c r="EA64" s="3">
        <f t="shared" si="201"/>
        <v>-0.601123595505618</v>
      </c>
      <c r="EB64" s="3">
        <f t="shared" si="201"/>
        <v>-0.66844919786096257</v>
      </c>
      <c r="EC64" s="3">
        <f t="shared" si="201"/>
        <v>-0.44444444444444442</v>
      </c>
      <c r="ED64" s="3">
        <f t="shared" si="201"/>
        <v>-0.66666666666666663</v>
      </c>
      <c r="EE64" s="3">
        <f t="shared" si="201"/>
        <v>-0.59677419354838712</v>
      </c>
      <c r="EF64" s="3">
        <f t="shared" si="201"/>
        <v>-0.83214285714285718</v>
      </c>
      <c r="EG64" s="3">
        <f t="shared" si="201"/>
        <v>-0.87401574803149606</v>
      </c>
      <c r="EH64" s="3">
        <f t="shared" si="201"/>
        <v>-0.4375</v>
      </c>
      <c r="EI64" s="3">
        <f t="shared" si="201"/>
        <v>-0.31034482758620685</v>
      </c>
      <c r="EJ64" s="3">
        <f t="shared" si="201"/>
        <v>-0.40659340659340659</v>
      </c>
      <c r="EK64" s="3">
        <f t="shared" si="201"/>
        <v>-0.49586776859504134</v>
      </c>
      <c r="EL64" s="3">
        <f t="shared" si="201"/>
        <v>-0.49230769230769228</v>
      </c>
      <c r="EM64" s="3">
        <f t="shared" si="201"/>
        <v>-0.48333333333333334</v>
      </c>
      <c r="EN64" s="3">
        <f t="shared" si="201"/>
        <v>-0.43333333333333335</v>
      </c>
      <c r="EO64" s="3">
        <f t="shared" si="201"/>
        <v>-0.60544217687074831</v>
      </c>
      <c r="EP64" s="3">
        <f t="shared" si="201"/>
        <v>-0.52032520325203258</v>
      </c>
      <c r="EQ64" s="3">
        <f t="shared" si="201"/>
        <v>-0.65161290322580645</v>
      </c>
      <c r="ER64" s="3">
        <f t="shared" si="201"/>
        <v>-0.47863247863247865</v>
      </c>
      <c r="ES64" s="3">
        <f t="shared" si="201"/>
        <v>-0.56578947368421051</v>
      </c>
      <c r="ET64" s="3">
        <f t="shared" si="201"/>
        <v>-0.44366197183098588</v>
      </c>
      <c r="EU64" s="9">
        <f t="shared" si="201"/>
        <v>-0.23008849557522132</v>
      </c>
      <c r="EV64" s="3">
        <f t="shared" si="201"/>
        <v>-0.26724137931034481</v>
      </c>
      <c r="EW64" s="3">
        <f t="shared" si="201"/>
        <v>-0.37391304347826093</v>
      </c>
      <c r="EX64" s="3">
        <f t="shared" si="201"/>
        <v>0.12962962962962962</v>
      </c>
      <c r="EY64" s="3">
        <f t="shared" si="187"/>
        <v>0.29545454545454558</v>
      </c>
      <c r="EZ64" s="3">
        <f t="shared" si="187"/>
        <v>-0.45217391304347826</v>
      </c>
      <c r="FA64" s="3">
        <f t="shared" ref="FA64:FB64" si="202">(FA59-FA42)/FA42</f>
        <v>-0.37719298245614041</v>
      </c>
      <c r="FB64" s="3">
        <f t="shared" si="202"/>
        <v>-0.45871559633027525</v>
      </c>
      <c r="FC64" s="3">
        <f t="shared" ref="FC64:FD64" si="203">(FC59-FC42)/FC42</f>
        <v>-0.24000000000000007</v>
      </c>
      <c r="FD64" s="3">
        <f t="shared" si="203"/>
        <v>-0.38679245283018865</v>
      </c>
      <c r="FE64" s="3">
        <f t="shared" ref="FE64:FF64" si="204">(FE59-FE42)/FE42</f>
        <v>-0.31372549019607832</v>
      </c>
      <c r="FF64" s="3">
        <f t="shared" si="204"/>
        <v>-0.55555555555555558</v>
      </c>
      <c r="FG64" s="4"/>
      <c r="FH64" s="4"/>
      <c r="FI64" s="4"/>
      <c r="FJ64" s="4"/>
      <c r="FK64" s="4"/>
      <c r="FL64" s="4"/>
    </row>
    <row r="65" spans="1:168" x14ac:dyDescent="0.3">
      <c r="A65" t="s">
        <v>217</v>
      </c>
      <c r="B65" s="3">
        <f t="shared" ref="B65:BM65" si="205">(B60-B43)/B43</f>
        <v>-0.42948717948717952</v>
      </c>
      <c r="C65" s="3">
        <f t="shared" si="205"/>
        <v>-0.22754491017964074</v>
      </c>
      <c r="D65" s="3">
        <f t="shared" si="205"/>
        <v>-0.32903225806451614</v>
      </c>
      <c r="E65" s="3">
        <f t="shared" si="205"/>
        <v>-0.37724550898203602</v>
      </c>
      <c r="F65" s="3">
        <f t="shared" si="205"/>
        <v>-0.35761589403973504</v>
      </c>
      <c r="G65" s="3">
        <f t="shared" si="205"/>
        <v>-0.39455782312925169</v>
      </c>
      <c r="H65" s="3">
        <f t="shared" si="205"/>
        <v>-0.36507936507936506</v>
      </c>
      <c r="I65" s="3">
        <f t="shared" si="205"/>
        <v>-0.21875000000000006</v>
      </c>
      <c r="J65" s="3">
        <f t="shared" si="205"/>
        <v>-0.5843373493975903</v>
      </c>
      <c r="K65" s="3">
        <f t="shared" si="205"/>
        <v>-0.24137931034482749</v>
      </c>
      <c r="L65" s="3">
        <f t="shared" si="205"/>
        <v>-0.40217391304347827</v>
      </c>
      <c r="M65" s="3">
        <f t="shared" si="205"/>
        <v>-0.27173913043478254</v>
      </c>
      <c r="N65" s="3">
        <f t="shared" si="205"/>
        <v>-0.27272727272727271</v>
      </c>
      <c r="O65" s="3">
        <f t="shared" si="205"/>
        <v>-0.23880597014925384</v>
      </c>
      <c r="P65" s="3">
        <f t="shared" si="205"/>
        <v>-0.15517241379310345</v>
      </c>
      <c r="Q65" s="3">
        <f t="shared" si="205"/>
        <v>-0.21276595744680854</v>
      </c>
      <c r="R65" s="3">
        <f t="shared" si="205"/>
        <v>-0.66666666666666663</v>
      </c>
      <c r="S65" s="3">
        <f t="shared" si="205"/>
        <v>-0.20720720720720726</v>
      </c>
      <c r="T65" s="3">
        <f t="shared" si="205"/>
        <v>-0.35897435897435892</v>
      </c>
      <c r="U65" s="3">
        <f t="shared" si="205"/>
        <v>-0.19148936170212769</v>
      </c>
      <c r="V65" s="3">
        <f t="shared" si="205"/>
        <v>-0.25735294117647062</v>
      </c>
      <c r="W65" s="3">
        <f t="shared" si="205"/>
        <v>-0.24087591240875922</v>
      </c>
      <c r="X65" s="3">
        <f t="shared" si="205"/>
        <v>-0.63184079601990051</v>
      </c>
      <c r="Y65" s="3">
        <f t="shared" si="205"/>
        <v>-0.4416666666666666</v>
      </c>
      <c r="Z65" s="3">
        <f t="shared" si="205"/>
        <v>-0.42647058823529416</v>
      </c>
      <c r="AA65" s="3">
        <f t="shared" si="205"/>
        <v>-0.42391304347826086</v>
      </c>
      <c r="AB65" s="3">
        <f t="shared" si="205"/>
        <v>-0.52571428571428569</v>
      </c>
      <c r="AC65" s="3">
        <f t="shared" si="205"/>
        <v>-0.42285714285714276</v>
      </c>
      <c r="AD65" s="3">
        <f t="shared" si="205"/>
        <v>-0.1818181818181818</v>
      </c>
      <c r="AE65" s="3">
        <f t="shared" si="205"/>
        <v>-0.54081632653061229</v>
      </c>
      <c r="AF65" s="3">
        <f t="shared" si="205"/>
        <v>-0.52095808383233533</v>
      </c>
      <c r="AG65" s="3">
        <f t="shared" si="205"/>
        <v>-0.12499999999999999</v>
      </c>
      <c r="AH65" s="3">
        <f t="shared" si="205"/>
        <v>-7.4626865671641854E-2</v>
      </c>
      <c r="AI65" s="3">
        <f t="shared" si="205"/>
        <v>0.23684210526315794</v>
      </c>
      <c r="AJ65" s="3">
        <f t="shared" si="205"/>
        <v>-0.47586206896551719</v>
      </c>
      <c r="AK65" s="3">
        <f t="shared" si="205"/>
        <v>-0.39490445859872608</v>
      </c>
      <c r="AL65" s="3">
        <f t="shared" si="205"/>
        <v>-0.48571428571428582</v>
      </c>
      <c r="AM65" s="3">
        <f t="shared" si="205"/>
        <v>-0.57211538461538458</v>
      </c>
      <c r="AN65" s="3">
        <f t="shared" si="205"/>
        <v>-0.44055944055944052</v>
      </c>
      <c r="AO65" s="3">
        <f t="shared" si="205"/>
        <v>-0.55454545454545456</v>
      </c>
      <c r="AP65" s="3">
        <f t="shared" si="205"/>
        <v>-0.2352941176470589</v>
      </c>
      <c r="AQ65" s="3">
        <f t="shared" si="205"/>
        <v>-0.26250000000000007</v>
      </c>
      <c r="AR65" s="3">
        <f t="shared" si="205"/>
        <v>-0.29032258064516131</v>
      </c>
      <c r="AS65" s="3">
        <f t="shared" si="205"/>
        <v>-0.17419354838709675</v>
      </c>
      <c r="AT65" s="3">
        <f t="shared" si="205"/>
        <v>5.9701492537313272E-2</v>
      </c>
      <c r="AU65" s="3">
        <f t="shared" si="205"/>
        <v>-0.43925233644859812</v>
      </c>
      <c r="AV65" s="3">
        <f t="shared" si="205"/>
        <v>-0.13207547169811321</v>
      </c>
      <c r="AW65" s="9">
        <f t="shared" si="205"/>
        <v>-8.3333333333333412E-2</v>
      </c>
      <c r="AX65" s="3">
        <f t="shared" si="205"/>
        <v>-0.17391304347826086</v>
      </c>
      <c r="AY65" s="3">
        <f t="shared" si="205"/>
        <v>-0.1415929203539823</v>
      </c>
      <c r="AZ65" s="3">
        <f t="shared" si="205"/>
        <v>-0.14035087719298245</v>
      </c>
      <c r="BA65" s="3">
        <f t="shared" si="205"/>
        <v>-0.13432835820895522</v>
      </c>
      <c r="BB65" s="3">
        <f t="shared" si="205"/>
        <v>-0.15789473684210523</v>
      </c>
      <c r="BC65" s="9">
        <f t="shared" si="205"/>
        <v>-0.57046979865771807</v>
      </c>
      <c r="BD65" s="9">
        <f t="shared" ref="BD65" si="206">(BD60-BD43)/BD43</f>
        <v>-0.40322580645161293</v>
      </c>
      <c r="BE65" s="3">
        <f t="shared" si="205"/>
        <v>-0.15909090909090909</v>
      </c>
      <c r="BF65" s="3">
        <f t="shared" si="205"/>
        <v>-0.36434108527131781</v>
      </c>
      <c r="BG65" s="3">
        <f t="shared" si="205"/>
        <v>-0.42105263157894735</v>
      </c>
      <c r="BH65" s="3">
        <f t="shared" si="205"/>
        <v>-1.2658227848101278E-2</v>
      </c>
      <c r="BI65" s="3">
        <f t="shared" si="205"/>
        <v>-0.24999999999999992</v>
      </c>
      <c r="BJ65" s="3">
        <f t="shared" si="205"/>
        <v>-7.999999999999996E-2</v>
      </c>
      <c r="BK65" s="3">
        <f t="shared" si="205"/>
        <v>-0.34920634920634919</v>
      </c>
      <c r="BL65" s="3">
        <f t="shared" si="205"/>
        <v>-0.41104294478527609</v>
      </c>
      <c r="BM65" s="3">
        <f t="shared" si="205"/>
        <v>-0.50802139037433158</v>
      </c>
      <c r="BN65" s="3">
        <f t="shared" ref="BN65:DY65" si="207">(BN60-BN43)/BN43</f>
        <v>-0.38513513513513514</v>
      </c>
      <c r="BO65" s="3">
        <f t="shared" si="207"/>
        <v>-0.26923076923076922</v>
      </c>
      <c r="BP65" s="3">
        <f t="shared" si="207"/>
        <v>-0.47008547008547014</v>
      </c>
      <c r="BQ65" s="3">
        <f t="shared" si="207"/>
        <v>-0.59689922480620161</v>
      </c>
      <c r="BR65" s="3">
        <f t="shared" si="207"/>
        <v>-0.49315068493150682</v>
      </c>
      <c r="BS65" s="3">
        <f t="shared" si="207"/>
        <v>-0.51515151515151514</v>
      </c>
      <c r="BT65" s="3">
        <f t="shared" si="207"/>
        <v>-0.2395833333333334</v>
      </c>
      <c r="BU65" s="3">
        <f t="shared" si="207"/>
        <v>-0.30303030303030298</v>
      </c>
      <c r="BV65" s="3">
        <f t="shared" si="207"/>
        <v>-0.45945945945945948</v>
      </c>
      <c r="BW65" s="3">
        <f t="shared" si="207"/>
        <v>-0.18181818181818188</v>
      </c>
      <c r="BX65" s="3">
        <f t="shared" si="207"/>
        <v>-0.20000000000000004</v>
      </c>
      <c r="BY65" s="3">
        <f t="shared" si="207"/>
        <v>-0.24418604651162781</v>
      </c>
      <c r="BZ65" s="3">
        <f t="shared" si="207"/>
        <v>-0.47590361445783141</v>
      </c>
      <c r="CA65" s="3">
        <f t="shared" si="207"/>
        <v>-0.56338028169014076</v>
      </c>
      <c r="CB65" s="3">
        <f t="shared" si="207"/>
        <v>-0.43703703703703711</v>
      </c>
      <c r="CC65" s="3">
        <f t="shared" si="207"/>
        <v>-0.46706586826347313</v>
      </c>
      <c r="CD65" s="3">
        <f t="shared" si="207"/>
        <v>-0.44444444444444442</v>
      </c>
      <c r="CE65" s="3">
        <f t="shared" si="207"/>
        <v>-0.47445255474452563</v>
      </c>
      <c r="CF65" s="3">
        <f t="shared" si="207"/>
        <v>-0.29166666666666669</v>
      </c>
      <c r="CG65" s="3">
        <f t="shared" si="207"/>
        <v>-0.37007874015748032</v>
      </c>
      <c r="CH65" s="3">
        <f t="shared" si="207"/>
        <v>-0.78091872791519434</v>
      </c>
      <c r="CI65" s="3">
        <f t="shared" si="207"/>
        <v>-0.47150259067357519</v>
      </c>
      <c r="CJ65" s="3">
        <f t="shared" si="207"/>
        <v>-4.9019607843137164E-2</v>
      </c>
      <c r="CK65" s="3">
        <f t="shared" si="207"/>
        <v>-0.57792207792207795</v>
      </c>
      <c r="CL65" s="3">
        <f t="shared" si="207"/>
        <v>-0.65340909090909094</v>
      </c>
      <c r="CM65" s="3">
        <f t="shared" si="207"/>
        <v>-0.54716981132075471</v>
      </c>
      <c r="CN65" s="3">
        <f t="shared" si="207"/>
        <v>-0.61764705882352944</v>
      </c>
      <c r="CO65" s="3">
        <f t="shared" si="207"/>
        <v>-0.47878787878787887</v>
      </c>
      <c r="CP65" s="3">
        <f t="shared" si="207"/>
        <v>-0.81042654028436012</v>
      </c>
      <c r="CQ65" s="3">
        <f t="shared" si="207"/>
        <v>-0.59701492537313439</v>
      </c>
      <c r="CR65" s="3">
        <f t="shared" si="207"/>
        <v>-0.58653846153846156</v>
      </c>
      <c r="CS65" s="3">
        <f t="shared" si="207"/>
        <v>-0.46107784431137727</v>
      </c>
      <c r="CT65" s="3">
        <f t="shared" si="207"/>
        <v>-0.80542986425339358</v>
      </c>
      <c r="CU65" s="3">
        <f t="shared" si="207"/>
        <v>-0.66489361702127658</v>
      </c>
      <c r="CV65" s="3">
        <f t="shared" si="207"/>
        <v>-0.33593749999999994</v>
      </c>
      <c r="CW65" s="3">
        <f t="shared" si="207"/>
        <v>-0.17647058823529405</v>
      </c>
      <c r="CX65" s="3">
        <f t="shared" si="207"/>
        <v>-0.48648648648648646</v>
      </c>
      <c r="CY65" s="3">
        <f t="shared" si="207"/>
        <v>-0.33333333333333331</v>
      </c>
      <c r="CZ65" s="3">
        <f t="shared" si="207"/>
        <v>-0.4285714285714286</v>
      </c>
      <c r="DA65" s="3">
        <f t="shared" si="207"/>
        <v>-0.34042553191489361</v>
      </c>
      <c r="DB65" s="3">
        <f t="shared" si="207"/>
        <v>-0.73228346456692917</v>
      </c>
      <c r="DC65" s="3">
        <f t="shared" si="207"/>
        <v>-0.15517241379310345</v>
      </c>
      <c r="DD65" s="3">
        <f t="shared" si="207"/>
        <v>-0.58450704225352113</v>
      </c>
      <c r="DE65" s="3">
        <f t="shared" si="207"/>
        <v>-0.26168224299065418</v>
      </c>
      <c r="DF65" s="3">
        <f t="shared" si="207"/>
        <v>-0.34108527131782945</v>
      </c>
      <c r="DG65" s="3">
        <f t="shared" si="207"/>
        <v>-0.79194630872483218</v>
      </c>
      <c r="DH65" s="3">
        <f t="shared" si="207"/>
        <v>-0.48031496062992124</v>
      </c>
      <c r="DI65" s="3">
        <f t="shared" si="207"/>
        <v>-0.36458333333333337</v>
      </c>
      <c r="DJ65" s="9">
        <f t="shared" si="207"/>
        <v>-0.27631578947368418</v>
      </c>
      <c r="DK65" s="9">
        <f t="shared" si="207"/>
        <v>-0.23529411764705885</v>
      </c>
      <c r="DL65" s="9">
        <f t="shared" si="207"/>
        <v>-0.34</v>
      </c>
      <c r="DM65" s="3">
        <f t="shared" si="207"/>
        <v>-0.16304347826086957</v>
      </c>
      <c r="DN65" s="3">
        <f t="shared" si="207"/>
        <v>9.8901098901098994E-2</v>
      </c>
      <c r="DO65" s="3">
        <f t="shared" si="207"/>
        <v>-0.40697674418604651</v>
      </c>
      <c r="DP65" s="3">
        <f t="shared" si="207"/>
        <v>-5.4545454545454591E-2</v>
      </c>
      <c r="DQ65" s="3">
        <f t="shared" si="207"/>
        <v>-0.45544554455445546</v>
      </c>
      <c r="DR65" s="3">
        <f t="shared" si="207"/>
        <v>-0.2592592592592593</v>
      </c>
      <c r="DS65" s="3">
        <f t="shared" si="207"/>
        <v>-0.3984375</v>
      </c>
      <c r="DT65" s="7">
        <f t="shared" si="207"/>
        <v>-0.52857142857142858</v>
      </c>
      <c r="DU65" s="3">
        <f t="shared" si="207"/>
        <v>-0.12878787878787878</v>
      </c>
      <c r="DV65" s="3">
        <f t="shared" si="207"/>
        <v>-0.18072289156626503</v>
      </c>
      <c r="DW65" s="3">
        <f t="shared" si="207"/>
        <v>-0.3</v>
      </c>
      <c r="DX65" s="3">
        <f t="shared" si="207"/>
        <v>-0.47727272727272724</v>
      </c>
      <c r="DY65" s="3">
        <f t="shared" si="207"/>
        <v>-0.66206896551724137</v>
      </c>
      <c r="DZ65" s="3">
        <f t="shared" ref="DZ65:EX65" si="208">(DZ60-DZ43)/DZ43</f>
        <v>-0.4950495049504951</v>
      </c>
      <c r="EA65" s="3">
        <f t="shared" si="208"/>
        <v>-0.37837837837837834</v>
      </c>
      <c r="EB65" s="3">
        <f t="shared" si="208"/>
        <v>-0.52032520325203258</v>
      </c>
      <c r="EC65" s="3">
        <f t="shared" si="208"/>
        <v>-0.29126213592233008</v>
      </c>
      <c r="ED65" s="3">
        <f t="shared" si="208"/>
        <v>-0.41228070175438597</v>
      </c>
      <c r="EE65" s="3">
        <f t="shared" si="208"/>
        <v>-0.3828125</v>
      </c>
      <c r="EF65" s="3">
        <f t="shared" si="208"/>
        <v>-0.80434782608695654</v>
      </c>
      <c r="EG65" s="3">
        <f t="shared" si="208"/>
        <v>-0.67701863354037273</v>
      </c>
      <c r="EH65" s="3">
        <f t="shared" si="208"/>
        <v>-0.2105263157894737</v>
      </c>
      <c r="EI65" s="3">
        <f t="shared" si="208"/>
        <v>-0.21518987341772153</v>
      </c>
      <c r="EJ65" s="3">
        <f t="shared" si="208"/>
        <v>-0.19999999999999996</v>
      </c>
      <c r="EK65" s="3">
        <f t="shared" si="208"/>
        <v>-0.27173913043478254</v>
      </c>
      <c r="EL65" s="3">
        <f t="shared" si="208"/>
        <v>-0.16279069767441859</v>
      </c>
      <c r="EM65" s="3">
        <f t="shared" si="208"/>
        <v>-0.24050632911392408</v>
      </c>
      <c r="EN65" s="3">
        <f t="shared" si="208"/>
        <v>-0.25000000000000011</v>
      </c>
      <c r="EO65" s="3">
        <f t="shared" si="208"/>
        <v>-0.20454545454545461</v>
      </c>
      <c r="EP65" s="3">
        <f t="shared" si="208"/>
        <v>6.9999999999999923E-2</v>
      </c>
      <c r="EQ65" s="3">
        <f t="shared" si="208"/>
        <v>-0.33962264150943389</v>
      </c>
      <c r="ER65" s="3">
        <f t="shared" si="208"/>
        <v>-0.32989690721649484</v>
      </c>
      <c r="ES65" s="3">
        <f t="shared" si="208"/>
        <v>-0.4863013698630137</v>
      </c>
      <c r="ET65" s="3">
        <f t="shared" si="208"/>
        <v>-0.41666666666666657</v>
      </c>
      <c r="EU65" s="9">
        <f t="shared" si="208"/>
        <v>5.0000000000000044E-2</v>
      </c>
      <c r="EV65" s="3">
        <f t="shared" si="208"/>
        <v>-0.17741935483870971</v>
      </c>
      <c r="EW65" s="3">
        <f t="shared" si="208"/>
        <v>-0.37179487179487175</v>
      </c>
      <c r="EX65" s="3">
        <f t="shared" si="208"/>
        <v>-1.8518518518518535E-2</v>
      </c>
      <c r="EY65" s="3">
        <f t="shared" si="187"/>
        <v>2.8571428571428397E-2</v>
      </c>
      <c r="EZ65" s="3">
        <f t="shared" si="187"/>
        <v>-0.32142857142857145</v>
      </c>
      <c r="FA65" s="3">
        <f t="shared" ref="FA65:FB65" si="209">(FA60-FA43)/FA43</f>
        <v>-0.1395348837209302</v>
      </c>
      <c r="FB65" s="3">
        <f t="shared" si="209"/>
        <v>-0.31818181818181818</v>
      </c>
      <c r="FC65" s="3">
        <f t="shared" ref="FC65:FD65" si="210">(FC60-FC43)/FC43</f>
        <v>-0.39097744360902259</v>
      </c>
      <c r="FD65" s="3">
        <f t="shared" si="210"/>
        <v>-0.2470588235294118</v>
      </c>
      <c r="FE65" s="3">
        <f t="shared" ref="FE65:FF65" si="211">(FE60-FE43)/FE43</f>
        <v>-0.20212765957446813</v>
      </c>
      <c r="FF65" s="3">
        <f t="shared" si="211"/>
        <v>-0.6428571428571429</v>
      </c>
      <c r="FG65" s="4"/>
      <c r="FH65" s="4"/>
      <c r="FI65" s="4"/>
      <c r="FJ65" s="4"/>
      <c r="FK65" s="4"/>
      <c r="FL65" s="4"/>
    </row>
    <row r="66" spans="1:168" x14ac:dyDescent="0.3">
      <c r="A66" t="s">
        <v>220</v>
      </c>
      <c r="B66" s="4">
        <v>0.30099999999999999</v>
      </c>
      <c r="C66" s="4">
        <v>0.307</v>
      </c>
      <c r="D66" s="4">
        <v>0.316</v>
      </c>
      <c r="E66" s="4">
        <v>0.36199999999999999</v>
      </c>
      <c r="F66" s="4">
        <v>0.307</v>
      </c>
      <c r="G66" s="4">
        <v>0.32400000000000001</v>
      </c>
      <c r="H66" s="4">
        <v>0.23699999999999999</v>
      </c>
      <c r="I66" s="4">
        <v>0.26100000000000001</v>
      </c>
      <c r="J66" s="4">
        <v>0.48</v>
      </c>
      <c r="K66" s="4">
        <v>0.31</v>
      </c>
      <c r="L66" s="4">
        <v>0.434</v>
      </c>
      <c r="M66" s="4">
        <v>0.27700000000000002</v>
      </c>
      <c r="N66" s="4">
        <v>0.49</v>
      </c>
      <c r="O66" s="4">
        <v>0.32100000000000001</v>
      </c>
      <c r="P66" s="4">
        <v>0.45</v>
      </c>
      <c r="Q66" s="4">
        <v>0.58399999999999996</v>
      </c>
      <c r="R66" s="4">
        <v>0.45</v>
      </c>
      <c r="S66" s="4">
        <v>0.4</v>
      </c>
      <c r="T66" s="4">
        <v>0.25</v>
      </c>
      <c r="U66" s="4">
        <v>0.35399999999999998</v>
      </c>
      <c r="V66" s="4">
        <v>0.25</v>
      </c>
      <c r="W66" s="4">
        <v>0.32700000000000001</v>
      </c>
      <c r="X66" s="4">
        <v>0.438</v>
      </c>
      <c r="Y66" s="4">
        <v>0.377</v>
      </c>
      <c r="Z66" s="4">
        <v>0.28199999999999997</v>
      </c>
      <c r="AA66" s="4">
        <v>0.28499999999999998</v>
      </c>
      <c r="AB66" s="4">
        <v>0.28000000000000003</v>
      </c>
      <c r="AC66" s="4">
        <v>0.33600000000000002</v>
      </c>
      <c r="AD66" s="4">
        <v>0.34</v>
      </c>
      <c r="AE66" s="4">
        <v>0.313</v>
      </c>
      <c r="AF66" s="4">
        <v>0.26700000000000002</v>
      </c>
      <c r="AG66" s="4">
        <v>0.52600000000000002</v>
      </c>
      <c r="AH66" s="4">
        <v>0.504</v>
      </c>
      <c r="AI66" s="4">
        <v>0.627</v>
      </c>
      <c r="AJ66" s="4">
        <v>0.32200000000000001</v>
      </c>
      <c r="AK66" s="4">
        <v>0.33600000000000002</v>
      </c>
      <c r="AL66" s="4">
        <v>0.35399999999999998</v>
      </c>
      <c r="AM66" s="4">
        <v>0.53600000000000003</v>
      </c>
      <c r="AN66" s="4">
        <v>0.48499999999999999</v>
      </c>
      <c r="AO66" s="4">
        <v>0.57899999999999996</v>
      </c>
      <c r="AP66" s="4">
        <v>0.40500000000000003</v>
      </c>
      <c r="AQ66" s="10">
        <v>0.38</v>
      </c>
      <c r="AR66" s="10">
        <v>0.30199999999999999</v>
      </c>
      <c r="AS66" s="10">
        <v>0.33200000000000002</v>
      </c>
      <c r="AT66" s="8">
        <v>0.2</v>
      </c>
      <c r="AU66" s="10">
        <v>0.54100000000000004</v>
      </c>
      <c r="AV66" s="10">
        <v>0.29599999999999999</v>
      </c>
      <c r="AW66" s="10">
        <v>0.221</v>
      </c>
      <c r="AX66" s="10">
        <v>0.27</v>
      </c>
      <c r="AY66" s="10">
        <v>0.38</v>
      </c>
      <c r="AZ66" s="10">
        <v>0.39600000000000002</v>
      </c>
      <c r="BA66" s="10">
        <v>0.61099999999999999</v>
      </c>
      <c r="BB66" s="10">
        <v>0.315</v>
      </c>
      <c r="BC66" s="8">
        <v>0.54400000000000004</v>
      </c>
      <c r="BD66" s="8">
        <v>0.47399999999999998</v>
      </c>
      <c r="BE66" s="10">
        <v>0.56100000000000005</v>
      </c>
      <c r="BF66" s="10">
        <v>0.21299999999999999</v>
      </c>
      <c r="BG66" s="10">
        <v>0.57499999999999996</v>
      </c>
      <c r="BH66" s="10">
        <v>0.23200000000000001</v>
      </c>
      <c r="BI66" s="10">
        <v>0.437</v>
      </c>
      <c r="BJ66" s="10">
        <v>0.16600000000000001</v>
      </c>
      <c r="BK66" s="10">
        <v>0.26300000000000001</v>
      </c>
      <c r="BL66" s="10">
        <v>0.52900000000000003</v>
      </c>
      <c r="BM66" s="10">
        <v>0.39700000000000002</v>
      </c>
      <c r="BN66" s="10">
        <v>0.38200000000000001</v>
      </c>
      <c r="BO66" s="10">
        <v>0.20100000000000001</v>
      </c>
      <c r="BP66" s="10">
        <v>0.27900000000000003</v>
      </c>
      <c r="BQ66" s="10">
        <v>0.43099999999999999</v>
      </c>
      <c r="BR66" s="10">
        <v>0.42499999999999999</v>
      </c>
      <c r="BS66" s="10">
        <v>0.43099999999999999</v>
      </c>
      <c r="BT66" s="7">
        <v>0.314</v>
      </c>
      <c r="BU66" s="3">
        <v>0.439</v>
      </c>
      <c r="BV66" s="3">
        <v>0.626</v>
      </c>
      <c r="BW66" s="3">
        <v>0.26700000000000002</v>
      </c>
      <c r="BX66" s="3">
        <v>0.29899999999999999</v>
      </c>
      <c r="BY66" s="3">
        <v>0.33500000000000002</v>
      </c>
      <c r="BZ66" s="4">
        <v>0.39100000000000001</v>
      </c>
      <c r="CA66" s="4">
        <v>0.36</v>
      </c>
      <c r="CB66" s="4">
        <v>0.3</v>
      </c>
      <c r="CC66" s="4">
        <v>0.35299999999999998</v>
      </c>
      <c r="CD66" s="4">
        <v>0.39</v>
      </c>
      <c r="CE66" s="4">
        <v>0.40600000000000003</v>
      </c>
      <c r="CF66" s="4">
        <v>0.28299999999999997</v>
      </c>
      <c r="CG66" s="4">
        <v>0.26700000000000002</v>
      </c>
      <c r="CH66" s="4">
        <v>0.48399999999999999</v>
      </c>
      <c r="CI66" s="4">
        <v>0.47499999999999998</v>
      </c>
      <c r="CJ66" s="4">
        <v>0.125</v>
      </c>
      <c r="CK66" s="4">
        <v>0.434</v>
      </c>
      <c r="CL66" s="4">
        <v>0.51800000000000002</v>
      </c>
      <c r="CM66" s="4">
        <v>0.42599999999999999</v>
      </c>
      <c r="CN66" s="4">
        <v>0.53700000000000003</v>
      </c>
      <c r="CO66" s="4">
        <v>0.41499999999999998</v>
      </c>
      <c r="CP66" s="4">
        <v>0.51900000000000002</v>
      </c>
      <c r="CQ66" s="4">
        <v>0.39300000000000002</v>
      </c>
      <c r="CR66" s="4">
        <v>0.497</v>
      </c>
      <c r="CS66" s="4">
        <v>0.49</v>
      </c>
      <c r="CT66" s="4">
        <v>0.54</v>
      </c>
      <c r="CU66" s="4">
        <v>0.501</v>
      </c>
      <c r="CV66" s="4">
        <v>0.25900000000000001</v>
      </c>
      <c r="CW66" s="4">
        <v>0.14399999999999999</v>
      </c>
      <c r="CX66" s="4">
        <v>0.42199999999999999</v>
      </c>
      <c r="CY66" s="4">
        <v>0.51500000000000001</v>
      </c>
      <c r="CZ66" s="4">
        <v>0.54800000000000004</v>
      </c>
      <c r="DA66" s="4">
        <v>0.52800000000000002</v>
      </c>
      <c r="DB66" s="4">
        <v>0.52400000000000002</v>
      </c>
      <c r="DC66" s="4">
        <v>0.26500000000000001</v>
      </c>
      <c r="DD66" s="4">
        <v>0.27500000000000002</v>
      </c>
      <c r="DE66" s="4">
        <v>0.28100000000000003</v>
      </c>
      <c r="DF66" s="4">
        <v>0.24</v>
      </c>
      <c r="DG66" s="4">
        <v>0.41599999999999998</v>
      </c>
      <c r="DH66" s="4">
        <v>0.36899999999999999</v>
      </c>
      <c r="DI66" s="4">
        <v>0.41399999999999998</v>
      </c>
      <c r="DJ66" s="4">
        <v>0.41899999999999998</v>
      </c>
      <c r="DK66" s="8">
        <v>0.433</v>
      </c>
      <c r="DL66" s="8">
        <v>0.34399999999999997</v>
      </c>
      <c r="DM66" s="4">
        <v>0.35599999999999998</v>
      </c>
      <c r="DN66" s="4">
        <v>0.61599999999999999</v>
      </c>
      <c r="DO66" s="4">
        <v>0.61499999999999999</v>
      </c>
      <c r="DP66" s="8">
        <v>0.66500000000000004</v>
      </c>
      <c r="DQ66" s="4">
        <v>0.66400000000000003</v>
      </c>
      <c r="DR66" s="8">
        <v>0.65</v>
      </c>
      <c r="DS66" s="4">
        <v>0.45200000000000001</v>
      </c>
      <c r="DT66" s="10">
        <v>0.498</v>
      </c>
      <c r="DU66" s="4">
        <v>0.29599999999999999</v>
      </c>
      <c r="DV66" s="4">
        <v>0.48199999999999998</v>
      </c>
      <c r="DW66" s="4">
        <v>0.52200000000000002</v>
      </c>
      <c r="DX66" s="4">
        <v>0.60299999999999998</v>
      </c>
      <c r="DY66" s="4">
        <v>0.76600000000000001</v>
      </c>
      <c r="DZ66" s="4">
        <v>0.72299999999999998</v>
      </c>
      <c r="EA66" s="4">
        <v>0.66800000000000004</v>
      </c>
      <c r="EB66" s="4">
        <v>0.64400000000000002</v>
      </c>
      <c r="EC66" s="4">
        <v>0.54900000000000004</v>
      </c>
      <c r="ED66" s="4">
        <v>0.7</v>
      </c>
      <c r="EE66" s="4">
        <v>0.70199999999999996</v>
      </c>
      <c r="EF66" s="4">
        <v>0.74</v>
      </c>
      <c r="EG66" s="4">
        <v>0.70699999999999996</v>
      </c>
      <c r="EH66" s="4">
        <v>0.313</v>
      </c>
      <c r="EI66" s="4">
        <v>0.26600000000000001</v>
      </c>
      <c r="EJ66" s="4">
        <v>0.32100000000000001</v>
      </c>
      <c r="EK66" s="4">
        <v>0.25700000000000001</v>
      </c>
      <c r="EL66" s="4">
        <v>0.40300000000000002</v>
      </c>
      <c r="EM66" s="4">
        <v>0.34599999999999997</v>
      </c>
      <c r="EN66" s="4">
        <v>0.313</v>
      </c>
      <c r="EO66" s="4">
        <v>0.58099999999999996</v>
      </c>
      <c r="EP66" s="4">
        <v>0.45900000000000002</v>
      </c>
      <c r="EQ66" s="8">
        <v>0.504</v>
      </c>
      <c r="ER66" s="4">
        <v>0.58499999999999996</v>
      </c>
      <c r="ES66" s="4">
        <v>0.49</v>
      </c>
      <c r="ET66" s="4">
        <v>0.36799999999999999</v>
      </c>
      <c r="EU66" s="4">
        <v>0.64600000000000002</v>
      </c>
      <c r="EV66" s="4">
        <v>0.48</v>
      </c>
      <c r="EW66" s="4">
        <v>0.41799999999999998</v>
      </c>
      <c r="EX66" s="4">
        <v>0.63200000000000001</v>
      </c>
      <c r="EY66" s="4">
        <v>0.71599999999999997</v>
      </c>
      <c r="EZ66" s="4">
        <v>0.37</v>
      </c>
      <c r="FA66" s="8">
        <v>0.39800000000000002</v>
      </c>
      <c r="FB66" s="4">
        <v>0.35899999999999999</v>
      </c>
      <c r="FC66" s="4">
        <v>0.23899999999999999</v>
      </c>
      <c r="FD66" s="4">
        <v>0.33800000000000002</v>
      </c>
      <c r="FE66" s="4">
        <v>0.28399999999999997</v>
      </c>
      <c r="FF66" s="4">
        <v>0.30099999999999999</v>
      </c>
      <c r="FG66" s="4"/>
      <c r="FH66" s="4"/>
      <c r="FI66" s="4"/>
      <c r="FJ66" s="4"/>
      <c r="FK66" s="4"/>
      <c r="FL66" s="4"/>
    </row>
    <row r="67" spans="1:168" x14ac:dyDescent="0.3">
      <c r="A67" t="s">
        <v>221</v>
      </c>
      <c r="B67" s="4">
        <v>0.63100000000000001</v>
      </c>
      <c r="C67" s="4">
        <v>0.50700000000000001</v>
      </c>
      <c r="D67" s="4">
        <v>0.59899999999999998</v>
      </c>
      <c r="E67" s="4">
        <v>0.61799999999999999</v>
      </c>
      <c r="F67" s="4">
        <v>0.57699999999999996</v>
      </c>
      <c r="G67" s="4">
        <v>0.63200000000000001</v>
      </c>
      <c r="H67" s="4">
        <v>0.53100000000000003</v>
      </c>
      <c r="I67" s="4">
        <v>0.59299999999999997</v>
      </c>
      <c r="J67" s="4">
        <v>0.75</v>
      </c>
      <c r="K67" s="4">
        <v>0.745</v>
      </c>
      <c r="L67" s="4">
        <v>0.77200000000000002</v>
      </c>
      <c r="M67" s="4">
        <v>0.72099999999999997</v>
      </c>
      <c r="N67" s="4">
        <v>0.435</v>
      </c>
      <c r="O67" s="4">
        <v>0.44700000000000001</v>
      </c>
      <c r="P67" s="4">
        <v>0.625</v>
      </c>
      <c r="Q67" s="4">
        <v>0.70799999999999996</v>
      </c>
      <c r="R67" s="4">
        <v>0.80600000000000005</v>
      </c>
      <c r="S67" s="4">
        <v>0.752</v>
      </c>
      <c r="T67" s="4">
        <v>0.80300000000000005</v>
      </c>
      <c r="U67" s="4">
        <v>0.749</v>
      </c>
      <c r="V67" s="4">
        <v>0.52500000000000002</v>
      </c>
      <c r="W67" s="4">
        <v>0.58099999999999996</v>
      </c>
      <c r="X67" s="4">
        <v>0.76300000000000001</v>
      </c>
      <c r="Y67" s="4">
        <v>0.67500000000000004</v>
      </c>
      <c r="Z67" s="4">
        <v>0.47799999999999998</v>
      </c>
      <c r="AA67" s="4">
        <v>0.68899999999999995</v>
      </c>
      <c r="AB67" s="4">
        <v>0.73499999999999999</v>
      </c>
      <c r="AC67" s="4">
        <v>0.69799999999999995</v>
      </c>
      <c r="AD67" s="4">
        <v>0.69599999999999995</v>
      </c>
      <c r="AE67" s="4">
        <v>0.73199999999999998</v>
      </c>
      <c r="AF67" s="4">
        <v>0.73499999999999999</v>
      </c>
      <c r="AG67" s="4">
        <v>0.79500000000000004</v>
      </c>
      <c r="AH67" s="4">
        <v>0.76200000000000001</v>
      </c>
      <c r="AI67" s="4">
        <v>0.82199999999999995</v>
      </c>
      <c r="AJ67" s="4">
        <v>0.70099999999999996</v>
      </c>
      <c r="AK67" s="4">
        <v>0.65500000000000003</v>
      </c>
      <c r="AL67" s="4">
        <v>0.72</v>
      </c>
      <c r="AM67" s="4">
        <v>0.59299999999999997</v>
      </c>
      <c r="AN67" s="4">
        <v>0.73399999999999999</v>
      </c>
      <c r="AO67" s="4">
        <v>0.85799999999999998</v>
      </c>
      <c r="AP67" s="4">
        <v>0.78700000000000003</v>
      </c>
      <c r="AQ67" s="10">
        <v>0.75600000000000001</v>
      </c>
      <c r="AR67" s="10">
        <v>0.76800000000000002</v>
      </c>
      <c r="AS67" s="10">
        <v>0.71099999999999997</v>
      </c>
      <c r="AT67" s="8">
        <v>0.1</v>
      </c>
      <c r="AU67" s="10">
        <v>0.72899999999999998</v>
      </c>
      <c r="AV67" s="10">
        <v>0.52500000000000002</v>
      </c>
      <c r="AW67" s="10">
        <v>0.42799999999999999</v>
      </c>
      <c r="AX67" s="10">
        <v>0.52200000000000002</v>
      </c>
      <c r="AY67" s="10">
        <v>0.57999999999999996</v>
      </c>
      <c r="AZ67" s="10">
        <v>0.53500000000000003</v>
      </c>
      <c r="BA67" s="10">
        <v>0.70599999999999996</v>
      </c>
      <c r="BB67" s="10">
        <v>0.67</v>
      </c>
      <c r="BC67" s="8">
        <v>0.56299999999999994</v>
      </c>
      <c r="BD67" s="8">
        <v>0.55100000000000005</v>
      </c>
      <c r="BE67" s="10">
        <v>0.71299999999999997</v>
      </c>
      <c r="BF67" s="10">
        <v>0.59299999999999997</v>
      </c>
      <c r="BG67" s="10">
        <v>0.436</v>
      </c>
      <c r="BH67" s="10">
        <v>0.51700000000000002</v>
      </c>
      <c r="BI67" s="10">
        <v>0.47899999999999998</v>
      </c>
      <c r="BJ67" s="10">
        <v>0.42499999999999999</v>
      </c>
      <c r="BK67" s="10">
        <v>0.66300000000000003</v>
      </c>
      <c r="BL67" s="10">
        <v>0.78400000000000003</v>
      </c>
      <c r="BM67" s="10">
        <v>0.68</v>
      </c>
      <c r="BN67" s="10">
        <v>0.61399999999999999</v>
      </c>
      <c r="BO67" s="10">
        <v>0.436</v>
      </c>
      <c r="BP67" s="10">
        <v>0.70899999999999996</v>
      </c>
      <c r="BQ67" s="10">
        <v>0.79900000000000004</v>
      </c>
      <c r="BR67" s="10">
        <v>0.76300000000000001</v>
      </c>
      <c r="BS67" s="10">
        <v>0.77900000000000003</v>
      </c>
      <c r="BT67" s="7">
        <v>0.61499999999999999</v>
      </c>
      <c r="BU67" s="3">
        <v>0.82099999999999995</v>
      </c>
      <c r="BV67" s="3">
        <v>0.95499999999999996</v>
      </c>
      <c r="BW67" s="3">
        <v>0.75800000000000001</v>
      </c>
      <c r="BX67" s="3">
        <v>0.83199999999999996</v>
      </c>
      <c r="BY67" s="3">
        <v>0.71499999999999997</v>
      </c>
      <c r="BZ67" s="4">
        <v>0.71599999999999997</v>
      </c>
      <c r="CA67" s="4">
        <v>0.80900000000000005</v>
      </c>
      <c r="CB67" s="4">
        <v>0.73399999999999999</v>
      </c>
      <c r="CC67" s="4">
        <v>0.75700000000000001</v>
      </c>
      <c r="CD67" s="4">
        <v>0.755</v>
      </c>
      <c r="CE67" s="4">
        <v>0.80700000000000005</v>
      </c>
      <c r="CF67" s="4">
        <v>0.69199999999999995</v>
      </c>
      <c r="CG67" s="4">
        <v>0.64800000000000002</v>
      </c>
      <c r="CH67" s="4">
        <v>0.88700000000000001</v>
      </c>
      <c r="CI67" s="4">
        <v>0.75600000000000001</v>
      </c>
      <c r="CJ67" s="4">
        <v>0.36099999999999999</v>
      </c>
      <c r="CK67" s="4">
        <v>0.83199999999999996</v>
      </c>
      <c r="CL67" s="4">
        <v>0.83899999999999997</v>
      </c>
      <c r="CM67" s="4">
        <v>0.79600000000000004</v>
      </c>
      <c r="CN67" s="4">
        <v>0.79300000000000004</v>
      </c>
      <c r="CO67" s="4">
        <v>0.75900000000000001</v>
      </c>
      <c r="CP67" s="4">
        <v>0.82299999999999995</v>
      </c>
      <c r="CQ67" s="4">
        <v>0.75600000000000001</v>
      </c>
      <c r="CR67" s="4">
        <v>0.81100000000000005</v>
      </c>
      <c r="CS67" s="4">
        <v>0.59499999999999997</v>
      </c>
      <c r="CT67" s="4">
        <v>0.83299999999999996</v>
      </c>
      <c r="CU67" s="4">
        <v>0.72199999999999998</v>
      </c>
      <c r="CV67" s="4">
        <v>0.60099999999999998</v>
      </c>
      <c r="CW67" s="4">
        <v>0.58299999999999996</v>
      </c>
      <c r="CX67" s="4">
        <v>0.75600000000000001</v>
      </c>
      <c r="CY67" s="4">
        <v>0.80100000000000005</v>
      </c>
      <c r="CZ67" s="4">
        <v>0.76900000000000002</v>
      </c>
      <c r="DA67" s="4">
        <v>0.67600000000000005</v>
      </c>
      <c r="DB67" s="4">
        <v>0.88600000000000001</v>
      </c>
      <c r="DC67" s="4">
        <v>0.60499999999999998</v>
      </c>
      <c r="DD67" s="4">
        <v>0.76600000000000001</v>
      </c>
      <c r="DE67" s="4">
        <v>0.65500000000000003</v>
      </c>
      <c r="DF67" s="4">
        <v>0.626</v>
      </c>
      <c r="DG67" s="4">
        <v>0.97199999999999998</v>
      </c>
      <c r="DH67" s="4">
        <v>0.88300000000000001</v>
      </c>
      <c r="DI67" s="4">
        <v>0.72599999999999998</v>
      </c>
      <c r="DJ67" s="4">
        <v>0.626</v>
      </c>
      <c r="DK67" s="8">
        <v>0.58299999999999996</v>
      </c>
      <c r="DL67" s="8">
        <v>0.40600000000000003</v>
      </c>
      <c r="DM67" s="4">
        <v>0.42299999999999999</v>
      </c>
      <c r="DN67" s="4">
        <v>0.61299999999999999</v>
      </c>
      <c r="DO67" s="4">
        <v>0.78500000000000003</v>
      </c>
      <c r="DP67" s="8">
        <v>0.70599999999999996</v>
      </c>
      <c r="DQ67" s="4">
        <v>0.89900000000000002</v>
      </c>
      <c r="DR67" s="8">
        <v>0.71899999999999997</v>
      </c>
      <c r="DS67" s="4">
        <v>0.83799999999999997</v>
      </c>
      <c r="DT67" s="10">
        <v>0.91300000000000003</v>
      </c>
      <c r="DU67" s="4">
        <v>0.63200000000000001</v>
      </c>
      <c r="DV67" s="4">
        <v>0.86</v>
      </c>
      <c r="DW67" s="4">
        <v>0.75600000000000001</v>
      </c>
      <c r="DX67" s="4">
        <v>0.85299999999999998</v>
      </c>
      <c r="DY67" s="4">
        <v>0.94299999999999995</v>
      </c>
      <c r="DZ67" s="4">
        <v>0.89600000000000002</v>
      </c>
      <c r="EA67" s="4">
        <v>0.84199999999999997</v>
      </c>
      <c r="EB67" s="4">
        <v>0.88</v>
      </c>
      <c r="EC67" s="4">
        <v>0.74299999999999999</v>
      </c>
      <c r="ED67" s="4">
        <v>0.87</v>
      </c>
      <c r="EE67" s="4">
        <v>0.872</v>
      </c>
      <c r="EF67" s="4">
        <v>0.85499999999999998</v>
      </c>
      <c r="EG67" s="4">
        <v>0.85599999999999998</v>
      </c>
      <c r="EH67" s="4">
        <v>0.67400000000000004</v>
      </c>
      <c r="EI67" s="4">
        <v>0.63100000000000001</v>
      </c>
      <c r="EJ67" s="4">
        <v>0.64800000000000002</v>
      </c>
      <c r="EK67" s="4">
        <v>0.69599999999999995</v>
      </c>
      <c r="EL67" s="4">
        <v>0.70099999999999996</v>
      </c>
      <c r="EM67" s="4">
        <v>0.68600000000000005</v>
      </c>
      <c r="EN67" s="4">
        <v>0.66700000000000004</v>
      </c>
      <c r="EO67" s="4">
        <v>0.69</v>
      </c>
      <c r="EP67" s="4">
        <v>0.59299999999999997</v>
      </c>
      <c r="EQ67" s="8">
        <v>0.70599999999999996</v>
      </c>
      <c r="ER67" s="4">
        <v>0.63200000000000001</v>
      </c>
      <c r="ES67" s="4">
        <v>0.67300000000000004</v>
      </c>
      <c r="ET67" s="4">
        <v>0.75900000000000001</v>
      </c>
      <c r="EU67" s="4">
        <v>0.72399999999999998</v>
      </c>
      <c r="EV67" s="4">
        <v>0.748</v>
      </c>
      <c r="EW67" s="4">
        <v>0.77100000000000002</v>
      </c>
      <c r="EX67" s="4">
        <v>0.80100000000000005</v>
      </c>
      <c r="EY67" s="4">
        <v>0.83699999999999997</v>
      </c>
      <c r="EZ67" s="4">
        <v>0.63700000000000001</v>
      </c>
      <c r="FA67" s="8">
        <v>0.65400000000000003</v>
      </c>
      <c r="FB67" s="4">
        <v>0.70099999999999996</v>
      </c>
      <c r="FC67" s="4">
        <v>0.56399999999999995</v>
      </c>
      <c r="FD67" s="4">
        <v>0.62</v>
      </c>
      <c r="FE67" s="4">
        <v>0.56699999999999995</v>
      </c>
      <c r="FF67" s="4">
        <v>0.73799999999999999</v>
      </c>
      <c r="FG67" s="4"/>
      <c r="FH67" s="4"/>
      <c r="FI67" s="4"/>
      <c r="FJ67" s="4"/>
      <c r="FK67" s="4"/>
      <c r="FL67" s="4"/>
    </row>
    <row r="68" spans="1:168" x14ac:dyDescent="0.3">
      <c r="A68" t="s">
        <v>222</v>
      </c>
      <c r="B68" s="4">
        <v>6.6000000000000003E-2</v>
      </c>
      <c r="C68" s="4">
        <v>8.7999999999999995E-2</v>
      </c>
      <c r="D68" s="4">
        <v>7.5999999999999998E-2</v>
      </c>
      <c r="E68" s="4">
        <v>7.5999999999999998E-2</v>
      </c>
      <c r="F68" s="4">
        <v>7.1999999999999995E-2</v>
      </c>
      <c r="G68" s="4">
        <v>6.7000000000000004E-2</v>
      </c>
      <c r="H68" s="4">
        <v>5.3999999999999999E-2</v>
      </c>
      <c r="I68" s="4">
        <v>7.2999999999999995E-2</v>
      </c>
      <c r="J68" s="4">
        <v>6.7000000000000004E-2</v>
      </c>
      <c r="K68" s="4">
        <v>8.2000000000000003E-2</v>
      </c>
      <c r="L68" s="4">
        <v>0.10100000000000001</v>
      </c>
      <c r="M68" s="4">
        <v>7.1999999999999995E-2</v>
      </c>
      <c r="N68" s="4">
        <v>0.14000000000000001</v>
      </c>
      <c r="O68" s="4">
        <v>9.8000000000000004E-2</v>
      </c>
      <c r="P68" s="4">
        <v>0.109</v>
      </c>
      <c r="Q68" s="4">
        <v>0.125</v>
      </c>
      <c r="R68" s="4">
        <v>7.0000000000000007E-2</v>
      </c>
      <c r="S68" s="4">
        <v>6.6000000000000003E-2</v>
      </c>
      <c r="T68" s="4">
        <v>5.3999999999999999E-2</v>
      </c>
      <c r="U68" s="4">
        <v>7.2999999999999995E-2</v>
      </c>
      <c r="V68" s="4">
        <v>6.7000000000000004E-2</v>
      </c>
      <c r="W68" s="4">
        <v>8.4000000000000005E-2</v>
      </c>
      <c r="X68" s="4">
        <v>0.10199999999999999</v>
      </c>
      <c r="Y68" s="4">
        <v>7.9000000000000001E-2</v>
      </c>
      <c r="Z68" s="4">
        <v>9.2999999999999999E-2</v>
      </c>
      <c r="AA68" s="4">
        <v>8.7999999999999995E-2</v>
      </c>
      <c r="AB68" s="4">
        <v>7.1999999999999995E-2</v>
      </c>
      <c r="AC68" s="4">
        <v>8.6999999999999994E-2</v>
      </c>
      <c r="AD68" s="4">
        <v>0.104</v>
      </c>
      <c r="AE68" s="4">
        <v>7.8E-2</v>
      </c>
      <c r="AF68" s="4">
        <v>7.5999999999999998E-2</v>
      </c>
      <c r="AG68" s="4">
        <v>9.8000000000000004E-2</v>
      </c>
      <c r="AH68" s="4">
        <v>0.104</v>
      </c>
      <c r="AI68" s="4">
        <v>7.2999999999999995E-2</v>
      </c>
      <c r="AJ68" s="4">
        <v>5.7000000000000002E-2</v>
      </c>
      <c r="AK68" s="4">
        <v>6.4000000000000001E-2</v>
      </c>
      <c r="AL68" s="4">
        <v>5.6000000000000001E-2</v>
      </c>
      <c r="AM68" s="4">
        <v>0.11799999999999999</v>
      </c>
      <c r="AN68" s="4">
        <v>8.8999999999999996E-2</v>
      </c>
      <c r="AO68" s="4">
        <v>7.3999999999999996E-2</v>
      </c>
      <c r="AP68" s="4">
        <v>8.5999999999999993E-2</v>
      </c>
      <c r="AQ68" s="10">
        <v>8.2000000000000003E-2</v>
      </c>
      <c r="AR68" s="10">
        <v>6.0999999999999999E-2</v>
      </c>
      <c r="AS68" s="10">
        <v>9.5000000000000001E-2</v>
      </c>
      <c r="AT68" s="8">
        <v>0.4</v>
      </c>
      <c r="AU68" s="10">
        <v>9.7000000000000003E-2</v>
      </c>
      <c r="AV68" s="10">
        <v>9.5000000000000001E-2</v>
      </c>
      <c r="AW68" s="10">
        <v>8.8999999999999996E-2</v>
      </c>
      <c r="AX68" s="10">
        <v>9.5000000000000001E-2</v>
      </c>
      <c r="AY68" s="10">
        <v>0.10199999999999999</v>
      </c>
      <c r="AZ68" s="10">
        <v>0.108</v>
      </c>
      <c r="BA68" s="10">
        <v>0.19600000000000001</v>
      </c>
      <c r="BB68" s="10">
        <v>0.154</v>
      </c>
      <c r="BC68" s="8">
        <v>0.13200000000000001</v>
      </c>
      <c r="BD68" s="8">
        <v>0.106</v>
      </c>
      <c r="BE68" s="10">
        <v>0.13600000000000001</v>
      </c>
      <c r="BF68" s="10">
        <v>5.8000000000000003E-2</v>
      </c>
      <c r="BG68" s="10">
        <v>0.33900000000000002</v>
      </c>
      <c r="BH68" s="10">
        <v>6.5000000000000002E-2</v>
      </c>
      <c r="BI68" s="10">
        <v>0.21299999999999999</v>
      </c>
      <c r="BJ68" s="10">
        <v>8.1000000000000003E-2</v>
      </c>
      <c r="BK68" s="10">
        <v>6.4000000000000001E-2</v>
      </c>
      <c r="BL68" s="10">
        <v>0.122</v>
      </c>
      <c r="BM68" s="10">
        <v>7.2999999999999995E-2</v>
      </c>
      <c r="BN68" s="10">
        <v>7.0999999999999994E-2</v>
      </c>
      <c r="BO68" s="10">
        <v>6.6000000000000003E-2</v>
      </c>
      <c r="BP68" s="10">
        <v>5.8999999999999997E-2</v>
      </c>
      <c r="BQ68" s="10">
        <v>7.3999999999999996E-2</v>
      </c>
      <c r="BR68" s="10">
        <v>7.0999999999999994E-2</v>
      </c>
      <c r="BS68" s="10">
        <v>7.1999999999999995E-2</v>
      </c>
      <c r="BT68" s="7">
        <v>0.114</v>
      </c>
      <c r="BU68" s="3">
        <v>8.5999999999999993E-2</v>
      </c>
      <c r="BV68" s="3">
        <v>4.9000000000000002E-2</v>
      </c>
      <c r="BW68" s="3">
        <v>8.4000000000000005E-2</v>
      </c>
      <c r="BX68" s="3">
        <v>7.3999999999999996E-2</v>
      </c>
      <c r="BY68" s="3">
        <v>9.2999999999999999E-2</v>
      </c>
      <c r="BZ68" s="4">
        <v>7.0999999999999994E-2</v>
      </c>
      <c r="CA68" s="4">
        <v>5.0999999999999997E-2</v>
      </c>
      <c r="CB68" s="4">
        <v>5.8999999999999997E-2</v>
      </c>
      <c r="CC68" s="4">
        <v>6.7000000000000004E-2</v>
      </c>
      <c r="CD68" s="4">
        <v>6.2E-2</v>
      </c>
      <c r="CE68" s="4">
        <v>5.8000000000000003E-2</v>
      </c>
      <c r="CF68" s="4">
        <v>6.3E-2</v>
      </c>
      <c r="CG68" s="4">
        <v>6.4000000000000001E-2</v>
      </c>
      <c r="CH68" s="4">
        <v>4.9000000000000002E-2</v>
      </c>
      <c r="CI68" s="4">
        <v>7.2999999999999995E-2</v>
      </c>
      <c r="CJ68" s="4">
        <v>7.5999999999999998E-2</v>
      </c>
      <c r="CK68" s="4">
        <v>5.6000000000000001E-2</v>
      </c>
      <c r="CL68" s="4">
        <v>5.8000000000000003E-2</v>
      </c>
      <c r="CM68" s="4">
        <v>5.8000000000000003E-2</v>
      </c>
      <c r="CN68" s="4">
        <v>7.4999999999999997E-2</v>
      </c>
      <c r="CO68" s="4">
        <v>6.0999999999999999E-2</v>
      </c>
      <c r="CP68" s="4">
        <v>7.8E-2</v>
      </c>
      <c r="CQ68" s="4">
        <v>7.1999999999999995E-2</v>
      </c>
      <c r="CR68" s="4">
        <v>6.6000000000000003E-2</v>
      </c>
      <c r="CS68" s="4">
        <v>0.10100000000000001</v>
      </c>
      <c r="CT68" s="4">
        <v>7.9000000000000001E-2</v>
      </c>
      <c r="CU68" s="4">
        <v>9.9000000000000005E-2</v>
      </c>
      <c r="CV68" s="4">
        <v>9.5000000000000001E-2</v>
      </c>
      <c r="CW68" s="4">
        <v>7.8E-2</v>
      </c>
      <c r="CX68" s="4">
        <v>9.7000000000000003E-2</v>
      </c>
      <c r="CY68" s="4">
        <v>0.13700000000000001</v>
      </c>
      <c r="CZ68" s="4">
        <v>0.13100000000000001</v>
      </c>
      <c r="DA68" s="4">
        <v>0.152</v>
      </c>
      <c r="DB68" s="4">
        <v>8.4000000000000005E-2</v>
      </c>
      <c r="DC68" s="4">
        <v>0.111</v>
      </c>
      <c r="DD68" s="4">
        <v>7.3999999999999996E-2</v>
      </c>
      <c r="DE68" s="4">
        <v>9.1999999999999998E-2</v>
      </c>
      <c r="DF68" s="4">
        <v>9.4E-2</v>
      </c>
      <c r="DG68" s="4">
        <v>3.5000000000000003E-2</v>
      </c>
      <c r="DH68" s="4">
        <v>6.8000000000000005E-2</v>
      </c>
      <c r="DI68" s="4">
        <v>0.11600000000000001</v>
      </c>
      <c r="DJ68" s="4">
        <v>0.13900000000000001</v>
      </c>
      <c r="DK68" s="8">
        <v>0.17</v>
      </c>
      <c r="DL68" s="8">
        <v>0.157</v>
      </c>
      <c r="DM68" s="4">
        <v>0.17899999999999999</v>
      </c>
      <c r="DN68" s="4">
        <v>0.20799999999999999</v>
      </c>
      <c r="DO68" s="4">
        <v>0.17599999999999999</v>
      </c>
      <c r="DP68" s="8">
        <v>0.20100000000000001</v>
      </c>
      <c r="DQ68" s="4">
        <v>0.11700000000000001</v>
      </c>
      <c r="DR68" s="8">
        <v>0.193</v>
      </c>
      <c r="DS68" s="4">
        <v>9.4E-2</v>
      </c>
      <c r="DT68" s="10">
        <v>6.7000000000000004E-2</v>
      </c>
      <c r="DU68" s="4">
        <v>9.6000000000000002E-2</v>
      </c>
      <c r="DV68" s="4">
        <v>8.3000000000000004E-2</v>
      </c>
      <c r="DW68" s="4">
        <v>0.124</v>
      </c>
      <c r="DX68" s="4">
        <v>0.105</v>
      </c>
      <c r="DY68" s="4">
        <v>6.2E-2</v>
      </c>
      <c r="DZ68" s="4">
        <v>7.6999999999999999E-2</v>
      </c>
      <c r="EA68" s="4">
        <v>9.7000000000000003E-2</v>
      </c>
      <c r="EB68" s="4">
        <v>7.3999999999999996E-2</v>
      </c>
      <c r="EC68" s="4">
        <v>9.5000000000000001E-2</v>
      </c>
      <c r="ED68" s="4">
        <v>8.8999999999999996E-2</v>
      </c>
      <c r="EE68" s="4">
        <v>8.8999999999999996E-2</v>
      </c>
      <c r="EF68" s="4">
        <v>9.5000000000000001E-2</v>
      </c>
      <c r="EG68" s="4">
        <v>0.10100000000000001</v>
      </c>
      <c r="EH68" s="4">
        <v>7.8E-2</v>
      </c>
      <c r="EI68" s="4">
        <v>8.4000000000000005E-2</v>
      </c>
      <c r="EJ68" s="4">
        <v>8.5000000000000006E-2</v>
      </c>
      <c r="EK68" s="4">
        <v>7.6999999999999999E-2</v>
      </c>
      <c r="EL68" s="4">
        <v>8.7999999999999995E-2</v>
      </c>
      <c r="EM68" s="4">
        <v>8.5000000000000006E-2</v>
      </c>
      <c r="EN68" s="4">
        <v>7.9000000000000001E-2</v>
      </c>
      <c r="EO68" s="4">
        <v>8.5000000000000006E-2</v>
      </c>
      <c r="EP68" s="4">
        <v>9.4E-2</v>
      </c>
      <c r="EQ68" s="8">
        <v>8.6999999999999994E-2</v>
      </c>
      <c r="ER68" s="4">
        <v>0.113</v>
      </c>
      <c r="ES68" s="4">
        <v>8.2000000000000003E-2</v>
      </c>
      <c r="ET68" s="4">
        <v>8.2000000000000003E-2</v>
      </c>
      <c r="EU68" s="4">
        <v>0.13200000000000001</v>
      </c>
      <c r="EV68" s="4">
        <v>0.109</v>
      </c>
      <c r="EW68" s="4">
        <v>9.1999999999999998E-2</v>
      </c>
      <c r="EX68" s="4">
        <v>6.3E-2</v>
      </c>
      <c r="EY68" s="4">
        <v>0.06</v>
      </c>
      <c r="EZ68" s="4">
        <v>9.8000000000000004E-2</v>
      </c>
      <c r="FA68" s="8">
        <v>0.10100000000000001</v>
      </c>
      <c r="FB68" s="4">
        <v>7.8E-2</v>
      </c>
      <c r="FC68" s="4">
        <v>8.1000000000000003E-2</v>
      </c>
      <c r="FD68" s="4">
        <v>8.2000000000000003E-2</v>
      </c>
      <c r="FE68" s="4">
        <v>8.2000000000000003E-2</v>
      </c>
      <c r="FF68" s="4">
        <v>7.2999999999999995E-2</v>
      </c>
      <c r="FG68" s="4"/>
      <c r="FH68" s="4"/>
      <c r="FI68" s="4"/>
      <c r="FJ68" s="4"/>
      <c r="FK68" s="4"/>
      <c r="FL68" s="4"/>
    </row>
    <row r="69" spans="1:168" x14ac:dyDescent="0.3">
      <c r="A69" t="s">
        <v>223</v>
      </c>
      <c r="B69" s="4">
        <v>0.111</v>
      </c>
      <c r="C69" s="4">
        <v>0.17100000000000001</v>
      </c>
      <c r="D69" s="4">
        <v>0.13900000000000001</v>
      </c>
      <c r="E69" s="4">
        <v>0.14199999999999999</v>
      </c>
      <c r="F69" s="4">
        <v>0.129</v>
      </c>
      <c r="G69" s="4">
        <v>0.12</v>
      </c>
      <c r="H69" s="4">
        <v>9.1999999999999998E-2</v>
      </c>
      <c r="I69" s="4">
        <v>0.152</v>
      </c>
      <c r="J69" s="4">
        <v>0.153</v>
      </c>
      <c r="K69" s="4">
        <v>0.187</v>
      </c>
      <c r="L69" s="4">
        <v>0.22700000000000001</v>
      </c>
      <c r="M69" s="4">
        <v>0.13600000000000001</v>
      </c>
      <c r="N69" s="4">
        <v>0.27</v>
      </c>
      <c r="O69" s="4">
        <v>0.186</v>
      </c>
      <c r="P69" s="4">
        <v>0.32</v>
      </c>
      <c r="Q69" s="4">
        <v>0.41499999999999998</v>
      </c>
      <c r="R69" s="4">
        <v>0.11700000000000001</v>
      </c>
      <c r="S69" s="4">
        <v>0.16</v>
      </c>
      <c r="T69" s="4">
        <v>0.11700000000000001</v>
      </c>
      <c r="U69" s="4">
        <v>0.17499999999999999</v>
      </c>
      <c r="V69" s="4">
        <v>0.12</v>
      </c>
      <c r="W69" s="4">
        <v>0.158</v>
      </c>
      <c r="X69" s="4">
        <v>0.13</v>
      </c>
      <c r="Y69" s="4">
        <v>0.11899999999999999</v>
      </c>
      <c r="Z69" s="4">
        <v>0.17199999999999999</v>
      </c>
      <c r="AA69" s="4">
        <v>0.111</v>
      </c>
      <c r="AB69" s="4">
        <v>8.4000000000000005E-2</v>
      </c>
      <c r="AC69" s="4">
        <v>0.1</v>
      </c>
      <c r="AD69" s="4">
        <v>0.17199999999999999</v>
      </c>
      <c r="AE69" s="4">
        <v>0.09</v>
      </c>
      <c r="AF69" s="4">
        <v>0.08</v>
      </c>
      <c r="AG69" s="4">
        <v>0.313</v>
      </c>
      <c r="AH69" s="4">
        <v>0.28799999999999998</v>
      </c>
      <c r="AI69" s="4">
        <v>0.36299999999999999</v>
      </c>
      <c r="AJ69" s="4">
        <v>0.125</v>
      </c>
      <c r="AK69" s="4">
        <v>0.13900000000000001</v>
      </c>
      <c r="AL69" s="4">
        <v>0.111</v>
      </c>
      <c r="AM69" s="4">
        <v>0.22500000000000001</v>
      </c>
      <c r="AN69" s="4">
        <v>0.222</v>
      </c>
      <c r="AO69" s="4">
        <v>0.30499999999999999</v>
      </c>
      <c r="AP69" s="4">
        <v>0.26300000000000001</v>
      </c>
      <c r="AQ69" s="10">
        <v>0.219</v>
      </c>
      <c r="AR69" s="10">
        <v>0.188</v>
      </c>
      <c r="AS69" s="10">
        <v>0.17699999999999999</v>
      </c>
      <c r="AT69" s="8">
        <v>0.4</v>
      </c>
      <c r="AU69" s="10">
        <v>0.246</v>
      </c>
      <c r="AV69" s="10">
        <v>0.193</v>
      </c>
      <c r="AW69" s="10">
        <v>0.19700000000000001</v>
      </c>
      <c r="AX69" s="10">
        <v>0.19</v>
      </c>
      <c r="AY69" s="10">
        <v>0.245</v>
      </c>
      <c r="AZ69" s="10">
        <v>0.30199999999999999</v>
      </c>
      <c r="BA69" s="10">
        <v>0.377</v>
      </c>
      <c r="BB69" s="10">
        <v>0.26</v>
      </c>
      <c r="BC69" s="8">
        <v>0.157</v>
      </c>
      <c r="BD69" s="8">
        <v>0.11</v>
      </c>
      <c r="BE69" s="10">
        <v>0.252</v>
      </c>
      <c r="BF69" s="10">
        <v>0.108</v>
      </c>
      <c r="BG69" s="10">
        <v>0.32700000000000001</v>
      </c>
      <c r="BH69" s="10">
        <v>0.16800000000000001</v>
      </c>
      <c r="BI69" s="10">
        <v>0.245</v>
      </c>
      <c r="BJ69" s="10">
        <v>0.121</v>
      </c>
      <c r="BK69" s="10">
        <v>0.15</v>
      </c>
      <c r="BL69" s="10">
        <v>0.20100000000000001</v>
      </c>
      <c r="BM69" s="10">
        <v>0.112</v>
      </c>
      <c r="BN69" s="10">
        <v>0.14399999999999999</v>
      </c>
      <c r="BO69" s="10">
        <v>0.127</v>
      </c>
      <c r="BP69" s="10">
        <v>0.10100000000000001</v>
      </c>
      <c r="BQ69" s="10">
        <v>0.152</v>
      </c>
      <c r="BR69" s="10">
        <v>0.153</v>
      </c>
      <c r="BS69" s="10">
        <v>0.14799999999999999</v>
      </c>
      <c r="BT69" s="7">
        <v>0.21</v>
      </c>
      <c r="BU69" s="3">
        <v>0.17199999999999999</v>
      </c>
      <c r="BV69" s="3">
        <v>9.7000000000000003E-2</v>
      </c>
      <c r="BW69" s="3">
        <v>0.20699999999999999</v>
      </c>
      <c r="BX69" s="3">
        <v>0.17799999999999999</v>
      </c>
      <c r="BY69" s="3">
        <v>0.20699999999999999</v>
      </c>
      <c r="BZ69" s="4">
        <v>0.14000000000000001</v>
      </c>
      <c r="CA69" s="4">
        <v>0.113</v>
      </c>
      <c r="CB69" s="4">
        <v>0.112</v>
      </c>
      <c r="CC69" s="4">
        <v>0.14799999999999999</v>
      </c>
      <c r="CD69" s="4">
        <v>0.127</v>
      </c>
      <c r="CE69" s="4">
        <v>0.14099999999999999</v>
      </c>
      <c r="CF69" s="4">
        <v>0.129</v>
      </c>
      <c r="CG69" s="4">
        <v>0.13100000000000001</v>
      </c>
      <c r="CH69" s="4">
        <v>0.14299999999999999</v>
      </c>
      <c r="CI69" s="4">
        <v>0.17</v>
      </c>
      <c r="CJ69" s="4">
        <v>0.124</v>
      </c>
      <c r="CK69" s="4">
        <v>0.153</v>
      </c>
      <c r="CL69" s="4">
        <v>0.161</v>
      </c>
      <c r="CM69" s="4">
        <v>0.13100000000000001</v>
      </c>
      <c r="CN69" s="4">
        <v>0.21299999999999999</v>
      </c>
      <c r="CO69" s="4">
        <v>0.16500000000000001</v>
      </c>
      <c r="CP69" s="4">
        <v>0.16</v>
      </c>
      <c r="CQ69" s="4">
        <v>0.13900000000000001</v>
      </c>
      <c r="CR69" s="4">
        <v>0.184</v>
      </c>
      <c r="CS69" s="4">
        <v>0.20100000000000001</v>
      </c>
      <c r="CT69" s="4">
        <v>0.159</v>
      </c>
      <c r="CU69" s="4">
        <v>0.19700000000000001</v>
      </c>
      <c r="CV69" s="4">
        <v>0.182</v>
      </c>
      <c r="CW69" s="4">
        <v>0.125</v>
      </c>
      <c r="CX69" s="4">
        <v>0.153</v>
      </c>
      <c r="CY69" s="4">
        <v>0.23899999999999999</v>
      </c>
      <c r="CZ69" s="4">
        <v>0.24</v>
      </c>
      <c r="DA69" s="4">
        <v>0.314</v>
      </c>
      <c r="DB69" s="4">
        <v>0.153</v>
      </c>
      <c r="DC69" s="4">
        <v>0.13</v>
      </c>
      <c r="DD69" s="4">
        <v>8.5999999999999993E-2</v>
      </c>
      <c r="DE69" s="4">
        <v>9.5000000000000001E-2</v>
      </c>
      <c r="DF69" s="4">
        <v>0.108</v>
      </c>
      <c r="DG69" s="4">
        <v>6.7000000000000004E-2</v>
      </c>
      <c r="DH69" s="4">
        <v>7.3999999999999996E-2</v>
      </c>
      <c r="DI69" s="4">
        <v>0.17599999999999999</v>
      </c>
      <c r="DJ69" s="4">
        <v>0.189</v>
      </c>
      <c r="DK69" s="8">
        <v>0.183</v>
      </c>
      <c r="DL69" s="8">
        <v>0.17799999999999999</v>
      </c>
      <c r="DM69" s="4">
        <v>0.22</v>
      </c>
      <c r="DN69" s="4">
        <v>0.24399999999999999</v>
      </c>
      <c r="DO69" s="4">
        <v>0.185</v>
      </c>
      <c r="DP69" s="8">
        <v>0.26400000000000001</v>
      </c>
      <c r="DQ69" s="4">
        <v>0.115</v>
      </c>
      <c r="DR69" s="8">
        <v>0.20499999999999999</v>
      </c>
      <c r="DS69" s="4">
        <v>8.7999999999999995E-2</v>
      </c>
      <c r="DT69" s="10">
        <v>7.0999999999999994E-2</v>
      </c>
      <c r="DU69" s="4">
        <v>0.11799999999999999</v>
      </c>
      <c r="DV69" s="4">
        <v>0.187</v>
      </c>
      <c r="DW69" s="4">
        <v>0.22800000000000001</v>
      </c>
      <c r="DX69" s="4">
        <v>0.108</v>
      </c>
      <c r="DY69" s="4">
        <v>0.29099999999999998</v>
      </c>
      <c r="DZ69" s="4">
        <v>0.34399999999999997</v>
      </c>
      <c r="EA69" s="4">
        <v>0.32500000000000001</v>
      </c>
      <c r="EB69" s="4">
        <v>0.24199999999999999</v>
      </c>
      <c r="EC69" s="4">
        <v>0.23599999999999999</v>
      </c>
      <c r="ED69" s="4">
        <v>0.33500000000000002</v>
      </c>
      <c r="EE69" s="4">
        <v>0.32</v>
      </c>
      <c r="EF69" s="4">
        <v>0.28799999999999998</v>
      </c>
      <c r="EG69" s="4">
        <v>0.3</v>
      </c>
      <c r="EH69" s="4">
        <v>0.193</v>
      </c>
      <c r="EI69" s="4">
        <v>0.185</v>
      </c>
      <c r="EJ69" s="4">
        <v>0.20300000000000001</v>
      </c>
      <c r="EK69" s="4">
        <v>0.157</v>
      </c>
      <c r="EL69" s="4">
        <v>0.23200000000000001</v>
      </c>
      <c r="EM69" s="4">
        <v>0.2</v>
      </c>
      <c r="EN69" s="4">
        <v>0.188</v>
      </c>
      <c r="EO69" s="4">
        <v>0.27300000000000002</v>
      </c>
      <c r="EP69" s="4">
        <v>0.27600000000000002</v>
      </c>
      <c r="EQ69" s="8">
        <v>0.27100000000000002</v>
      </c>
      <c r="ER69" s="4">
        <v>0.35</v>
      </c>
      <c r="ES69" s="4">
        <v>0.183</v>
      </c>
      <c r="ET69" s="4">
        <v>0.113</v>
      </c>
      <c r="EU69" s="4">
        <v>0.45500000000000002</v>
      </c>
      <c r="EV69" s="4">
        <v>0.28699999999999998</v>
      </c>
      <c r="EW69" s="4">
        <v>0.222</v>
      </c>
      <c r="EX69" s="4">
        <v>0.29099999999999998</v>
      </c>
      <c r="EY69" s="4">
        <v>0.36199999999999999</v>
      </c>
      <c r="EZ69" s="4">
        <v>0.247</v>
      </c>
      <c r="FA69" s="8">
        <v>0.23799999999999999</v>
      </c>
      <c r="FB69" s="4">
        <v>0.189</v>
      </c>
      <c r="FC69" s="4">
        <v>0.11700000000000001</v>
      </c>
      <c r="FD69" s="4">
        <v>0.215</v>
      </c>
      <c r="FE69" s="4">
        <v>0.18099999999999999</v>
      </c>
      <c r="FF69" s="4">
        <v>0.115</v>
      </c>
      <c r="FG69" s="4"/>
      <c r="FH69" s="4"/>
      <c r="FI69" s="4"/>
      <c r="FJ69" s="4"/>
      <c r="FK69" s="4"/>
      <c r="FL69" s="4"/>
    </row>
    <row r="70" spans="1:168" x14ac:dyDescent="0.3">
      <c r="A70" t="s">
        <v>241</v>
      </c>
      <c r="B70" s="3">
        <f t="shared" ref="B70:BM70" si="212">(B66-B44)/B44</f>
        <v>1.8666666666666669</v>
      </c>
      <c r="C70" s="3">
        <f t="shared" si="212"/>
        <v>1.0604026845637584</v>
      </c>
      <c r="D70" s="3">
        <f t="shared" si="212"/>
        <v>1.0256410256410258</v>
      </c>
      <c r="E70" s="3">
        <f t="shared" si="212"/>
        <v>1.943089430894309</v>
      </c>
      <c r="F70" s="3">
        <f t="shared" si="212"/>
        <v>1.3984375</v>
      </c>
      <c r="G70" s="3">
        <f t="shared" si="212"/>
        <v>1.7692307692307694</v>
      </c>
      <c r="H70" s="3">
        <f t="shared" si="212"/>
        <v>5.9705882352941169</v>
      </c>
      <c r="I70" s="3">
        <f t="shared" si="212"/>
        <v>0.40322580645161299</v>
      </c>
      <c r="J70" s="3">
        <f t="shared" si="212"/>
        <v>2.1788079470198674</v>
      </c>
      <c r="K70" s="3">
        <f t="shared" si="212"/>
        <v>-9.5846645367412223E-3</v>
      </c>
      <c r="L70" s="3">
        <f t="shared" si="212"/>
        <v>0.2055555555555556</v>
      </c>
      <c r="M70" s="3">
        <f t="shared" si="212"/>
        <v>1.429824561403509</v>
      </c>
      <c r="N70" s="3">
        <f t="shared" si="212"/>
        <v>0.16666666666666669</v>
      </c>
      <c r="O70" s="3">
        <f t="shared" si="212"/>
        <v>0.52857142857142869</v>
      </c>
      <c r="P70" s="3">
        <f t="shared" si="212"/>
        <v>0.12499999999999997</v>
      </c>
      <c r="Q70" s="3">
        <f t="shared" si="212"/>
        <v>2.2767075306479881E-2</v>
      </c>
      <c r="R70" s="3">
        <f t="shared" si="212"/>
        <v>1.8846153846153848</v>
      </c>
      <c r="S70" s="3">
        <f t="shared" si="212"/>
        <v>0.68776371308016893</v>
      </c>
      <c r="T70" s="3">
        <f t="shared" si="212"/>
        <v>0.31578947368421051</v>
      </c>
      <c r="U70" s="3">
        <f t="shared" si="212"/>
        <v>0.15309446254071657</v>
      </c>
      <c r="V70" s="3">
        <f t="shared" si="212"/>
        <v>5.25</v>
      </c>
      <c r="W70" s="3">
        <f t="shared" si="212"/>
        <v>1.7948717948717949</v>
      </c>
      <c r="X70" s="3">
        <f t="shared" si="212"/>
        <v>0.69111969111969107</v>
      </c>
      <c r="Y70" s="3">
        <f t="shared" si="212"/>
        <v>2.6960784313725492</v>
      </c>
      <c r="Z70" s="3">
        <f t="shared" si="212"/>
        <v>0.57541899441340771</v>
      </c>
      <c r="AA70" s="3">
        <f t="shared" si="212"/>
        <v>4.0892857142857135</v>
      </c>
      <c r="AB70" s="3">
        <f t="shared" si="212"/>
        <v>2.1897810218978121E-2</v>
      </c>
      <c r="AC70" s="3">
        <f t="shared" si="212"/>
        <v>0.85635359116022114</v>
      </c>
      <c r="AD70" s="3">
        <f t="shared" si="212"/>
        <v>0.30268199233716481</v>
      </c>
      <c r="AE70" s="3">
        <f t="shared" si="212"/>
        <v>7.0256410256410264</v>
      </c>
      <c r="AF70" s="3">
        <f t="shared" si="212"/>
        <v>2.4230769230769229</v>
      </c>
      <c r="AG70" s="3">
        <f t="shared" si="212"/>
        <v>2.1359223300970891E-2</v>
      </c>
      <c r="AH70" s="3">
        <f t="shared" si="212"/>
        <v>0.17757009345794394</v>
      </c>
      <c r="AI70" s="3">
        <f t="shared" si="212"/>
        <v>1.6207455429497582E-2</v>
      </c>
      <c r="AJ70" s="3">
        <f t="shared" si="212"/>
        <v>2.7882352941176469</v>
      </c>
      <c r="AK70" s="3">
        <f t="shared" si="212"/>
        <v>3.9411764705882351</v>
      </c>
      <c r="AL70" s="3">
        <f t="shared" si="212"/>
        <v>3.7837837837837838</v>
      </c>
      <c r="AM70" s="3">
        <f t="shared" si="212"/>
        <v>0.48888888888888904</v>
      </c>
      <c r="AN70" s="3">
        <f t="shared" si="212"/>
        <v>0.45209580838323343</v>
      </c>
      <c r="AO70" s="3">
        <f t="shared" si="212"/>
        <v>0.31890660592255116</v>
      </c>
      <c r="AP70" s="3">
        <f t="shared" si="212"/>
        <v>-4.914004914004782E-3</v>
      </c>
      <c r="AQ70" s="3">
        <f t="shared" si="212"/>
        <v>0.1275964391691394</v>
      </c>
      <c r="AR70" s="3">
        <f t="shared" si="212"/>
        <v>1.0033444816053521E-2</v>
      </c>
      <c r="AS70" s="3">
        <f t="shared" si="212"/>
        <v>2.4583333333333335</v>
      </c>
      <c r="AT70" s="3">
        <f t="shared" si="212"/>
        <v>-0.51807228915662651</v>
      </c>
      <c r="AU70" s="3">
        <f t="shared" si="212"/>
        <v>1.3938053097345136</v>
      </c>
      <c r="AV70" s="3">
        <f t="shared" si="212"/>
        <v>0.22314049586776857</v>
      </c>
      <c r="AW70" s="3">
        <f t="shared" si="212"/>
        <v>0.1333333333333333</v>
      </c>
      <c r="AX70" s="3">
        <f t="shared" si="212"/>
        <v>0.5517241379310347</v>
      </c>
      <c r="AY70" s="3">
        <f t="shared" si="212"/>
        <v>0.39705882352941169</v>
      </c>
      <c r="AZ70" s="3">
        <f t="shared" si="212"/>
        <v>0.10924369747899169</v>
      </c>
      <c r="BA70" s="3">
        <f t="shared" si="212"/>
        <v>7.0052539404553485E-2</v>
      </c>
      <c r="BB70" s="3">
        <f t="shared" si="212"/>
        <v>-0.32112068965517243</v>
      </c>
      <c r="BC70" s="9">
        <f t="shared" si="212"/>
        <v>3.6495726495726499</v>
      </c>
      <c r="BD70" s="9">
        <f t="shared" si="212"/>
        <v>12.941176470588232</v>
      </c>
      <c r="BE70" s="3">
        <f t="shared" si="212"/>
        <v>0.11976047904191628</v>
      </c>
      <c r="BF70" s="3">
        <f t="shared" si="212"/>
        <v>1.7307692307692308</v>
      </c>
      <c r="BG70" s="3">
        <f t="shared" si="212"/>
        <v>0.10789980732177251</v>
      </c>
      <c r="BH70" s="3">
        <f t="shared" si="212"/>
        <v>0.23404255319148942</v>
      </c>
      <c r="BI70" s="3">
        <f t="shared" si="212"/>
        <v>0.21052631578947373</v>
      </c>
      <c r="BJ70" s="3">
        <f t="shared" si="212"/>
        <v>-0.72333333333333327</v>
      </c>
      <c r="BK70" s="3">
        <f t="shared" si="212"/>
        <v>0.57485029940119758</v>
      </c>
      <c r="BL70" s="3">
        <f t="shared" si="212"/>
        <v>0.56973293768545996</v>
      </c>
      <c r="BM70" s="3">
        <f t="shared" si="212"/>
        <v>3.9267015706806317E-2</v>
      </c>
      <c r="BN70" s="3">
        <f t="shared" ref="BN70:DY70" si="213">(BN66-BN44)/BN44</f>
        <v>1.9384615384615385</v>
      </c>
      <c r="BO70" s="3">
        <f t="shared" si="213"/>
        <v>3.1875000000000004</v>
      </c>
      <c r="BP70" s="3">
        <f t="shared" si="213"/>
        <v>1.1968503937007875</v>
      </c>
      <c r="BQ70" s="3">
        <f t="shared" si="213"/>
        <v>0.6387832699619771</v>
      </c>
      <c r="BR70" s="3">
        <f t="shared" si="213"/>
        <v>0.89732142857142849</v>
      </c>
      <c r="BS70" s="3">
        <f t="shared" si="213"/>
        <v>1.3048128342245988</v>
      </c>
      <c r="BT70" s="7">
        <f t="shared" si="213"/>
        <v>-5.7057057057057103E-2</v>
      </c>
      <c r="BU70" s="3">
        <f t="shared" si="213"/>
        <v>0.30654761904761896</v>
      </c>
      <c r="BV70" s="3">
        <f t="shared" si="213"/>
        <v>-3.1847133757961811E-3</v>
      </c>
      <c r="BW70" s="3">
        <f t="shared" si="213"/>
        <v>3.4883720930232585E-2</v>
      </c>
      <c r="BX70" s="3">
        <f t="shared" si="213"/>
        <v>0.26160337552742619</v>
      </c>
      <c r="BY70" s="3">
        <f t="shared" si="213"/>
        <v>5.6782334384858094E-2</v>
      </c>
      <c r="BZ70" s="3">
        <f t="shared" si="213"/>
        <v>1.773049645390071</v>
      </c>
      <c r="CA70" s="3">
        <f t="shared" si="213"/>
        <v>3.1860465116279073</v>
      </c>
      <c r="CB70" s="3">
        <f t="shared" si="213"/>
        <v>3.2253521126760565</v>
      </c>
      <c r="CC70" s="3">
        <f t="shared" si="213"/>
        <v>2.017094017094017</v>
      </c>
      <c r="CD70" s="3">
        <f t="shared" si="213"/>
        <v>1.671232876712329</v>
      </c>
      <c r="CE70" s="3">
        <f t="shared" si="213"/>
        <v>1.3200000000000003</v>
      </c>
      <c r="CF70" s="3">
        <f t="shared" si="213"/>
        <v>2.043010752688172</v>
      </c>
      <c r="CG70" s="3">
        <f t="shared" si="213"/>
        <v>1.5922330097087383</v>
      </c>
      <c r="CH70" s="3">
        <f t="shared" si="213"/>
        <v>2.1025641025641022</v>
      </c>
      <c r="CI70" s="3">
        <f t="shared" si="213"/>
        <v>2.6821705426356588</v>
      </c>
      <c r="CJ70" s="3">
        <f t="shared" si="213"/>
        <v>3.6296296296296298</v>
      </c>
      <c r="CK70" s="3">
        <f t="shared" si="213"/>
        <v>1.5380116959064327</v>
      </c>
      <c r="CL70" s="3">
        <f t="shared" si="213"/>
        <v>1.466666666666667</v>
      </c>
      <c r="CM70" s="3">
        <f t="shared" si="213"/>
        <v>1.8211920529801326</v>
      </c>
      <c r="CN70" s="3">
        <f t="shared" si="213"/>
        <v>1.1829268292682928</v>
      </c>
      <c r="CO70" s="3">
        <f t="shared" si="213"/>
        <v>1.9432624113475181</v>
      </c>
      <c r="CP70" s="3">
        <f t="shared" si="213"/>
        <v>1.703125</v>
      </c>
      <c r="CQ70" s="3">
        <f t="shared" si="213"/>
        <v>0.90776699029126229</v>
      </c>
      <c r="CR70" s="3">
        <f t="shared" si="213"/>
        <v>0.97222222222222221</v>
      </c>
      <c r="CS70" s="3">
        <f t="shared" si="213"/>
        <v>0.87022900763358768</v>
      </c>
      <c r="CT70" s="3">
        <f t="shared" si="213"/>
        <v>2.0000000000000004</v>
      </c>
      <c r="CU70" s="3">
        <f t="shared" si="213"/>
        <v>1.4679802955665022</v>
      </c>
      <c r="CV70" s="3">
        <f t="shared" si="213"/>
        <v>0.12608695652173912</v>
      </c>
      <c r="CW70" s="3">
        <f t="shared" si="213"/>
        <v>0.94594594594594594</v>
      </c>
      <c r="CX70" s="3">
        <f t="shared" si="213"/>
        <v>0.81896551724137912</v>
      </c>
      <c r="CY70" s="3">
        <f t="shared" si="213"/>
        <v>0.19767441860465121</v>
      </c>
      <c r="CZ70" s="3">
        <f t="shared" si="213"/>
        <v>0.26851851851851866</v>
      </c>
      <c r="DA70" s="3">
        <f t="shared" si="213"/>
        <v>7.7551020408163335E-2</v>
      </c>
      <c r="DB70" s="3">
        <f t="shared" si="213"/>
        <v>0.25059665871121728</v>
      </c>
      <c r="DC70" s="3">
        <f t="shared" si="213"/>
        <v>0.31188118811881188</v>
      </c>
      <c r="DD70" s="3">
        <f t="shared" si="213"/>
        <v>0.58045977011494276</v>
      </c>
      <c r="DE70" s="3">
        <f t="shared" si="213"/>
        <v>0.20600858369098718</v>
      </c>
      <c r="DF70" s="3">
        <f t="shared" si="213"/>
        <v>0.69014084507042261</v>
      </c>
      <c r="DG70" s="3">
        <f t="shared" si="213"/>
        <v>2.354838709677419</v>
      </c>
      <c r="DH70" s="3">
        <f t="shared" si="213"/>
        <v>10.18181818181818</v>
      </c>
      <c r="DI70" s="3">
        <f t="shared" si="213"/>
        <v>0.1862464183381089</v>
      </c>
      <c r="DJ70" s="3">
        <f t="shared" si="213"/>
        <v>0.14480874316939887</v>
      </c>
      <c r="DK70" s="9">
        <f t="shared" si="213"/>
        <v>7.1782178217821707E-2</v>
      </c>
      <c r="DL70" s="9">
        <f t="shared" si="213"/>
        <v>0.40408163265306113</v>
      </c>
      <c r="DM70" s="3">
        <f t="shared" si="213"/>
        <v>0.2318339100346021</v>
      </c>
      <c r="DN70" s="3">
        <f t="shared" si="213"/>
        <v>0.26229508196721313</v>
      </c>
      <c r="DO70" s="3">
        <f t="shared" si="213"/>
        <v>2.329450915141433E-2</v>
      </c>
      <c r="DP70" s="9">
        <f t="shared" si="213"/>
        <v>0.35162601626016271</v>
      </c>
      <c r="DQ70" s="3">
        <f t="shared" si="213"/>
        <v>-8.9552238805970224E-3</v>
      </c>
      <c r="DR70" s="9">
        <f t="shared" si="213"/>
        <v>-1.2158054711246211E-2</v>
      </c>
      <c r="DS70" s="3">
        <f t="shared" si="213"/>
        <v>4.3879907621247154E-2</v>
      </c>
      <c r="DT70" s="7">
        <f t="shared" si="213"/>
        <v>0.34959349593495936</v>
      </c>
      <c r="DU70" s="3">
        <f t="shared" si="213"/>
        <v>0.93464052287581689</v>
      </c>
      <c r="DV70" s="3">
        <f t="shared" si="213"/>
        <v>0.10045662100456618</v>
      </c>
      <c r="DW70" s="3">
        <f t="shared" si="213"/>
        <v>0.21962616822429915</v>
      </c>
      <c r="DX70" s="3">
        <f t="shared" si="213"/>
        <v>6.5371024734982394E-2</v>
      </c>
      <c r="DY70" s="3">
        <f t="shared" si="213"/>
        <v>0.40293040293040283</v>
      </c>
      <c r="DZ70" s="3">
        <f t="shared" ref="DZ70:EX70" si="214">(DZ66-DZ44)/DZ44</f>
        <v>0.15311004784688992</v>
      </c>
      <c r="EA70" s="3">
        <f t="shared" si="214"/>
        <v>0.15972222222222238</v>
      </c>
      <c r="EB70" s="3">
        <f t="shared" si="214"/>
        <v>0.50116550116550118</v>
      </c>
      <c r="EC70" s="3">
        <f t="shared" si="214"/>
        <v>0.32929782082324471</v>
      </c>
      <c r="ED70" s="3">
        <f t="shared" si="214"/>
        <v>0.1725293132328308</v>
      </c>
      <c r="EE70" s="3">
        <f t="shared" si="214"/>
        <v>0.26032315978455994</v>
      </c>
      <c r="EF70" s="3">
        <f t="shared" si="214"/>
        <v>1.208955223880597</v>
      </c>
      <c r="EG70" s="3">
        <f t="shared" si="214"/>
        <v>0.73284313725490202</v>
      </c>
      <c r="EH70" s="3">
        <f t="shared" si="214"/>
        <v>8.3044982698962017E-2</v>
      </c>
      <c r="EI70" s="3">
        <f t="shared" si="214"/>
        <v>3.1007751937984523E-2</v>
      </c>
      <c r="EJ70" s="3">
        <f t="shared" si="214"/>
        <v>0.19776119402985071</v>
      </c>
      <c r="EK70" s="3">
        <f t="shared" si="214"/>
        <v>0.31794871794871793</v>
      </c>
      <c r="EL70" s="3">
        <f t="shared" si="214"/>
        <v>0.33003300330033014</v>
      </c>
      <c r="EM70" s="3">
        <f t="shared" si="214"/>
        <v>0.16891891891891889</v>
      </c>
      <c r="EN70" s="3">
        <f t="shared" si="214"/>
        <v>0.1901140684410646</v>
      </c>
      <c r="EO70" s="3">
        <f t="shared" si="214"/>
        <v>0.85031847133757954</v>
      </c>
      <c r="EP70" s="3">
        <f t="shared" si="214"/>
        <v>0.35</v>
      </c>
      <c r="EQ70" s="9">
        <f t="shared" si="214"/>
        <v>0.41176470588235303</v>
      </c>
      <c r="ER70" s="3">
        <f t="shared" si="214"/>
        <v>0.30289532293986626</v>
      </c>
      <c r="ES70" s="3">
        <f t="shared" si="214"/>
        <v>0.99186991869918695</v>
      </c>
      <c r="ET70" s="3">
        <f t="shared" si="214"/>
        <v>0.76923076923076927</v>
      </c>
      <c r="EU70" s="3">
        <f t="shared" si="214"/>
        <v>-1.2232415902140683E-2</v>
      </c>
      <c r="EV70" s="3">
        <f t="shared" si="214"/>
        <v>3.6717062634989112E-2</v>
      </c>
      <c r="EW70" s="3">
        <f t="shared" si="214"/>
        <v>0.13279132791327911</v>
      </c>
      <c r="EX70" s="3">
        <f t="shared" si="214"/>
        <v>1.9354838709677438E-2</v>
      </c>
      <c r="EY70" s="3">
        <f>(EY66-EY44)/EY44</f>
        <v>2.1398002853067068E-2</v>
      </c>
      <c r="EZ70" s="3">
        <f>(EZ66-EZ44)/EZ44</f>
        <v>0.33574007220216595</v>
      </c>
      <c r="FA70" s="9">
        <f>(FA66-FA44)/FA44</f>
        <v>0.21712538226299696</v>
      </c>
      <c r="FB70" s="7">
        <f>(FB66-FB44)/FB44</f>
        <v>0.66976744186046511</v>
      </c>
      <c r="FC70" s="7">
        <f>(FC66-FC44)/FC44</f>
        <v>0.63698630136986301</v>
      </c>
      <c r="FD70" s="7">
        <f>(FD66-FD44)/FD44</f>
        <v>0.28030303030303033</v>
      </c>
      <c r="FE70" s="7">
        <f>(FE66-FE44)/FE44</f>
        <v>0.41293532338308436</v>
      </c>
      <c r="FF70" s="7">
        <f>(FF66-FF44)/FF44</f>
        <v>0.75000000000000011</v>
      </c>
      <c r="FG70" s="4"/>
      <c r="FH70" s="4"/>
      <c r="FI70" s="4"/>
      <c r="FJ70" s="4"/>
      <c r="FK70" s="4"/>
      <c r="FL70" s="4"/>
    </row>
    <row r="71" spans="1:168" x14ac:dyDescent="0.3">
      <c r="A71" t="s">
        <v>224</v>
      </c>
      <c r="B71" s="3">
        <f t="shared" ref="B71:BM71" si="215">(B67-B45)/B45</f>
        <v>1.7675438596491229</v>
      </c>
      <c r="C71" s="3">
        <f t="shared" si="215"/>
        <v>0.69000000000000006</v>
      </c>
      <c r="D71" s="3">
        <f t="shared" si="215"/>
        <v>1.2022058823529409</v>
      </c>
      <c r="E71" s="3">
        <f t="shared" si="215"/>
        <v>1.2888888888888888</v>
      </c>
      <c r="F71" s="3">
        <f t="shared" si="215"/>
        <v>1.1856060606060603</v>
      </c>
      <c r="G71" s="3">
        <f t="shared" si="215"/>
        <v>1.4307692307692308</v>
      </c>
      <c r="H71" s="3">
        <f t="shared" si="215"/>
        <v>2.1796407185628741</v>
      </c>
      <c r="I71" s="3">
        <f t="shared" si="215"/>
        <v>4.0350877192982498E-2</v>
      </c>
      <c r="J71" s="3">
        <f t="shared" si="215"/>
        <v>1.5773195876288661</v>
      </c>
      <c r="K71" s="3">
        <f t="shared" si="215"/>
        <v>-6.5244667503136816E-2</v>
      </c>
      <c r="L71" s="3">
        <f t="shared" si="215"/>
        <v>4.183535762483135E-2</v>
      </c>
      <c r="M71" s="3">
        <f t="shared" si="215"/>
        <v>6.8148148148148041E-2</v>
      </c>
      <c r="N71" s="3">
        <f t="shared" si="215"/>
        <v>-0.46362515413070288</v>
      </c>
      <c r="O71" s="3">
        <f t="shared" si="215"/>
        <v>-0.37042253521126756</v>
      </c>
      <c r="P71" s="3">
        <f t="shared" si="215"/>
        <v>-0.29537767756482525</v>
      </c>
      <c r="Q71" s="3">
        <f t="shared" si="215"/>
        <v>-0.20538720538720545</v>
      </c>
      <c r="R71" s="3">
        <f t="shared" si="215"/>
        <v>3.0099502487562186</v>
      </c>
      <c r="S71" s="3">
        <f t="shared" si="215"/>
        <v>0.2832764505119455</v>
      </c>
      <c r="T71" s="3">
        <f t="shared" si="215"/>
        <v>6.3576158940397406E-2</v>
      </c>
      <c r="U71" s="3">
        <f t="shared" si="215"/>
        <v>0.11958146487294463</v>
      </c>
      <c r="V71" s="3">
        <f t="shared" si="215"/>
        <v>1.0038167938931297</v>
      </c>
      <c r="W71" s="3">
        <f t="shared" si="215"/>
        <v>0.39328537170263783</v>
      </c>
      <c r="X71" s="3">
        <f t="shared" si="215"/>
        <v>0.61310782241014805</v>
      </c>
      <c r="Y71" s="3">
        <f t="shared" si="215"/>
        <v>0.49006622516556297</v>
      </c>
      <c r="Z71" s="3">
        <f t="shared" si="215"/>
        <v>6.6964285714285643E-2</v>
      </c>
      <c r="AA71" s="3">
        <f t="shared" si="215"/>
        <v>0.8672086720867207</v>
      </c>
      <c r="AB71" s="3">
        <f t="shared" si="215"/>
        <v>1.3941368078175895</v>
      </c>
      <c r="AC71" s="3">
        <f t="shared" si="215"/>
        <v>0.74064837905236891</v>
      </c>
      <c r="AD71" s="3">
        <f t="shared" si="215"/>
        <v>0.38369781312127227</v>
      </c>
      <c r="AE71" s="3">
        <f t="shared" si="215"/>
        <v>1.7211895910780668</v>
      </c>
      <c r="AF71" s="3">
        <f t="shared" si="215"/>
        <v>6.35</v>
      </c>
      <c r="AG71" s="3">
        <f t="shared" si="215"/>
        <v>-5.6939501779359351E-2</v>
      </c>
      <c r="AH71" s="3">
        <f t="shared" si="215"/>
        <v>-6.959706959706953E-2</v>
      </c>
      <c r="AI71" s="3">
        <f t="shared" si="215"/>
        <v>-7.4324324324324384E-2</v>
      </c>
      <c r="AJ71" s="3">
        <f t="shared" si="215"/>
        <v>0.8020565552699227</v>
      </c>
      <c r="AK71" s="3">
        <f t="shared" si="215"/>
        <v>0.8245125348189416</v>
      </c>
      <c r="AL71" s="3">
        <f t="shared" si="215"/>
        <v>1.188449848024316</v>
      </c>
      <c r="AM71" s="3">
        <f t="shared" si="215"/>
        <v>0.50890585241730268</v>
      </c>
      <c r="AN71" s="3">
        <f t="shared" si="215"/>
        <v>0.3567467652495378</v>
      </c>
      <c r="AO71" s="3">
        <f t="shared" si="215"/>
        <v>0.24347826086956528</v>
      </c>
      <c r="AP71" s="3">
        <f t="shared" si="215"/>
        <v>-0.15102481121898598</v>
      </c>
      <c r="AQ71" s="3">
        <f t="shared" si="215"/>
        <v>-8.0291970802919652E-2</v>
      </c>
      <c r="AR71" s="3">
        <f t="shared" si="215"/>
        <v>-0.12027491408934705</v>
      </c>
      <c r="AS71" s="3">
        <f t="shared" si="215"/>
        <v>0.13036565977742443</v>
      </c>
      <c r="AT71" s="3">
        <f t="shared" si="215"/>
        <v>-0.87980769230769229</v>
      </c>
      <c r="AU71" s="3">
        <f t="shared" si="215"/>
        <v>0.31351351351351336</v>
      </c>
      <c r="AV71" s="3">
        <f t="shared" si="215"/>
        <v>-8.216783216783205E-2</v>
      </c>
      <c r="AW71" s="3">
        <f t="shared" si="215"/>
        <v>-0.34355828220858897</v>
      </c>
      <c r="AX71" s="3">
        <f t="shared" si="215"/>
        <v>-0.12121212121212113</v>
      </c>
      <c r="AY71" s="3">
        <f t="shared" si="215"/>
        <v>-3.8142620232172506E-2</v>
      </c>
      <c r="AZ71" s="3">
        <f t="shared" si="215"/>
        <v>-0.14536741214057503</v>
      </c>
      <c r="BA71" s="3">
        <f t="shared" si="215"/>
        <v>-0.14320388349514562</v>
      </c>
      <c r="BB71" s="3">
        <f t="shared" si="215"/>
        <v>-0.13436692506459946</v>
      </c>
      <c r="BC71" s="9">
        <f t="shared" si="215"/>
        <v>0.77044025157232687</v>
      </c>
      <c r="BD71" s="9">
        <f t="shared" si="215"/>
        <v>1.2768595041322317</v>
      </c>
      <c r="BE71" s="3">
        <f t="shared" si="215"/>
        <v>-0.1120797011207971</v>
      </c>
      <c r="BF71" s="3">
        <f t="shared" si="215"/>
        <v>1.3254901960784313</v>
      </c>
      <c r="BG71" s="3">
        <f t="shared" si="215"/>
        <v>-0.53567625133120333</v>
      </c>
      <c r="BH71" s="3">
        <f t="shared" si="215"/>
        <v>-4.2592592592592626E-2</v>
      </c>
      <c r="BI71" s="3">
        <f t="shared" si="215"/>
        <v>-0.43647058823529411</v>
      </c>
      <c r="BJ71" s="3">
        <f t="shared" si="215"/>
        <v>0.7</v>
      </c>
      <c r="BK71" s="3">
        <f t="shared" si="215"/>
        <v>0.3670103092783506</v>
      </c>
      <c r="BL71" s="3">
        <f t="shared" si="215"/>
        <v>0.64705882352941191</v>
      </c>
      <c r="BM71" s="3">
        <f t="shared" si="215"/>
        <v>2.4170854271356785</v>
      </c>
      <c r="BN71" s="3">
        <f t="shared" ref="BN71:DY71" si="216">(BN67-BN45)/BN45</f>
        <v>0.85498489425981861</v>
      </c>
      <c r="BO71" s="3">
        <f t="shared" si="216"/>
        <v>1.3695652173913044</v>
      </c>
      <c r="BP71" s="3">
        <f t="shared" si="216"/>
        <v>0.84155844155844139</v>
      </c>
      <c r="BQ71" s="3">
        <f t="shared" si="216"/>
        <v>0.62729124236252554</v>
      </c>
      <c r="BR71" s="3">
        <f t="shared" si="216"/>
        <v>0.79107981220657286</v>
      </c>
      <c r="BS71" s="3">
        <f t="shared" si="216"/>
        <v>1.1578947368421053</v>
      </c>
      <c r="BT71" s="7">
        <f t="shared" si="216"/>
        <v>-0.12765957446808507</v>
      </c>
      <c r="BU71" s="3">
        <f t="shared" si="216"/>
        <v>2.4420024420024442E-3</v>
      </c>
      <c r="BV71" s="3">
        <f t="shared" si="216"/>
        <v>9.2677345537757388E-2</v>
      </c>
      <c r="BW71" s="3">
        <f t="shared" si="216"/>
        <v>-0.11655011655011653</v>
      </c>
      <c r="BX71" s="3">
        <f t="shared" si="216"/>
        <v>-3.4802784222737852E-2</v>
      </c>
      <c r="BY71" s="3">
        <f t="shared" si="216"/>
        <v>-9.0330788804071319E-2</v>
      </c>
      <c r="BZ71" s="3">
        <f t="shared" si="216"/>
        <v>1.8188976377952755</v>
      </c>
      <c r="CA71" s="3">
        <f t="shared" si="216"/>
        <v>1.2917847025495754</v>
      </c>
      <c r="CB71" s="3">
        <f t="shared" si="216"/>
        <v>1.3154574132492112</v>
      </c>
      <c r="CC71" s="3">
        <f t="shared" si="216"/>
        <v>1.3509316770186335</v>
      </c>
      <c r="CD71" s="3">
        <f t="shared" si="216"/>
        <v>1.4121405750798721</v>
      </c>
      <c r="CE71" s="3">
        <f t="shared" si="216"/>
        <v>0.93990384615384637</v>
      </c>
      <c r="CF71" s="3">
        <f t="shared" si="216"/>
        <v>0.98280802292263614</v>
      </c>
      <c r="CG71" s="3">
        <f t="shared" si="216"/>
        <v>0.51048951048951052</v>
      </c>
      <c r="CH71" s="3">
        <f t="shared" si="216"/>
        <v>1.8158730158730161</v>
      </c>
      <c r="CI71" s="3">
        <f t="shared" si="216"/>
        <v>1.1295774647887324</v>
      </c>
      <c r="CJ71" s="3">
        <f t="shared" si="216"/>
        <v>-6.4766839378238392E-2</v>
      </c>
      <c r="CK71" s="3">
        <f t="shared" si="216"/>
        <v>1.2486486486486486</v>
      </c>
      <c r="CL71" s="3">
        <f t="shared" si="216"/>
        <v>1.3903133903133904</v>
      </c>
      <c r="CM71" s="3">
        <f t="shared" si="216"/>
        <v>1.3411764705882352</v>
      </c>
      <c r="CN71" s="3">
        <f t="shared" si="216"/>
        <v>1.1785714285714288</v>
      </c>
      <c r="CO71" s="3">
        <f t="shared" si="216"/>
        <v>0.79009433962264153</v>
      </c>
      <c r="CP71" s="3">
        <f t="shared" si="216"/>
        <v>2.1292775665399235</v>
      </c>
      <c r="CQ71" s="3">
        <f t="shared" si="216"/>
        <v>0.63991323210412143</v>
      </c>
      <c r="CR71" s="3">
        <f t="shared" si="216"/>
        <v>1.0325814536340852</v>
      </c>
      <c r="CS71" s="3">
        <f t="shared" si="216"/>
        <v>0.86520376175548575</v>
      </c>
      <c r="CT71" s="3">
        <f t="shared" si="216"/>
        <v>1.9539007092198581</v>
      </c>
      <c r="CU71" s="3">
        <f t="shared" si="216"/>
        <v>0.75669099756691005</v>
      </c>
      <c r="CV71" s="3">
        <f t="shared" si="216"/>
        <v>0.15799614643545271</v>
      </c>
      <c r="CW71" s="3">
        <f t="shared" si="216"/>
        <v>0.3219954648526076</v>
      </c>
      <c r="CX71" s="3">
        <f t="shared" si="216"/>
        <v>0.73793103448275865</v>
      </c>
      <c r="CY71" s="3">
        <f t="shared" si="216"/>
        <v>-1.2330456226880405E-2</v>
      </c>
      <c r="CZ71" s="3">
        <f t="shared" si="216"/>
        <v>-7.7419354838709747E-3</v>
      </c>
      <c r="DA71" s="3">
        <f t="shared" si="216"/>
        <v>-0.25958378970427159</v>
      </c>
      <c r="DB71" s="3">
        <f t="shared" si="216"/>
        <v>0.36307692307692302</v>
      </c>
      <c r="DC71" s="3">
        <f t="shared" si="216"/>
        <v>0.13295880149812725</v>
      </c>
      <c r="DD71" s="3">
        <f t="shared" si="216"/>
        <v>0.5506072874493928</v>
      </c>
      <c r="DE71" s="3">
        <f t="shared" si="216"/>
        <v>0.42701525054466233</v>
      </c>
      <c r="DF71" s="3">
        <f t="shared" si="216"/>
        <v>0.33760683760683752</v>
      </c>
      <c r="DG71" s="3">
        <f t="shared" si="216"/>
        <v>0.76086956521739113</v>
      </c>
      <c r="DH71" s="3">
        <f t="shared" si="216"/>
        <v>0.58527827648114883</v>
      </c>
      <c r="DI71" s="3">
        <f t="shared" si="216"/>
        <v>8.0357142857142752E-2</v>
      </c>
      <c r="DJ71" s="3">
        <f t="shared" si="216"/>
        <v>-0.20356234096692116</v>
      </c>
      <c r="DK71" s="9">
        <f t="shared" si="216"/>
        <v>-0.19917582417582422</v>
      </c>
      <c r="DL71" s="9">
        <f t="shared" si="216"/>
        <v>-0.43767313019390575</v>
      </c>
      <c r="DM71" s="3">
        <f t="shared" si="216"/>
        <v>-0.46658259773013877</v>
      </c>
      <c r="DN71" s="3">
        <f t="shared" si="216"/>
        <v>1.1551155115511563E-2</v>
      </c>
      <c r="DO71" s="3">
        <f t="shared" si="216"/>
        <v>-1.5056461731493111E-2</v>
      </c>
      <c r="DP71" s="9">
        <f t="shared" si="216"/>
        <v>-0.13480392156862744</v>
      </c>
      <c r="DQ71" s="3">
        <f t="shared" si="216"/>
        <v>6.8965517241379379E-2</v>
      </c>
      <c r="DR71" s="9">
        <f t="shared" si="216"/>
        <v>-0.10794044665012416</v>
      </c>
      <c r="DS71" s="3">
        <f t="shared" si="216"/>
        <v>0.2433234421364984</v>
      </c>
      <c r="DT71" s="7">
        <f t="shared" si="216"/>
        <v>0.39389312977099233</v>
      </c>
      <c r="DU71" s="3">
        <f t="shared" si="216"/>
        <v>0.4363636363636364</v>
      </c>
      <c r="DV71" s="3">
        <f t="shared" si="216"/>
        <v>-4.6296296296296337E-3</v>
      </c>
      <c r="DW71" s="3">
        <f t="shared" si="216"/>
        <v>0.12667660208643808</v>
      </c>
      <c r="DX71" s="3">
        <f t="shared" si="216"/>
        <v>0.3433070866141732</v>
      </c>
      <c r="DY71" s="3">
        <f t="shared" si="216"/>
        <v>1.0816777041942602</v>
      </c>
      <c r="DZ71" s="3">
        <f t="shared" ref="DZ71:EX71" si="217">(DZ67-DZ45)/DZ45</f>
        <v>0.3195876288659793</v>
      </c>
      <c r="EA71" s="3">
        <f t="shared" si="217"/>
        <v>8.365508365508359E-2</v>
      </c>
      <c r="EB71" s="3">
        <f t="shared" si="217"/>
        <v>0.53846153846153855</v>
      </c>
      <c r="EC71" s="3">
        <f t="shared" si="217"/>
        <v>0.27882960413080904</v>
      </c>
      <c r="ED71" s="3">
        <f t="shared" si="217"/>
        <v>0.28318584070796449</v>
      </c>
      <c r="EE71" s="3">
        <f t="shared" si="217"/>
        <v>0.42950819672131152</v>
      </c>
      <c r="EF71" s="3">
        <f t="shared" si="217"/>
        <v>0.89999999999999991</v>
      </c>
      <c r="EG71" s="3">
        <f t="shared" si="217"/>
        <v>0.63671128107074559</v>
      </c>
      <c r="EH71" s="3">
        <f t="shared" si="217"/>
        <v>-0.11780104712041881</v>
      </c>
      <c r="EI71" s="3">
        <f t="shared" si="217"/>
        <v>-0.1344307270233196</v>
      </c>
      <c r="EJ71" s="3">
        <f t="shared" si="217"/>
        <v>-0.19503105590062114</v>
      </c>
      <c r="EK71" s="3">
        <f t="shared" si="217"/>
        <v>7.7399380804953455E-2</v>
      </c>
      <c r="EL71" s="3">
        <f t="shared" si="217"/>
        <v>-2.9085872576177313E-2</v>
      </c>
      <c r="EM71" s="3">
        <f t="shared" si="217"/>
        <v>-6.7934782608695565E-2</v>
      </c>
      <c r="EN71" s="3">
        <f t="shared" si="217"/>
        <v>-0.1620603015075377</v>
      </c>
      <c r="EO71" s="3">
        <f t="shared" si="217"/>
        <v>0.25912408759124067</v>
      </c>
      <c r="EP71" s="3">
        <f t="shared" si="217"/>
        <v>-0.10692771084337359</v>
      </c>
      <c r="EQ71" s="9">
        <f t="shared" si="217"/>
        <v>0.1747088186356073</v>
      </c>
      <c r="ER71" s="3">
        <f t="shared" si="217"/>
        <v>-0.10860366713681235</v>
      </c>
      <c r="ES71" s="3">
        <f t="shared" si="217"/>
        <v>0.80428954423592502</v>
      </c>
      <c r="ET71" s="3">
        <f t="shared" si="217"/>
        <v>0.27348993288590612</v>
      </c>
      <c r="EU71" s="3">
        <f t="shared" si="217"/>
        <v>-0.17445838084378565</v>
      </c>
      <c r="EV71" s="3">
        <f t="shared" si="217"/>
        <v>-6.6167290886392061E-2</v>
      </c>
      <c r="EW71" s="3">
        <f t="shared" si="217"/>
        <v>1.2987012987012998E-3</v>
      </c>
      <c r="EX71" s="3">
        <f t="shared" si="217"/>
        <v>2.5608194622279153E-2</v>
      </c>
      <c r="EY71" s="3">
        <f t="shared" ref="EY71:EZ73" si="218">(EY67-EY45)/EY45</f>
        <v>-7.1174377224199354E-3</v>
      </c>
      <c r="EZ71" s="3">
        <f t="shared" si="218"/>
        <v>-0.1297814207650273</v>
      </c>
      <c r="FA71" s="9">
        <f t="shared" ref="FA71:FB71" si="219">(FA67-FA45)/FA45</f>
        <v>-7.4964639321074875E-2</v>
      </c>
      <c r="FB71" s="7">
        <f t="shared" si="219"/>
        <v>-1.1283497884344157E-2</v>
      </c>
      <c r="FC71" s="7">
        <f t="shared" ref="FC71:FD71" si="220">(FC67-FC45)/FC45</f>
        <v>0.57983193277310918</v>
      </c>
      <c r="FD71" s="7">
        <f t="shared" si="220"/>
        <v>-5.0535987748851499E-2</v>
      </c>
      <c r="FE71" s="7">
        <f t="shared" ref="FE71:FF71" si="221">(FE67-FE45)/FE45</f>
        <v>-2.5773195876288683E-2</v>
      </c>
      <c r="FF71" s="7">
        <f t="shared" si="221"/>
        <v>4.9516129032258061</v>
      </c>
      <c r="FG71" s="4"/>
      <c r="FH71" s="4"/>
      <c r="FI71" s="4"/>
      <c r="FJ71" s="4"/>
      <c r="FK71" s="4"/>
      <c r="FL71" s="4"/>
    </row>
    <row r="72" spans="1:168" x14ac:dyDescent="0.3">
      <c r="A72" t="s">
        <v>225</v>
      </c>
      <c r="B72" s="3">
        <f t="shared" ref="B72:BM72" si="222">(B68-B46)/B46</f>
        <v>-0.30526315789473679</v>
      </c>
      <c r="C72" s="3">
        <f t="shared" si="222"/>
        <v>-0.16190476190476191</v>
      </c>
      <c r="D72" s="3">
        <f t="shared" si="222"/>
        <v>-0.26213592233009708</v>
      </c>
      <c r="E72" s="3">
        <f t="shared" si="222"/>
        <v>-0.27619047619047621</v>
      </c>
      <c r="F72" s="3">
        <f t="shared" si="222"/>
        <v>-0.2421052631578948</v>
      </c>
      <c r="G72" s="3">
        <f t="shared" si="222"/>
        <v>-0.29473684210526313</v>
      </c>
      <c r="H72" s="3">
        <f t="shared" si="222"/>
        <v>-0.24999999999999994</v>
      </c>
      <c r="I72" s="3">
        <f t="shared" si="222"/>
        <v>-2.6666666666666693E-2</v>
      </c>
      <c r="J72" s="3">
        <f t="shared" si="222"/>
        <v>-0.40707964601769908</v>
      </c>
      <c r="K72" s="3">
        <f t="shared" si="222"/>
        <v>0.12328767123287683</v>
      </c>
      <c r="L72" s="3">
        <f t="shared" si="222"/>
        <v>-3.8095238095238002E-2</v>
      </c>
      <c r="M72" s="3">
        <f t="shared" si="222"/>
        <v>-7.6923076923076997E-2</v>
      </c>
      <c r="N72" s="3">
        <f t="shared" si="222"/>
        <v>0.72839506172839519</v>
      </c>
      <c r="O72" s="3">
        <f t="shared" si="222"/>
        <v>0.34246575342465768</v>
      </c>
      <c r="P72" s="3">
        <f t="shared" si="222"/>
        <v>0.81666666666666676</v>
      </c>
      <c r="Q72" s="3">
        <f t="shared" si="222"/>
        <v>0.64473684210526316</v>
      </c>
      <c r="R72" s="3">
        <f t="shared" si="222"/>
        <v>-0.51048951048951041</v>
      </c>
      <c r="S72" s="3">
        <f t="shared" si="222"/>
        <v>-0.23255813953488363</v>
      </c>
      <c r="T72" s="3">
        <f t="shared" si="222"/>
        <v>-9.9999999999999978E-2</v>
      </c>
      <c r="U72" s="3">
        <f t="shared" si="222"/>
        <v>-0.13095238095238107</v>
      </c>
      <c r="V72" s="3">
        <f t="shared" si="222"/>
        <v>-0.20238095238095238</v>
      </c>
      <c r="W72" s="3">
        <f t="shared" si="222"/>
        <v>-0.14285714285714285</v>
      </c>
      <c r="X72" s="3">
        <f t="shared" si="222"/>
        <v>-0.32894736842105265</v>
      </c>
      <c r="Y72" s="3">
        <f t="shared" si="222"/>
        <v>-0.23300970873786403</v>
      </c>
      <c r="Z72" s="3">
        <f t="shared" si="222"/>
        <v>-2.1052631578947385E-2</v>
      </c>
      <c r="AA72" s="3">
        <f t="shared" si="222"/>
        <v>-0.29600000000000004</v>
      </c>
      <c r="AB72" s="3">
        <f t="shared" si="222"/>
        <v>-0.38461538461538469</v>
      </c>
      <c r="AC72" s="3">
        <f t="shared" si="222"/>
        <v>-0.31496062992125989</v>
      </c>
      <c r="AD72" s="3">
        <f t="shared" si="222"/>
        <v>-9.5652173913043564E-2</v>
      </c>
      <c r="AE72" s="3">
        <f t="shared" si="222"/>
        <v>-0.39534883720930236</v>
      </c>
      <c r="AF72" s="3">
        <f t="shared" si="222"/>
        <v>-0.53086419753086422</v>
      </c>
      <c r="AG72" s="3">
        <f t="shared" si="222"/>
        <v>0.13953488372093037</v>
      </c>
      <c r="AH72" s="3">
        <f t="shared" si="222"/>
        <v>0.16853932584269662</v>
      </c>
      <c r="AI72" s="3">
        <f t="shared" si="222"/>
        <v>0.25862068965517226</v>
      </c>
      <c r="AJ72" s="3">
        <f t="shared" si="222"/>
        <v>-0.3048780487804878</v>
      </c>
      <c r="AK72" s="3">
        <f t="shared" si="222"/>
        <v>-0.27272727272727265</v>
      </c>
      <c r="AL72" s="3">
        <f t="shared" si="222"/>
        <v>-0.34883720930232553</v>
      </c>
      <c r="AM72" s="3">
        <f t="shared" si="222"/>
        <v>-0.18620689655172412</v>
      </c>
      <c r="AN72" s="3">
        <f t="shared" si="222"/>
        <v>-0.23931623931623941</v>
      </c>
      <c r="AO72" s="3">
        <f t="shared" si="222"/>
        <v>-0.32727272727272733</v>
      </c>
      <c r="AP72" s="3">
        <f t="shared" si="222"/>
        <v>0.71999999999999975</v>
      </c>
      <c r="AQ72" s="3">
        <f t="shared" si="222"/>
        <v>0.17142857142857137</v>
      </c>
      <c r="AR72" s="3">
        <f t="shared" si="222"/>
        <v>0.35555555555555557</v>
      </c>
      <c r="AS72" s="3">
        <f t="shared" si="222"/>
        <v>-0.11214953271028034</v>
      </c>
      <c r="AT72" s="3">
        <f t="shared" si="222"/>
        <v>3.8780487804878048</v>
      </c>
      <c r="AU72" s="3">
        <f t="shared" si="222"/>
        <v>-0.22399999999999998</v>
      </c>
      <c r="AV72" s="3">
        <f t="shared" si="222"/>
        <v>5.5555555555555608E-2</v>
      </c>
      <c r="AW72" s="3">
        <f t="shared" si="222"/>
        <v>0.27142857142857124</v>
      </c>
      <c r="AX72" s="3">
        <f t="shared" si="222"/>
        <v>7.9545454545454627E-2</v>
      </c>
      <c r="AY72" s="3">
        <f t="shared" si="222"/>
        <v>6.249999999999991E-2</v>
      </c>
      <c r="AZ72" s="3">
        <f t="shared" si="222"/>
        <v>0.11340206185567006</v>
      </c>
      <c r="BA72" s="3">
        <f t="shared" si="222"/>
        <v>0.29801324503311266</v>
      </c>
      <c r="BB72" s="3">
        <f t="shared" si="222"/>
        <v>0.21259842519685035</v>
      </c>
      <c r="BC72" s="9">
        <f t="shared" si="222"/>
        <v>-0.2</v>
      </c>
      <c r="BD72" s="9">
        <f t="shared" si="222"/>
        <v>-0.22627737226277381</v>
      </c>
      <c r="BE72" s="3">
        <f t="shared" si="222"/>
        <v>0.2035398230088496</v>
      </c>
      <c r="BF72" s="3">
        <f t="shared" si="222"/>
        <v>-0.25641025641025639</v>
      </c>
      <c r="BG72" s="3">
        <f t="shared" si="222"/>
        <v>2.0267857142857144</v>
      </c>
      <c r="BH72" s="3">
        <f t="shared" si="222"/>
        <v>1.5625000000000014E-2</v>
      </c>
      <c r="BI72" s="3">
        <f t="shared" si="222"/>
        <v>0.86842105263157887</v>
      </c>
      <c r="BJ72" s="3">
        <f t="shared" si="222"/>
        <v>-0.11956521739130431</v>
      </c>
      <c r="BK72" s="3">
        <f t="shared" si="222"/>
        <v>-0.2</v>
      </c>
      <c r="BL72" s="3">
        <f t="shared" si="222"/>
        <v>-0.35789473684210527</v>
      </c>
      <c r="BM72" s="3">
        <f t="shared" si="222"/>
        <v>-0.37068965517241387</v>
      </c>
      <c r="BN72" s="3">
        <f t="shared" ref="BN72:DY72" si="223">(BN68-BN46)/BN46</f>
        <v>-0.25263157894736848</v>
      </c>
      <c r="BO72" s="3">
        <f t="shared" si="223"/>
        <v>-0.17499999999999999</v>
      </c>
      <c r="BP72" s="3">
        <f t="shared" si="223"/>
        <v>-0.30588235294117655</v>
      </c>
      <c r="BQ72" s="3">
        <f t="shared" si="223"/>
        <v>-0.3728813559322034</v>
      </c>
      <c r="BR72" s="3">
        <f t="shared" si="223"/>
        <v>-0.3603603603603604</v>
      </c>
      <c r="BS72" s="3">
        <f t="shared" si="223"/>
        <v>-0.41463414634146345</v>
      </c>
      <c r="BT72" s="7">
        <f t="shared" si="223"/>
        <v>0.13999999999999999</v>
      </c>
      <c r="BU72" s="3">
        <f t="shared" si="223"/>
        <v>2.3809523809523662E-2</v>
      </c>
      <c r="BV72" s="3">
        <f t="shared" si="223"/>
        <v>-0.40243902439024393</v>
      </c>
      <c r="BW72" s="3">
        <f t="shared" si="223"/>
        <v>0.29230769230769232</v>
      </c>
      <c r="BX72" s="3">
        <f t="shared" si="223"/>
        <v>0.10447761194029839</v>
      </c>
      <c r="BY72" s="3">
        <f t="shared" si="223"/>
        <v>0.14814814814814811</v>
      </c>
      <c r="BZ72" s="3">
        <f t="shared" si="223"/>
        <v>-0.37719298245614041</v>
      </c>
      <c r="CA72" s="3">
        <f t="shared" si="223"/>
        <v>-0.45161290322580649</v>
      </c>
      <c r="CB72" s="3">
        <f t="shared" si="223"/>
        <v>-0.37234042553191493</v>
      </c>
      <c r="CC72" s="3">
        <f t="shared" si="223"/>
        <v>-0.40178571428571425</v>
      </c>
      <c r="CD72" s="3">
        <f t="shared" si="223"/>
        <v>-0.4038461538461538</v>
      </c>
      <c r="CE72" s="3">
        <f t="shared" si="223"/>
        <v>-0.42</v>
      </c>
      <c r="CF72" s="3">
        <f t="shared" si="223"/>
        <v>-0.30769230769230765</v>
      </c>
      <c r="CG72" s="3">
        <f t="shared" si="223"/>
        <v>-0.21951219512195125</v>
      </c>
      <c r="CH72" s="3">
        <f t="shared" si="223"/>
        <v>-0.59836065573770492</v>
      </c>
      <c r="CI72" s="3">
        <f t="shared" si="223"/>
        <v>-0.38135593220338981</v>
      </c>
      <c r="CJ72" s="3">
        <f t="shared" si="223"/>
        <v>1.3333333333333346E-2</v>
      </c>
      <c r="CK72" s="3">
        <f t="shared" si="223"/>
        <v>-0.48148148148148145</v>
      </c>
      <c r="CL72" s="3">
        <f t="shared" si="223"/>
        <v>-0.5</v>
      </c>
      <c r="CM72" s="3">
        <f t="shared" si="223"/>
        <v>-0.44761904761904758</v>
      </c>
      <c r="CN72" s="3">
        <f t="shared" si="223"/>
        <v>-0.4274809160305344</v>
      </c>
      <c r="CO72" s="3">
        <f t="shared" si="223"/>
        <v>-0.35106382978723405</v>
      </c>
      <c r="CP72" s="3">
        <f t="shared" si="223"/>
        <v>-0.50943396226415094</v>
      </c>
      <c r="CQ72" s="3">
        <f t="shared" si="223"/>
        <v>-0.32710280373831779</v>
      </c>
      <c r="CR72" s="3">
        <f t="shared" si="223"/>
        <v>-0.42608695652173911</v>
      </c>
      <c r="CS72" s="3">
        <f t="shared" si="223"/>
        <v>-0.22307692307692306</v>
      </c>
      <c r="CT72" s="3">
        <f t="shared" si="223"/>
        <v>-0.51533742331288346</v>
      </c>
      <c r="CU72" s="3">
        <f t="shared" si="223"/>
        <v>-0.31249999999999989</v>
      </c>
      <c r="CV72" s="3">
        <f t="shared" si="223"/>
        <v>-8.6538461538461481E-2</v>
      </c>
      <c r="CW72" s="3">
        <f t="shared" si="223"/>
        <v>-0.14285714285714285</v>
      </c>
      <c r="CX72" s="3">
        <f t="shared" si="223"/>
        <v>-0.34459459459459452</v>
      </c>
      <c r="CY72" s="3">
        <f t="shared" si="223"/>
        <v>0.18103448275862072</v>
      </c>
      <c r="CZ72" s="3">
        <f t="shared" si="223"/>
        <v>1.5503875968992262E-2</v>
      </c>
      <c r="DA72" s="3">
        <f t="shared" si="223"/>
        <v>0.92405063291139233</v>
      </c>
      <c r="DB72" s="3">
        <f t="shared" si="223"/>
        <v>-0.42857142857142849</v>
      </c>
      <c r="DC72" s="3">
        <f t="shared" si="223"/>
        <v>-7.4999999999999956E-2</v>
      </c>
      <c r="DD72" s="3">
        <f t="shared" si="223"/>
        <v>-0.31481481481481483</v>
      </c>
      <c r="DE72" s="3">
        <f t="shared" si="223"/>
        <v>-0.20000000000000004</v>
      </c>
      <c r="DF72" s="3">
        <f t="shared" si="223"/>
        <v>-0.16071428571428573</v>
      </c>
      <c r="DG72" s="3">
        <f t="shared" si="223"/>
        <v>-0.75177304964539005</v>
      </c>
      <c r="DH72" s="3">
        <f t="shared" si="223"/>
        <v>-0.48484848484848486</v>
      </c>
      <c r="DI72" s="3">
        <f t="shared" si="223"/>
        <v>-8.6614173228346428E-2</v>
      </c>
      <c r="DJ72" s="3">
        <f t="shared" si="223"/>
        <v>0.31132075471698128</v>
      </c>
      <c r="DK72" s="9">
        <f t="shared" si="223"/>
        <v>0.24087591240875911</v>
      </c>
      <c r="DL72" s="9">
        <f t="shared" si="223"/>
        <v>0.45370370370370372</v>
      </c>
      <c r="DM72" s="3">
        <f t="shared" si="223"/>
        <v>0.67289719626168221</v>
      </c>
      <c r="DN72" s="3">
        <f t="shared" si="223"/>
        <v>-4.7846889952153152E-3</v>
      </c>
      <c r="DO72" s="3">
        <f t="shared" si="223"/>
        <v>3.5294117647058691E-2</v>
      </c>
      <c r="DP72" s="9">
        <f t="shared" si="223"/>
        <v>0.26415094339622647</v>
      </c>
      <c r="DQ72" s="3">
        <f t="shared" si="223"/>
        <v>-0.20408163265306115</v>
      </c>
      <c r="DR72" s="9">
        <f t="shared" si="223"/>
        <v>0.19875776397515527</v>
      </c>
      <c r="DS72" s="3">
        <f t="shared" si="223"/>
        <v>-0.29323308270676696</v>
      </c>
      <c r="DT72" s="7">
        <f t="shared" si="223"/>
        <v>-0.5</v>
      </c>
      <c r="DU72" s="3">
        <f t="shared" si="223"/>
        <v>-0.18644067796610164</v>
      </c>
      <c r="DV72" s="3">
        <f t="shared" si="223"/>
        <v>1.2195121951219523E-2</v>
      </c>
      <c r="DW72" s="3">
        <f t="shared" si="223"/>
        <v>-0.13888888888888884</v>
      </c>
      <c r="DX72" s="3">
        <f t="shared" si="223"/>
        <v>-0.3636363636363637</v>
      </c>
      <c r="DY72" s="3">
        <f t="shared" si="223"/>
        <v>-0.67875647668393779</v>
      </c>
      <c r="DZ72" s="3">
        <f t="shared" ref="DZ72:EX72" si="224">(DZ68-DZ46)/DZ46</f>
        <v>-0.42962962962962969</v>
      </c>
      <c r="EA72" s="3">
        <f t="shared" si="224"/>
        <v>-0.15652173913043479</v>
      </c>
      <c r="EB72" s="3">
        <f t="shared" si="224"/>
        <v>-0.47517730496453897</v>
      </c>
      <c r="EC72" s="3">
        <f t="shared" si="224"/>
        <v>-0.21487603305785122</v>
      </c>
      <c r="ED72" s="3">
        <f t="shared" si="224"/>
        <v>-0.36879432624113473</v>
      </c>
      <c r="EE72" s="3">
        <f t="shared" si="224"/>
        <v>-0.42580645161290326</v>
      </c>
      <c r="EF72" s="3">
        <f t="shared" si="224"/>
        <v>-0.489247311827957</v>
      </c>
      <c r="EG72" s="3">
        <f t="shared" si="224"/>
        <v>-0.44808743169398901</v>
      </c>
      <c r="EH72" s="3">
        <f t="shared" si="224"/>
        <v>0.16417910447761186</v>
      </c>
      <c r="EI72" s="3">
        <f t="shared" si="224"/>
        <v>0.16666666666666682</v>
      </c>
      <c r="EJ72" s="3">
        <f t="shared" si="224"/>
        <v>0.3492063492063493</v>
      </c>
      <c r="EK72" s="3">
        <f t="shared" si="224"/>
        <v>-7.228915662650609E-2</v>
      </c>
      <c r="EL72" s="3">
        <f t="shared" si="224"/>
        <v>3.5294117647058691E-2</v>
      </c>
      <c r="EM72" s="3">
        <f t="shared" si="224"/>
        <v>8.9743589743589827E-2</v>
      </c>
      <c r="EN72" s="3">
        <f t="shared" si="224"/>
        <v>0.27419354838709681</v>
      </c>
      <c r="EO72" s="3">
        <f t="shared" si="224"/>
        <v>-0.17475728155339795</v>
      </c>
      <c r="EP72" s="3">
        <f t="shared" si="224"/>
        <v>0.1058823529411764</v>
      </c>
      <c r="EQ72" s="9">
        <f t="shared" si="224"/>
        <v>-0.13861386138613874</v>
      </c>
      <c r="ER72" s="3">
        <f t="shared" si="224"/>
        <v>0.12999999999999998</v>
      </c>
      <c r="ES72" s="3">
        <f t="shared" si="224"/>
        <v>-0.2807017543859649</v>
      </c>
      <c r="ET72" s="3">
        <f t="shared" si="224"/>
        <v>-0.22641509433962259</v>
      </c>
      <c r="EU72" s="3">
        <f t="shared" si="224"/>
        <v>0.50000000000000011</v>
      </c>
      <c r="EV72" s="3">
        <f t="shared" si="224"/>
        <v>0.12371134020618553</v>
      </c>
      <c r="EW72" s="3">
        <f t="shared" si="224"/>
        <v>0</v>
      </c>
      <c r="EX72" s="3">
        <f t="shared" si="224"/>
        <v>-4.5454545454545491E-2</v>
      </c>
      <c r="EY72" s="3">
        <f t="shared" si="218"/>
        <v>1.6949152542372899E-2</v>
      </c>
      <c r="EZ72" s="3">
        <f t="shared" si="218"/>
        <v>0.16666666666666663</v>
      </c>
      <c r="FA72" s="9">
        <f t="shared" ref="FA72:FB72" si="225">(FA68-FA46)/FA46</f>
        <v>9.7826086956521827E-2</v>
      </c>
      <c r="FB72" s="7">
        <f t="shared" si="225"/>
        <v>1.2987012987012998E-2</v>
      </c>
      <c r="FC72" s="7">
        <f t="shared" ref="FC72:FD72" si="226">(FC68-FC46)/FC46</f>
        <v>-0.18181818181818182</v>
      </c>
      <c r="FD72" s="7">
        <f t="shared" si="226"/>
        <v>3.7974683544303833E-2</v>
      </c>
      <c r="FE72" s="7">
        <f t="shared" ref="FE72:FF72" si="227">(FE68-FE46)/FE46</f>
        <v>1.2345679012345689E-2</v>
      </c>
      <c r="FF72" s="7">
        <f t="shared" si="227"/>
        <v>-0.45522388059701502</v>
      </c>
      <c r="FG72" s="4"/>
      <c r="FH72" s="4"/>
      <c r="FI72" s="4"/>
      <c r="FJ72" s="4"/>
      <c r="FK72" s="4"/>
      <c r="FL72" s="4"/>
    </row>
    <row r="73" spans="1:168" x14ac:dyDescent="0.3">
      <c r="A73" t="s">
        <v>226</v>
      </c>
      <c r="B73" s="3">
        <f t="shared" ref="B73:BM73" si="228">(B69-B47)/B47</f>
        <v>-0.11904761904761904</v>
      </c>
      <c r="C73" s="3">
        <f t="shared" si="228"/>
        <v>0.23913043478260868</v>
      </c>
      <c r="D73" s="3">
        <f t="shared" si="228"/>
        <v>0.12096774193548399</v>
      </c>
      <c r="E73" s="3">
        <f t="shared" si="228"/>
        <v>7.0921985815602905E-3</v>
      </c>
      <c r="F73" s="3">
        <f t="shared" si="228"/>
        <v>3.2000000000000028E-2</v>
      </c>
      <c r="G73" s="3">
        <f t="shared" si="228"/>
        <v>-3.2258064516129059E-2</v>
      </c>
      <c r="H73" s="3">
        <f t="shared" si="228"/>
        <v>-0.15596330275229359</v>
      </c>
      <c r="I73" s="3">
        <f t="shared" si="228"/>
        <v>0.85365853658536572</v>
      </c>
      <c r="J73" s="3">
        <f t="shared" si="228"/>
        <v>8.5106382978723485E-2</v>
      </c>
      <c r="K73" s="3">
        <f t="shared" si="228"/>
        <v>1.7101449275362317</v>
      </c>
      <c r="L73" s="3">
        <f t="shared" si="228"/>
        <v>2.067567567567568</v>
      </c>
      <c r="M73" s="3">
        <f t="shared" si="228"/>
        <v>0.74358974358974372</v>
      </c>
      <c r="N73" s="3">
        <f t="shared" si="228"/>
        <v>1.4545454545454548</v>
      </c>
      <c r="O73" s="3">
        <f t="shared" si="228"/>
        <v>1.7761194029850744</v>
      </c>
      <c r="P73" s="3">
        <f t="shared" si="228"/>
        <v>5.4</v>
      </c>
      <c r="Q73" s="3">
        <f t="shared" si="228"/>
        <v>8.6511627906976756</v>
      </c>
      <c r="R73" s="3">
        <f t="shared" si="228"/>
        <v>-0.27329192546583847</v>
      </c>
      <c r="S73" s="3">
        <f t="shared" si="228"/>
        <v>0.56862745098039225</v>
      </c>
      <c r="T73" s="3">
        <f t="shared" si="228"/>
        <v>0.77272727272727271</v>
      </c>
      <c r="U73" s="3">
        <f t="shared" si="228"/>
        <v>1.0348837209302326</v>
      </c>
      <c r="V73" s="3">
        <f t="shared" si="228"/>
        <v>8.4033613445378234E-3</v>
      </c>
      <c r="W73" s="3">
        <f t="shared" si="228"/>
        <v>0.30578512396694219</v>
      </c>
      <c r="X73" s="3">
        <f t="shared" si="228"/>
        <v>-0.21686746987951808</v>
      </c>
      <c r="Y73" s="3">
        <f t="shared" si="228"/>
        <v>0.1782178217821781</v>
      </c>
      <c r="Z73" s="3">
        <f t="shared" si="228"/>
        <v>0.48275862068965497</v>
      </c>
      <c r="AA73" s="3">
        <f t="shared" si="228"/>
        <v>-0.25503355704697983</v>
      </c>
      <c r="AB73" s="3">
        <f t="shared" si="228"/>
        <v>-0.40425531914893609</v>
      </c>
      <c r="AC73" s="3">
        <f t="shared" si="228"/>
        <v>-0.28057553956834536</v>
      </c>
      <c r="AD73" s="3">
        <f t="shared" si="228"/>
        <v>0.24637681159420269</v>
      </c>
      <c r="AE73" s="3">
        <f t="shared" si="228"/>
        <v>-0.43037974683544306</v>
      </c>
      <c r="AF73" s="3">
        <f t="shared" si="228"/>
        <v>-0.50310559006211175</v>
      </c>
      <c r="AG73" s="3">
        <f t="shared" si="228"/>
        <v>4.7962962962962967</v>
      </c>
      <c r="AH73" s="3">
        <f t="shared" si="228"/>
        <v>3.4999999999999996</v>
      </c>
      <c r="AI73" s="3">
        <f t="shared" si="228"/>
        <v>6.8913043478260869</v>
      </c>
      <c r="AJ73" s="3">
        <f t="shared" si="228"/>
        <v>5.9322033898305142E-2</v>
      </c>
      <c r="AK73" s="3">
        <f t="shared" si="228"/>
        <v>5.3030303030303073E-2</v>
      </c>
      <c r="AL73" s="3">
        <f t="shared" si="228"/>
        <v>-3.4782608695652202E-2</v>
      </c>
      <c r="AM73" s="3">
        <f t="shared" si="228"/>
        <v>0.42405063291139244</v>
      </c>
      <c r="AN73" s="3">
        <f t="shared" si="228"/>
        <v>0.88135593220338992</v>
      </c>
      <c r="AO73" s="3">
        <f t="shared" si="228"/>
        <v>2.2105263157894735</v>
      </c>
      <c r="AP73" s="3">
        <f t="shared" si="228"/>
        <v>3.8703703703703707</v>
      </c>
      <c r="AQ73" s="3">
        <f t="shared" si="228"/>
        <v>2.532258064516129</v>
      </c>
      <c r="AR73" s="3">
        <f t="shared" si="228"/>
        <v>2.916666666666667</v>
      </c>
      <c r="AS73" s="3">
        <f t="shared" si="228"/>
        <v>0.31111111111111095</v>
      </c>
      <c r="AT73" s="3">
        <f t="shared" si="228"/>
        <v>4.1948051948051948</v>
      </c>
      <c r="AU73" s="3">
        <f t="shared" si="228"/>
        <v>1.2990654205607477</v>
      </c>
      <c r="AV73" s="3">
        <f t="shared" si="228"/>
        <v>1.0104166666666667</v>
      </c>
      <c r="AW73" s="3">
        <f t="shared" si="228"/>
        <v>1.2386363636363638</v>
      </c>
      <c r="AX73" s="3">
        <f t="shared" si="228"/>
        <v>1.375</v>
      </c>
      <c r="AY73" s="3">
        <f t="shared" si="228"/>
        <v>1.4747474747474747</v>
      </c>
      <c r="AZ73" s="3">
        <f t="shared" si="228"/>
        <v>2.0816326530612241</v>
      </c>
      <c r="BA73" s="3">
        <f t="shared" si="228"/>
        <v>5.5</v>
      </c>
      <c r="BB73" s="3">
        <f t="shared" si="228"/>
        <v>3.2622950819672134</v>
      </c>
      <c r="BC73" s="9">
        <f t="shared" si="228"/>
        <v>0.19847328244274806</v>
      </c>
      <c r="BD73" s="9">
        <f t="shared" si="228"/>
        <v>0</v>
      </c>
      <c r="BE73" s="3">
        <f t="shared" si="228"/>
        <v>2.15</v>
      </c>
      <c r="BF73" s="3">
        <f t="shared" si="228"/>
        <v>-1.8181818181818198E-2</v>
      </c>
      <c r="BG73" s="3">
        <f t="shared" si="228"/>
        <v>4.7368421052631584</v>
      </c>
      <c r="BH73" s="3">
        <f t="shared" si="228"/>
        <v>1.1265822784810127</v>
      </c>
      <c r="BI73" s="3">
        <f t="shared" si="228"/>
        <v>1.6630434782608696</v>
      </c>
      <c r="BJ73" s="3">
        <f t="shared" si="228"/>
        <v>-3.2000000000000028E-2</v>
      </c>
      <c r="BK73" s="3">
        <f t="shared" si="228"/>
        <v>0.54639175257731953</v>
      </c>
      <c r="BL73" s="3">
        <f t="shared" si="228"/>
        <v>0.46715328467153283</v>
      </c>
      <c r="BM73" s="3">
        <f t="shared" si="228"/>
        <v>-0.28205128205128205</v>
      </c>
      <c r="BN73" s="3">
        <f t="shared" ref="BN73:DY73" si="229">(BN69-BN47)/BN47</f>
        <v>0.1707317073170731</v>
      </c>
      <c r="BO73" s="3">
        <f t="shared" si="229"/>
        <v>-3.0534351145038195E-2</v>
      </c>
      <c r="BP73" s="3">
        <f t="shared" si="229"/>
        <v>3.0612244897959211E-2</v>
      </c>
      <c r="BQ73" s="3">
        <f t="shared" si="229"/>
        <v>0.40740740740740738</v>
      </c>
      <c r="BR73" s="3">
        <f t="shared" si="229"/>
        <v>0.19531249999999994</v>
      </c>
      <c r="BS73" s="3">
        <f t="shared" si="229"/>
        <v>4.9645390070922037E-2</v>
      </c>
      <c r="BT73" s="7">
        <f t="shared" si="229"/>
        <v>1.7631578947368423</v>
      </c>
      <c r="BU73" s="3">
        <f t="shared" si="229"/>
        <v>1.2051282051282051</v>
      </c>
      <c r="BV73" s="3">
        <f t="shared" si="229"/>
        <v>2.1052631578947385E-2</v>
      </c>
      <c r="BW73" s="3">
        <f t="shared" si="229"/>
        <v>2.568965517241379</v>
      </c>
      <c r="BX73" s="3">
        <f t="shared" si="229"/>
        <v>1.3116883116883116</v>
      </c>
      <c r="BY73" s="3">
        <f t="shared" si="229"/>
        <v>1.9999999999999996</v>
      </c>
      <c r="BZ73" s="3">
        <f t="shared" si="229"/>
        <v>-1.4084507042253339E-2</v>
      </c>
      <c r="CA73" s="3">
        <f t="shared" si="229"/>
        <v>-9.5999999999999974E-2</v>
      </c>
      <c r="CB73" s="3">
        <f t="shared" si="229"/>
        <v>-5.0847457627118571E-2</v>
      </c>
      <c r="CC73" s="3">
        <f t="shared" si="229"/>
        <v>1.3698630136986314E-2</v>
      </c>
      <c r="CD73" s="3">
        <f t="shared" si="229"/>
        <v>-3.0534351145038195E-2</v>
      </c>
      <c r="CE73" s="3">
        <f t="shared" si="229"/>
        <v>0.24778761061946888</v>
      </c>
      <c r="CF73" s="3">
        <f t="shared" si="229"/>
        <v>4.0322580645161324E-2</v>
      </c>
      <c r="CG73" s="3">
        <f t="shared" si="229"/>
        <v>0.19090909090909094</v>
      </c>
      <c r="CH73" s="3">
        <f t="shared" si="229"/>
        <v>-5.2980132450331174E-2</v>
      </c>
      <c r="CI73" s="3">
        <f t="shared" si="229"/>
        <v>4.2944785276073656E-2</v>
      </c>
      <c r="CJ73" s="3">
        <f t="shared" si="229"/>
        <v>0.36263736263736268</v>
      </c>
      <c r="CK73" s="3">
        <f t="shared" si="229"/>
        <v>0.17692307692307685</v>
      </c>
      <c r="CL73" s="3">
        <f t="shared" si="229"/>
        <v>8.7837837837837926E-2</v>
      </c>
      <c r="CM73" s="3">
        <f t="shared" si="229"/>
        <v>-5.7553956834532419E-2</v>
      </c>
      <c r="CN73" s="3">
        <f t="shared" si="229"/>
        <v>0.20338983050847462</v>
      </c>
      <c r="CO73" s="3">
        <f t="shared" si="229"/>
        <v>0.22222222222222221</v>
      </c>
      <c r="CP73" s="3">
        <f t="shared" si="229"/>
        <v>-1.2345679012345689E-2</v>
      </c>
      <c r="CQ73" s="3">
        <f t="shared" si="229"/>
        <v>0.26363636363636372</v>
      </c>
      <c r="CR73" s="3">
        <f t="shared" si="229"/>
        <v>0.13580246913580241</v>
      </c>
      <c r="CS73" s="3">
        <f t="shared" si="229"/>
        <v>0.4779411764705882</v>
      </c>
      <c r="CT73" s="3">
        <f t="shared" si="229"/>
        <v>-3.6363636363636397E-2</v>
      </c>
      <c r="CU73" s="3">
        <f t="shared" si="229"/>
        <v>0.31333333333333346</v>
      </c>
      <c r="CV73" s="3">
        <f t="shared" si="229"/>
        <v>0.81999999999999984</v>
      </c>
      <c r="CW73" s="3">
        <f t="shared" si="229"/>
        <v>0.27551020408163263</v>
      </c>
      <c r="CX73" s="3">
        <f t="shared" si="229"/>
        <v>0.28571428571428575</v>
      </c>
      <c r="CY73" s="3">
        <f t="shared" si="229"/>
        <v>1.9146341463414629</v>
      </c>
      <c r="CZ73" s="3">
        <f t="shared" si="229"/>
        <v>1.8235294117647054</v>
      </c>
      <c r="DA73" s="3">
        <f t="shared" si="229"/>
        <v>6.1363636363636367</v>
      </c>
      <c r="DB73" s="3">
        <f t="shared" si="229"/>
        <v>0.3076923076923076</v>
      </c>
      <c r="DC73" s="3">
        <f t="shared" si="229"/>
        <v>0.22641509433962273</v>
      </c>
      <c r="DD73" s="3">
        <f t="shared" si="229"/>
        <v>-0.18095238095238098</v>
      </c>
      <c r="DE73" s="3">
        <f t="shared" si="229"/>
        <v>-5.0000000000000044E-2</v>
      </c>
      <c r="DF73" s="3">
        <f t="shared" si="229"/>
        <v>5.8823529411764761E-2</v>
      </c>
      <c r="DG73" s="3">
        <f t="shared" si="229"/>
        <v>-0.49624060150375937</v>
      </c>
      <c r="DH73" s="3">
        <f t="shared" si="229"/>
        <v>-0.41269841269841273</v>
      </c>
      <c r="DI73" s="3">
        <f t="shared" si="229"/>
        <v>1.1728395061728394</v>
      </c>
      <c r="DJ73" s="3">
        <f t="shared" si="229"/>
        <v>1.7794117647058822</v>
      </c>
      <c r="DK73" s="9">
        <f t="shared" si="229"/>
        <v>1.2874999999999999</v>
      </c>
      <c r="DL73" s="9">
        <f t="shared" si="229"/>
        <v>1.3421052631578947</v>
      </c>
      <c r="DM73" s="3">
        <f t="shared" si="229"/>
        <v>1.6506024096385543</v>
      </c>
      <c r="DN73" s="3">
        <f t="shared" si="229"/>
        <v>1.3018867924528303</v>
      </c>
      <c r="DO73" s="3">
        <f t="shared" si="229"/>
        <v>1.2289156626506024</v>
      </c>
      <c r="DP73" s="9">
        <f t="shared" si="229"/>
        <v>3</v>
      </c>
      <c r="DQ73" s="3">
        <f t="shared" si="229"/>
        <v>0.2777777777777779</v>
      </c>
      <c r="DR73" s="9">
        <f t="shared" si="229"/>
        <v>2.3064516129032255</v>
      </c>
      <c r="DS73" s="3">
        <f t="shared" si="229"/>
        <v>-0.23478260869565226</v>
      </c>
      <c r="DT73" s="7">
        <f t="shared" si="229"/>
        <v>-0.44531250000000006</v>
      </c>
      <c r="DU73" s="3">
        <f t="shared" si="229"/>
        <v>-8.4033613445378234E-3</v>
      </c>
      <c r="DV73" s="3">
        <f t="shared" si="229"/>
        <v>1.2804878048780486</v>
      </c>
      <c r="DW73" s="3">
        <f t="shared" si="229"/>
        <v>1.28</v>
      </c>
      <c r="DX73" s="3">
        <f t="shared" si="229"/>
        <v>-0.31645569620253167</v>
      </c>
      <c r="DY73" s="3">
        <f t="shared" si="229"/>
        <v>0.6348314606741573</v>
      </c>
      <c r="DZ73" s="3">
        <f t="shared" ref="DZ73:EX73" si="230">(DZ69-DZ47)/DZ47</f>
        <v>2.1851851851851851</v>
      </c>
      <c r="EA73" s="3">
        <f t="shared" si="230"/>
        <v>2.8690476190476186</v>
      </c>
      <c r="EB73" s="3">
        <f t="shared" si="230"/>
        <v>0.74100719424460415</v>
      </c>
      <c r="EC73" s="3">
        <f t="shared" si="230"/>
        <v>1.107142857142857</v>
      </c>
      <c r="ED73" s="3">
        <f t="shared" si="230"/>
        <v>2.0180180180180183</v>
      </c>
      <c r="EE73" s="3">
        <f t="shared" si="230"/>
        <v>1.335766423357664</v>
      </c>
      <c r="EF73" s="3">
        <f t="shared" si="230"/>
        <v>1.0571428571428567</v>
      </c>
      <c r="EG73" s="3">
        <f t="shared" si="230"/>
        <v>1.3255813953488371</v>
      </c>
      <c r="EH73" s="3">
        <f t="shared" si="230"/>
        <v>1.9242424242424241</v>
      </c>
      <c r="EI73" s="3">
        <f t="shared" si="230"/>
        <v>1.761194029850746</v>
      </c>
      <c r="EJ73" s="3">
        <f t="shared" si="230"/>
        <v>2.9038461538461546</v>
      </c>
      <c r="EK73" s="3">
        <f t="shared" si="230"/>
        <v>1.1216216216216217</v>
      </c>
      <c r="EL73" s="3">
        <f t="shared" si="230"/>
        <v>2.0933333333333337</v>
      </c>
      <c r="EM73" s="3">
        <f t="shared" si="230"/>
        <v>1.8985507246376812</v>
      </c>
      <c r="EN73" s="3">
        <f t="shared" si="230"/>
        <v>2.1864406779661021</v>
      </c>
      <c r="EO73" s="3">
        <f t="shared" si="230"/>
        <v>1.3534482758620692</v>
      </c>
      <c r="EP73" s="3">
        <f t="shared" si="230"/>
        <v>2.0329670329670333</v>
      </c>
      <c r="EQ73" s="9">
        <f t="shared" si="230"/>
        <v>2.0111111111111115</v>
      </c>
      <c r="ER73" s="3">
        <f t="shared" si="230"/>
        <v>2.9772727272727275</v>
      </c>
      <c r="ES73" s="3">
        <f t="shared" si="230"/>
        <v>0.46399999999999997</v>
      </c>
      <c r="ET73" s="3">
        <f t="shared" si="230"/>
        <v>0</v>
      </c>
      <c r="EU73" s="3">
        <f t="shared" si="230"/>
        <v>9.8333333333333339</v>
      </c>
      <c r="EV73" s="3">
        <f t="shared" si="230"/>
        <v>4.2181818181818178</v>
      </c>
      <c r="EW73" s="3">
        <f t="shared" si="230"/>
        <v>2.46875</v>
      </c>
      <c r="EX73" s="3">
        <f t="shared" si="230"/>
        <v>4.1964285714285712</v>
      </c>
      <c r="EY73" s="3">
        <f t="shared" si="218"/>
        <v>8.7837837837837842</v>
      </c>
      <c r="EZ73" s="3">
        <f t="shared" si="218"/>
        <v>2.4305555555555558</v>
      </c>
      <c r="FA73" s="9">
        <f t="shared" ref="FA73:FB73" si="231">(FA69-FA47)/FA47</f>
        <v>2.1315789473684208</v>
      </c>
      <c r="FB73" s="7">
        <f t="shared" si="231"/>
        <v>1.486842105263158</v>
      </c>
      <c r="FC73" s="7">
        <f t="shared" ref="FC73:FD73" si="232">(FC69-FC47)/FC47</f>
        <v>8.3333333333333412E-2</v>
      </c>
      <c r="FD73" s="7">
        <f t="shared" si="232"/>
        <v>1.945205479452055</v>
      </c>
      <c r="FE73" s="7">
        <f t="shared" ref="FE73:FF73" si="233">(FE69-FE47)/FE47</f>
        <v>1.2345679012345678</v>
      </c>
      <c r="FF73" s="7">
        <f t="shared" si="233"/>
        <v>0</v>
      </c>
      <c r="FG73" s="4"/>
      <c r="FH73" s="4"/>
      <c r="FI73" s="4"/>
      <c r="FJ73" s="4"/>
      <c r="FK73" s="4"/>
      <c r="FL73" s="4"/>
    </row>
    <row r="74" spans="1:168" x14ac:dyDescent="0.3">
      <c r="A74" t="s">
        <v>227</v>
      </c>
      <c r="B74" s="4">
        <f t="shared" ref="B74:BM74" si="234">(B66-B57)/B57</f>
        <v>-1.6339869281045766E-2</v>
      </c>
      <c r="C74" s="4">
        <f t="shared" si="234"/>
        <v>-5.8282208588957107E-2</v>
      </c>
      <c r="D74" s="4">
        <f t="shared" si="234"/>
        <v>2.9315960912052144E-2</v>
      </c>
      <c r="E74" s="4">
        <f t="shared" si="234"/>
        <v>-2.7548209366391211E-3</v>
      </c>
      <c r="F74" s="4">
        <f t="shared" si="234"/>
        <v>9.8684210526315888E-3</v>
      </c>
      <c r="G74" s="4">
        <f t="shared" si="234"/>
        <v>0.44642857142857145</v>
      </c>
      <c r="H74" s="4">
        <f t="shared" si="234"/>
        <v>-2.8688524590163959E-2</v>
      </c>
      <c r="I74" s="4">
        <f t="shared" si="234"/>
        <v>1.5564202334630364E-2</v>
      </c>
      <c r="J74" s="4">
        <f t="shared" si="234"/>
        <v>-1.234567901234569E-2</v>
      </c>
      <c r="K74" s="4">
        <f t="shared" si="234"/>
        <v>-8.8235294117647134E-2</v>
      </c>
      <c r="L74" s="4">
        <f t="shared" si="234"/>
        <v>5.8536585365853717E-2</v>
      </c>
      <c r="M74" s="4">
        <f t="shared" si="234"/>
        <v>-9.1803278688524489E-2</v>
      </c>
      <c r="N74" s="4">
        <f t="shared" si="234"/>
        <v>-3.9215686274509838E-2</v>
      </c>
      <c r="O74" s="4">
        <f t="shared" si="234"/>
        <v>8.8135593220339065E-2</v>
      </c>
      <c r="P74" s="4">
        <f t="shared" si="234"/>
        <v>4.1666666666666706E-2</v>
      </c>
      <c r="Q74" s="4">
        <f t="shared" si="234"/>
        <v>-6.8027210884353808E-3</v>
      </c>
      <c r="R74" s="4">
        <f t="shared" si="234"/>
        <v>-2.2172949002217312E-3</v>
      </c>
      <c r="S74" s="4">
        <f t="shared" si="234"/>
        <v>1.2658227848101276E-2</v>
      </c>
      <c r="T74" s="4">
        <f t="shared" si="234"/>
        <v>3.7344398340248997E-2</v>
      </c>
      <c r="U74" s="4">
        <f t="shared" si="234"/>
        <v>-4.324324324324328E-2</v>
      </c>
      <c r="V74" s="4">
        <f t="shared" si="234"/>
        <v>8.6956521739130391E-2</v>
      </c>
      <c r="W74" s="4">
        <f t="shared" si="234"/>
        <v>-6.0790273556231055E-3</v>
      </c>
      <c r="X74" s="4">
        <f t="shared" si="234"/>
        <v>-2.2779043280182253E-3</v>
      </c>
      <c r="Y74" s="4">
        <f t="shared" si="234"/>
        <v>8.3333333333333412E-2</v>
      </c>
      <c r="Z74" s="4">
        <f t="shared" si="234"/>
        <v>-9.0322580645161368E-2</v>
      </c>
      <c r="AA74" s="4">
        <f t="shared" si="234"/>
        <v>-0.12576687116564428</v>
      </c>
      <c r="AB74" s="4">
        <f t="shared" si="234"/>
        <v>-3.5587188612099673E-3</v>
      </c>
      <c r="AC74" s="4">
        <f t="shared" si="234"/>
        <v>2.9850746268656743E-3</v>
      </c>
      <c r="AD74" s="4">
        <f t="shared" si="234"/>
        <v>1.7964071856287438E-2</v>
      </c>
      <c r="AE74" s="4">
        <f t="shared" si="234"/>
        <v>0</v>
      </c>
      <c r="AF74" s="4">
        <f t="shared" si="234"/>
        <v>0</v>
      </c>
      <c r="AG74" s="4">
        <f t="shared" si="234"/>
        <v>-4.0145985401459888E-2</v>
      </c>
      <c r="AH74" s="4">
        <f t="shared" si="234"/>
        <v>-6.3197026022304884E-2</v>
      </c>
      <c r="AI74" s="4">
        <f t="shared" si="234"/>
        <v>-2.6397515527950333E-2</v>
      </c>
      <c r="AJ74" s="4">
        <f t="shared" si="234"/>
        <v>-3.8805970149253764E-2</v>
      </c>
      <c r="AK74" s="4">
        <f t="shared" si="234"/>
        <v>3.0674846625766899E-2</v>
      </c>
      <c r="AL74" s="4">
        <f t="shared" si="234"/>
        <v>-8.4033613445378234E-3</v>
      </c>
      <c r="AM74" s="4">
        <f t="shared" si="234"/>
        <v>7.5187969924812095E-3</v>
      </c>
      <c r="AN74" s="4">
        <f t="shared" si="234"/>
        <v>-1.0204081632653071E-2</v>
      </c>
      <c r="AO74" s="4">
        <f t="shared" si="234"/>
        <v>0</v>
      </c>
      <c r="AP74" s="4">
        <f t="shared" si="234"/>
        <v>-3.5714285714285615E-2</v>
      </c>
      <c r="AQ74" s="4">
        <f t="shared" si="234"/>
        <v>-3.5532994923857898E-2</v>
      </c>
      <c r="AR74" s="4">
        <f t="shared" si="234"/>
        <v>-6.211180124223608E-2</v>
      </c>
      <c r="AS74" s="4">
        <f t="shared" si="234"/>
        <v>3.7500000000000033E-2</v>
      </c>
      <c r="AT74" s="4">
        <f t="shared" si="234"/>
        <v>-0.52830188679245282</v>
      </c>
      <c r="AU74" s="4">
        <f t="shared" si="234"/>
        <v>-1.8148820326678781E-2</v>
      </c>
      <c r="AV74" s="4">
        <f t="shared" si="234"/>
        <v>3.135888501742163E-2</v>
      </c>
      <c r="AW74" s="4">
        <f t="shared" si="234"/>
        <v>0</v>
      </c>
      <c r="AX74" s="4">
        <f t="shared" si="234"/>
        <v>0.15384615384615385</v>
      </c>
      <c r="AY74" s="4">
        <f t="shared" si="234"/>
        <v>5.2910052910052959E-3</v>
      </c>
      <c r="AZ74" s="4">
        <f t="shared" si="234"/>
        <v>-2.5188916876574328E-3</v>
      </c>
      <c r="BA74" s="4">
        <f t="shared" si="234"/>
        <v>-8.941877794336818E-2</v>
      </c>
      <c r="BB74" s="4">
        <f t="shared" si="234"/>
        <v>-0.14634146341463414</v>
      </c>
      <c r="BC74" s="8">
        <f t="shared" si="234"/>
        <v>0.15010570824524327</v>
      </c>
      <c r="BD74" s="8">
        <f t="shared" si="234"/>
        <v>0.57999999999999996</v>
      </c>
      <c r="BE74" s="4">
        <f t="shared" si="234"/>
        <v>-2.0942408376963179E-2</v>
      </c>
      <c r="BF74" s="4">
        <f t="shared" si="234"/>
        <v>-1.8433179723502321E-2</v>
      </c>
      <c r="BG74" s="4">
        <f t="shared" si="234"/>
        <v>3.490401396160562E-3</v>
      </c>
      <c r="BH74" s="4">
        <f t="shared" si="234"/>
        <v>-1.2765957446808404E-2</v>
      </c>
      <c r="BI74" s="4">
        <f t="shared" si="234"/>
        <v>-2.2371364653243866E-2</v>
      </c>
      <c r="BJ74" s="4">
        <f t="shared" si="234"/>
        <v>-2.9239766081871368E-2</v>
      </c>
      <c r="BK74" s="4">
        <f t="shared" si="234"/>
        <v>-8.3623693379790823E-2</v>
      </c>
      <c r="BL74" s="4">
        <f t="shared" si="234"/>
        <v>0</v>
      </c>
      <c r="BM74" s="4">
        <f t="shared" si="234"/>
        <v>1.7948717948717965E-2</v>
      </c>
      <c r="BN74" s="4">
        <f t="shared" ref="BN74:DY74" si="235">(BN66-BN57)/BN57</f>
        <v>1.5957446808510651E-2</v>
      </c>
      <c r="BO74" s="4">
        <f t="shared" si="235"/>
        <v>0</v>
      </c>
      <c r="BP74" s="4">
        <f t="shared" si="235"/>
        <v>-4.7781569965870165E-2</v>
      </c>
      <c r="BQ74" s="4">
        <f t="shared" si="235"/>
        <v>-2.2675736961451268E-2</v>
      </c>
      <c r="BR74" s="4">
        <f t="shared" si="235"/>
        <v>-2.3474178403755891E-3</v>
      </c>
      <c r="BS74" s="4">
        <f t="shared" si="235"/>
        <v>1.6509433962264165E-2</v>
      </c>
      <c r="BT74" s="10">
        <f t="shared" si="235"/>
        <v>-7.3746312684365836E-2</v>
      </c>
      <c r="BU74" s="4">
        <f t="shared" si="235"/>
        <v>0.11139240506329109</v>
      </c>
      <c r="BV74" s="4">
        <f t="shared" si="235"/>
        <v>-1.5948963317384383E-3</v>
      </c>
      <c r="BW74" s="4">
        <f t="shared" si="235"/>
        <v>-3.7313432835820925E-3</v>
      </c>
      <c r="BX74" s="4">
        <f t="shared" si="235"/>
        <v>-2.6058631921824126E-2</v>
      </c>
      <c r="BY74" s="4">
        <f t="shared" si="235"/>
        <v>-3.179190751445074E-2</v>
      </c>
      <c r="BZ74" s="4">
        <f t="shared" si="235"/>
        <v>-1.2626262626262636E-2</v>
      </c>
      <c r="CA74" s="4">
        <f t="shared" si="235"/>
        <v>-8.2644628099173625E-3</v>
      </c>
      <c r="CB74" s="4">
        <f t="shared" si="235"/>
        <v>-3.3222591362126277E-3</v>
      </c>
      <c r="CC74" s="4">
        <f t="shared" si="235"/>
        <v>-7.5916230366492213E-2</v>
      </c>
      <c r="CD74" s="4">
        <f t="shared" si="235"/>
        <v>-2.2556390977443629E-2</v>
      </c>
      <c r="CE74" s="4">
        <f t="shared" si="235"/>
        <v>-1.4563106796116384E-2</v>
      </c>
      <c r="CF74" s="4">
        <f t="shared" si="235"/>
        <v>4.4280442804427875E-2</v>
      </c>
      <c r="CG74" s="4">
        <f t="shared" si="235"/>
        <v>-2.1978021978021997E-2</v>
      </c>
      <c r="CH74" s="4">
        <f t="shared" si="235"/>
        <v>-1.0224948875255633E-2</v>
      </c>
      <c r="CI74" s="4">
        <f t="shared" si="235"/>
        <v>1.7130620985010604E-2</v>
      </c>
      <c r="CJ74" s="4">
        <f t="shared" si="235"/>
        <v>-0.17763157894736839</v>
      </c>
      <c r="CK74" s="4">
        <f t="shared" si="235"/>
        <v>4.6296296296296337E-3</v>
      </c>
      <c r="CL74" s="4">
        <f t="shared" si="235"/>
        <v>1.93423597678917E-3</v>
      </c>
      <c r="CM74" s="4">
        <f t="shared" si="235"/>
        <v>-1.3888888888888902E-2</v>
      </c>
      <c r="CN74" s="4">
        <f t="shared" si="235"/>
        <v>-1.6483516483516498E-2</v>
      </c>
      <c r="CO74" s="4">
        <f t="shared" si="235"/>
        <v>2.4154589371980697E-3</v>
      </c>
      <c r="CP74" s="4">
        <f t="shared" si="235"/>
        <v>-1.8903591682419677E-2</v>
      </c>
      <c r="CQ74" s="4">
        <f t="shared" si="235"/>
        <v>0.11647727272727283</v>
      </c>
      <c r="CR74" s="4">
        <f t="shared" si="235"/>
        <v>-2.7397260273972626E-2</v>
      </c>
      <c r="CS74" s="4">
        <f t="shared" si="235"/>
        <v>-1.2096774193548397E-2</v>
      </c>
      <c r="CT74" s="4">
        <f t="shared" si="235"/>
        <v>7.462686567164185E-3</v>
      </c>
      <c r="CU74" s="4">
        <f t="shared" si="235"/>
        <v>6.0240963855421742E-3</v>
      </c>
      <c r="CV74" s="4">
        <f t="shared" si="235"/>
        <v>-7.5000000000000053E-2</v>
      </c>
      <c r="CW74" s="4">
        <f t="shared" si="235"/>
        <v>-6.4935064935064998E-2</v>
      </c>
      <c r="CX74" s="4">
        <f t="shared" si="235"/>
        <v>-5.3811659192825156E-2</v>
      </c>
      <c r="CY74" s="4">
        <f t="shared" si="235"/>
        <v>-1.9379844961240327E-3</v>
      </c>
      <c r="CZ74" s="4">
        <f t="shared" si="235"/>
        <v>-5.190311418685107E-2</v>
      </c>
      <c r="DA74" s="4">
        <f t="shared" si="235"/>
        <v>1.3435700575815751E-2</v>
      </c>
      <c r="DB74" s="4">
        <f t="shared" si="235"/>
        <v>7.6923076923076988E-3</v>
      </c>
      <c r="DC74" s="4">
        <f t="shared" si="235"/>
        <v>1.5325670498084304E-2</v>
      </c>
      <c r="DD74" s="4">
        <f t="shared" si="235"/>
        <v>1.8518518518518535E-2</v>
      </c>
      <c r="DE74" s="4">
        <f t="shared" si="235"/>
        <v>6.4393939393939448E-2</v>
      </c>
      <c r="DF74" s="4">
        <f t="shared" si="235"/>
        <v>5.2631578947368342E-2</v>
      </c>
      <c r="DG74" s="4">
        <f t="shared" si="235"/>
        <v>-2.3980815347721847E-3</v>
      </c>
      <c r="DH74" s="4">
        <f t="shared" si="235"/>
        <v>0</v>
      </c>
      <c r="DI74" s="4">
        <f t="shared" si="235"/>
        <v>-5.9090909090909145E-2</v>
      </c>
      <c r="DJ74" s="4">
        <f t="shared" si="235"/>
        <v>9.6858638743455433E-2</v>
      </c>
      <c r="DK74" s="8">
        <f t="shared" si="235"/>
        <v>4.3373493975903656E-2</v>
      </c>
      <c r="DL74" s="8">
        <f t="shared" si="235"/>
        <v>0.69458128078817705</v>
      </c>
      <c r="DM74" s="4">
        <f t="shared" si="235"/>
        <v>0.14838709677419351</v>
      </c>
      <c r="DN74" s="4">
        <f t="shared" si="235"/>
        <v>3.5294117647058858E-2</v>
      </c>
      <c r="DO74" s="4">
        <f t="shared" si="235"/>
        <v>-1.9138755980861261E-2</v>
      </c>
      <c r="DP74" s="8">
        <f t="shared" si="235"/>
        <v>0.25235404896421848</v>
      </c>
      <c r="DQ74" s="4">
        <f t="shared" si="235"/>
        <v>-7.4738415545590499E-3</v>
      </c>
      <c r="DR74" s="8">
        <f t="shared" si="235"/>
        <v>-4.9707602339181325E-2</v>
      </c>
      <c r="DS74" s="4">
        <f t="shared" si="235"/>
        <v>-2.2075055187637986E-3</v>
      </c>
      <c r="DT74" s="10">
        <f t="shared" si="235"/>
        <v>0</v>
      </c>
      <c r="DU74" s="4">
        <f t="shared" si="235"/>
        <v>-1.986754966887419E-2</v>
      </c>
      <c r="DV74" s="4">
        <f t="shared" si="235"/>
        <v>8.3682008368200916E-3</v>
      </c>
      <c r="DW74" s="4">
        <f t="shared" si="235"/>
        <v>2.3529411764705903E-2</v>
      </c>
      <c r="DX74" s="4">
        <f t="shared" si="235"/>
        <v>0</v>
      </c>
      <c r="DY74" s="4">
        <f t="shared" si="235"/>
        <v>-3.9011703511053352E-3</v>
      </c>
      <c r="DZ74" s="4">
        <f t="shared" ref="DZ74:EX74" si="236">(DZ66-DZ57)/DZ57</f>
        <v>-8.230452674897127E-3</v>
      </c>
      <c r="EA74" s="4">
        <f t="shared" si="236"/>
        <v>-2.9850746268656743E-3</v>
      </c>
      <c r="EB74" s="4">
        <f t="shared" si="236"/>
        <v>1.5552099533437027E-3</v>
      </c>
      <c r="EC74" s="4">
        <f t="shared" si="236"/>
        <v>1.666666666666668E-2</v>
      </c>
      <c r="ED74" s="4">
        <f t="shared" si="236"/>
        <v>5.7471264367816143E-3</v>
      </c>
      <c r="EE74" s="4">
        <f t="shared" si="236"/>
        <v>2.8571428571428597E-3</v>
      </c>
      <c r="EF74" s="4">
        <f t="shared" si="236"/>
        <v>8.1743869209809344E-3</v>
      </c>
      <c r="EG74" s="4">
        <f t="shared" si="236"/>
        <v>4.2613636363636404E-3</v>
      </c>
      <c r="EH74" s="4">
        <f t="shared" si="236"/>
        <v>-5.1515151515151555E-2</v>
      </c>
      <c r="EI74" s="4">
        <f t="shared" si="236"/>
        <v>-8.275862068965506E-2</v>
      </c>
      <c r="EJ74" s="4">
        <f t="shared" si="236"/>
        <v>9.4339622641509517E-3</v>
      </c>
      <c r="EK74" s="4">
        <f t="shared" si="236"/>
        <v>7.8431372549019676E-3</v>
      </c>
      <c r="EL74" s="4">
        <f t="shared" si="236"/>
        <v>4.1343669250646031E-2</v>
      </c>
      <c r="EM74" s="4">
        <f t="shared" si="236"/>
        <v>-2.5352112676056363E-2</v>
      </c>
      <c r="EN74" s="4">
        <f t="shared" si="236"/>
        <v>5.3872053872053925E-2</v>
      </c>
      <c r="EO74" s="4">
        <f t="shared" si="236"/>
        <v>-3.0050083472454119E-2</v>
      </c>
      <c r="EP74" s="4">
        <f t="shared" si="236"/>
        <v>-2.1321961620468986E-2</v>
      </c>
      <c r="EQ74" s="8">
        <f t="shared" si="236"/>
        <v>-9.8389982110912419E-2</v>
      </c>
      <c r="ER74" s="4">
        <f t="shared" si="236"/>
        <v>-3.305785123966945E-2</v>
      </c>
      <c r="ES74" s="4">
        <f t="shared" si="236"/>
        <v>1.449275362318842E-2</v>
      </c>
      <c r="ET74" s="4">
        <f t="shared" si="236"/>
        <v>6.9767441860465185E-2</v>
      </c>
      <c r="EU74" s="4">
        <f t="shared" si="236"/>
        <v>-6.153846153846159E-3</v>
      </c>
      <c r="EV74" s="4">
        <f t="shared" si="236"/>
        <v>-2.6369168356997996E-2</v>
      </c>
      <c r="EW74" s="4">
        <f t="shared" si="236"/>
        <v>2.3980815347721847E-3</v>
      </c>
      <c r="EX74" s="4">
        <f t="shared" si="236"/>
        <v>-6.2893081761006345E-3</v>
      </c>
      <c r="EY74" s="4">
        <f t="shared" ref="EY74:EZ77" si="237">(EY66-EY57)/EY57</f>
        <v>-2.7855153203342644E-3</v>
      </c>
      <c r="EZ74" s="4">
        <f t="shared" si="237"/>
        <v>8.1743869209809344E-3</v>
      </c>
      <c r="FA74" s="8">
        <f t="shared" ref="FA74:FB74" si="238">(FA66-FA57)/FA57</f>
        <v>-1.9704433497536963E-2</v>
      </c>
      <c r="FB74" s="10">
        <f t="shared" si="238"/>
        <v>2.7932960893854776E-3</v>
      </c>
      <c r="FC74" s="10">
        <f t="shared" ref="FC74:FD74" si="239">(FC66-FC57)/FC57</f>
        <v>8.4388185654008518E-3</v>
      </c>
      <c r="FD74" s="10">
        <f t="shared" si="239"/>
        <v>1.5015015015015027E-2</v>
      </c>
      <c r="FE74" s="10">
        <f t="shared" ref="FE74:FF74" si="240">(FE66-FE57)/FE57</f>
        <v>5.1851851851851691E-2</v>
      </c>
      <c r="FF74" s="10">
        <f t="shared" si="240"/>
        <v>-3.3112582781456984E-3</v>
      </c>
      <c r="FG74" s="4"/>
      <c r="FH74" s="4"/>
      <c r="FI74" s="4"/>
      <c r="FJ74" s="4"/>
      <c r="FK74" s="4"/>
      <c r="FL74" s="4"/>
    </row>
    <row r="75" spans="1:168" x14ac:dyDescent="0.3">
      <c r="A75" t="s">
        <v>228</v>
      </c>
      <c r="B75" s="4">
        <f t="shared" ref="B75:BM75" si="241">(B67-B58)/B58</f>
        <v>-1.7133956386292851E-2</v>
      </c>
      <c r="C75" s="4">
        <f t="shared" si="241"/>
        <v>-6.284658040665439E-2</v>
      </c>
      <c r="D75" s="4">
        <f t="shared" si="241"/>
        <v>-2.7597402597402624E-2</v>
      </c>
      <c r="E75" s="4">
        <f t="shared" si="241"/>
        <v>-2.5236593059936932E-2</v>
      </c>
      <c r="F75" s="4">
        <f t="shared" si="241"/>
        <v>-3.8333333333333372E-2</v>
      </c>
      <c r="G75" s="4">
        <f t="shared" si="241"/>
        <v>-2.1671826625387015E-2</v>
      </c>
      <c r="H75" s="4">
        <f t="shared" si="241"/>
        <v>-2.0295202952029537E-2</v>
      </c>
      <c r="I75" s="4">
        <f t="shared" si="241"/>
        <v>-0.14798850574712641</v>
      </c>
      <c r="J75" s="4">
        <f t="shared" si="241"/>
        <v>-5.7788944723618139E-2</v>
      </c>
      <c r="K75" s="4">
        <f t="shared" si="241"/>
        <v>-0.12558685446009388</v>
      </c>
      <c r="L75" s="4">
        <f t="shared" si="241"/>
        <v>-8.8547815820543038E-2</v>
      </c>
      <c r="M75" s="4">
        <f t="shared" si="241"/>
        <v>-0.11533742331288341</v>
      </c>
      <c r="N75" s="4">
        <f t="shared" si="241"/>
        <v>-0.51986754966887416</v>
      </c>
      <c r="O75" s="4">
        <f t="shared" si="241"/>
        <v>-0.4838337182448037</v>
      </c>
      <c r="P75" s="4">
        <f t="shared" si="241"/>
        <v>-0.29932735426008972</v>
      </c>
      <c r="Q75" s="4">
        <f t="shared" si="241"/>
        <v>-0.23293607800650062</v>
      </c>
      <c r="R75" s="4">
        <f t="shared" si="241"/>
        <v>-6.0606060606060531E-2</v>
      </c>
      <c r="S75" s="4">
        <f t="shared" si="241"/>
        <v>-4.8101265822784851E-2</v>
      </c>
      <c r="T75" s="4">
        <f t="shared" si="241"/>
        <v>-9.7752808988764012E-2</v>
      </c>
      <c r="U75" s="4">
        <f t="shared" si="241"/>
        <v>-8.2107843137254846E-2</v>
      </c>
      <c r="V75" s="4">
        <f t="shared" si="241"/>
        <v>-4.7186932849364829E-2</v>
      </c>
      <c r="W75" s="4">
        <f t="shared" si="241"/>
        <v>-0.12893553223388315</v>
      </c>
      <c r="X75" s="4">
        <f t="shared" si="241"/>
        <v>-1.0376134889753575E-2</v>
      </c>
      <c r="Y75" s="4">
        <f t="shared" si="241"/>
        <v>-0.13015463917525771</v>
      </c>
      <c r="Z75" s="4">
        <f t="shared" si="241"/>
        <v>-0.32294617563739375</v>
      </c>
      <c r="AA75" s="4">
        <f t="shared" si="241"/>
        <v>1.4534883720930248E-3</v>
      </c>
      <c r="AB75" s="4">
        <f t="shared" si="241"/>
        <v>2.7285129604365647E-3</v>
      </c>
      <c r="AC75" s="4">
        <f t="shared" si="241"/>
        <v>4.3165467625899323E-3</v>
      </c>
      <c r="AD75" s="4">
        <f t="shared" si="241"/>
        <v>0.11182108626198076</v>
      </c>
      <c r="AE75" s="4">
        <f t="shared" si="241"/>
        <v>2.7397260273972629E-3</v>
      </c>
      <c r="AF75" s="4">
        <f t="shared" si="241"/>
        <v>2.7285129604365647E-3</v>
      </c>
      <c r="AG75" s="4">
        <f t="shared" si="241"/>
        <v>-0.10169491525423725</v>
      </c>
      <c r="AH75" s="4">
        <f t="shared" si="241"/>
        <v>-0.10352941176470584</v>
      </c>
      <c r="AI75" s="4">
        <f t="shared" si="241"/>
        <v>-9.4713656387665282E-2</v>
      </c>
      <c r="AJ75" s="4">
        <f t="shared" si="241"/>
        <v>-6.6577896138482084E-2</v>
      </c>
      <c r="AK75" s="4">
        <f t="shared" si="241"/>
        <v>-5.6195965417867332E-2</v>
      </c>
      <c r="AL75" s="4">
        <f t="shared" si="241"/>
        <v>-6.0052219321148875E-2</v>
      </c>
      <c r="AM75" s="4">
        <f t="shared" si="241"/>
        <v>-3.8897893030794203E-2</v>
      </c>
      <c r="AN75" s="4">
        <f t="shared" si="241"/>
        <v>-3.6745406824147016E-2</v>
      </c>
      <c r="AO75" s="4">
        <f t="shared" si="241"/>
        <v>-7.1428571428571494E-2</v>
      </c>
      <c r="AP75" s="4">
        <f t="shared" si="241"/>
        <v>-0.16454352441613579</v>
      </c>
      <c r="AQ75" s="4">
        <f t="shared" si="241"/>
        <v>-0.12499999999999999</v>
      </c>
      <c r="AR75" s="4">
        <f t="shared" si="241"/>
        <v>-0.14950166112956811</v>
      </c>
      <c r="AS75" s="4">
        <f t="shared" si="241"/>
        <v>-3.2653061224489827E-2</v>
      </c>
      <c r="AT75" s="4">
        <f t="shared" si="241"/>
        <v>-0.87893462469733663</v>
      </c>
      <c r="AU75" s="4">
        <f t="shared" si="241"/>
        <v>-0.22693531283138915</v>
      </c>
      <c r="AV75" s="4">
        <f t="shared" si="241"/>
        <v>-0.21991084695393762</v>
      </c>
      <c r="AW75" s="4">
        <f t="shared" si="241"/>
        <v>-0.37426900584795325</v>
      </c>
      <c r="AX75" s="4">
        <f t="shared" si="241"/>
        <v>-0.22895125553914331</v>
      </c>
      <c r="AY75" s="4">
        <f t="shared" si="241"/>
        <v>-0.21938088829071337</v>
      </c>
      <c r="AZ75" s="4">
        <f t="shared" si="241"/>
        <v>-0.16406249999999997</v>
      </c>
      <c r="BA75" s="4">
        <f t="shared" si="241"/>
        <v>-0.19129438717067587</v>
      </c>
      <c r="BB75" s="4">
        <f t="shared" si="241"/>
        <v>-0.23076923076923073</v>
      </c>
      <c r="BC75" s="8">
        <f t="shared" si="241"/>
        <v>-0.30665024630541882</v>
      </c>
      <c r="BD75" s="8">
        <f t="shared" ref="BD75" si="242">(BD67-BD58)/BD58</f>
        <v>-0.13500784929356352</v>
      </c>
      <c r="BE75" s="4">
        <f t="shared" si="241"/>
        <v>-0.18607305936073062</v>
      </c>
      <c r="BF75" s="4">
        <f t="shared" si="241"/>
        <v>-6.6141732283464622E-2</v>
      </c>
      <c r="BG75" s="4">
        <f t="shared" si="241"/>
        <v>-0.55464759959141974</v>
      </c>
      <c r="BH75" s="4">
        <f t="shared" si="241"/>
        <v>-0.15660685154975526</v>
      </c>
      <c r="BI75" s="4">
        <f t="shared" si="241"/>
        <v>-0.48383620689655177</v>
      </c>
      <c r="BJ75" s="4">
        <f t="shared" si="241"/>
        <v>-1.3921113689095141E-2</v>
      </c>
      <c r="BK75" s="4">
        <f t="shared" si="241"/>
        <v>-8.8033012379642298E-2</v>
      </c>
      <c r="BL75" s="4">
        <f t="shared" si="241"/>
        <v>-3.090234857849199E-2</v>
      </c>
      <c r="BM75" s="4">
        <f t="shared" si="241"/>
        <v>-8.7463556851312026E-3</v>
      </c>
      <c r="BN75" s="4">
        <f t="shared" ref="BN75:DY75" si="243">(BN67-BN58)/BN58</f>
        <v>-5.100463678516233E-2</v>
      </c>
      <c r="BO75" s="4">
        <f t="shared" si="243"/>
        <v>-2.8953229398663721E-2</v>
      </c>
      <c r="BP75" s="4">
        <f t="shared" si="243"/>
        <v>-7.8023407022106694E-2</v>
      </c>
      <c r="BQ75" s="4">
        <f t="shared" si="243"/>
        <v>-0.13621621621621621</v>
      </c>
      <c r="BR75" s="4">
        <f t="shared" si="243"/>
        <v>-7.4029126213592172E-2</v>
      </c>
      <c r="BS75" s="4">
        <f t="shared" si="243"/>
        <v>-6.2575210589650945E-2</v>
      </c>
      <c r="BT75" s="10">
        <f t="shared" si="243"/>
        <v>-0.15868673050615595</v>
      </c>
      <c r="BU75" s="4">
        <f t="shared" si="243"/>
        <v>-6.0640732265446279E-2</v>
      </c>
      <c r="BV75" s="4">
        <f t="shared" si="243"/>
        <v>-3.1315240083507334E-3</v>
      </c>
      <c r="BW75" s="4">
        <f t="shared" si="243"/>
        <v>-0.15401785714285715</v>
      </c>
      <c r="BX75" s="4">
        <f t="shared" si="243"/>
        <v>-8.1677704194260556E-2</v>
      </c>
      <c r="BY75" s="4">
        <f t="shared" si="243"/>
        <v>-0.14268585131894485</v>
      </c>
      <c r="BZ75" s="4">
        <f t="shared" si="243"/>
        <v>-4.5333333333333371E-2</v>
      </c>
      <c r="CA75" s="4">
        <f t="shared" si="243"/>
        <v>-4.7114252061248439E-2</v>
      </c>
      <c r="CB75" s="4">
        <f t="shared" si="243"/>
        <v>-4.6753246753246797E-2</v>
      </c>
      <c r="CC75" s="4">
        <f t="shared" si="243"/>
        <v>-5.7285180572851854E-2</v>
      </c>
      <c r="CD75" s="4">
        <f t="shared" si="243"/>
        <v>-4.0660736975857724E-2</v>
      </c>
      <c r="CE75" s="4">
        <f t="shared" si="243"/>
        <v>-4.2704626334519484E-2</v>
      </c>
      <c r="CF75" s="4">
        <f t="shared" si="243"/>
        <v>-5.2054794520547995E-2</v>
      </c>
      <c r="CG75" s="4">
        <f t="shared" si="243"/>
        <v>-0.12432432432432429</v>
      </c>
      <c r="CH75" s="4">
        <f t="shared" si="243"/>
        <v>-2.8477546549835732E-2</v>
      </c>
      <c r="CI75" s="4">
        <f t="shared" si="243"/>
        <v>-5.6179775280898923E-2</v>
      </c>
      <c r="CJ75" s="4">
        <f t="shared" si="243"/>
        <v>-0.17391304347826089</v>
      </c>
      <c r="CK75" s="4">
        <f t="shared" si="243"/>
        <v>-5.4545454545454591E-2</v>
      </c>
      <c r="CL75" s="4">
        <f t="shared" si="243"/>
        <v>-4.7673098751418883E-2</v>
      </c>
      <c r="CM75" s="4">
        <f t="shared" si="243"/>
        <v>-4.6706586826347214E-2</v>
      </c>
      <c r="CN75" s="4">
        <f t="shared" si="243"/>
        <v>-5.8194774346793272E-2</v>
      </c>
      <c r="CO75" s="4">
        <f t="shared" si="243"/>
        <v>-4.7678795483061517E-2</v>
      </c>
      <c r="CP75" s="4">
        <f t="shared" si="243"/>
        <v>-0.12446808510638298</v>
      </c>
      <c r="CQ75" s="4">
        <f t="shared" si="243"/>
        <v>-0.18004338394793928</v>
      </c>
      <c r="CR75" s="4">
        <f t="shared" si="243"/>
        <v>-3.9099526066350615E-2</v>
      </c>
      <c r="CS75" s="4">
        <f t="shared" si="243"/>
        <v>-4.9520766773162986E-2</v>
      </c>
      <c r="CT75" s="4">
        <f t="shared" si="243"/>
        <v>-0.11194029850746268</v>
      </c>
      <c r="CU75" s="4">
        <f t="shared" si="243"/>
        <v>-0.19866814650388462</v>
      </c>
      <c r="CV75" s="4">
        <f t="shared" si="243"/>
        <v>-0.1187683284457479</v>
      </c>
      <c r="CW75" s="4">
        <f t="shared" si="243"/>
        <v>-5.663430420711979E-2</v>
      </c>
      <c r="CX75" s="4">
        <f t="shared" si="243"/>
        <v>-6.0869565217391355E-2</v>
      </c>
      <c r="CY75" s="4">
        <f t="shared" si="243"/>
        <v>-0.10901001112347049</v>
      </c>
      <c r="CZ75" s="4">
        <f t="shared" si="243"/>
        <v>-0.187961985216473</v>
      </c>
      <c r="DA75" s="4">
        <f t="shared" si="243"/>
        <v>-0.29875518672199164</v>
      </c>
      <c r="DB75" s="4">
        <f t="shared" si="243"/>
        <v>-7.2251308900523517E-2</v>
      </c>
      <c r="DC75" s="4">
        <f t="shared" si="243"/>
        <v>-5.4687500000000049E-2</v>
      </c>
      <c r="DD75" s="4">
        <f t="shared" si="243"/>
        <v>-6.0122699386502991E-2</v>
      </c>
      <c r="DE75" s="4">
        <f t="shared" si="243"/>
        <v>-4.0995607613470021E-2</v>
      </c>
      <c r="DF75" s="4">
        <f t="shared" si="243"/>
        <v>-5.295007564296525E-2</v>
      </c>
      <c r="DG75" s="4">
        <f t="shared" si="243"/>
        <v>-1.8181818181818198E-2</v>
      </c>
      <c r="DH75" s="4">
        <f t="shared" si="243"/>
        <v>2.2701475595913755E-3</v>
      </c>
      <c r="DI75" s="4">
        <f t="shared" si="243"/>
        <v>-0.17217787913340937</v>
      </c>
      <c r="DJ75" s="4">
        <f t="shared" si="243"/>
        <v>-0.28128587830080365</v>
      </c>
      <c r="DK75" s="8">
        <f t="shared" si="243"/>
        <v>-0.28553921568627449</v>
      </c>
      <c r="DL75" s="8">
        <f t="shared" si="243"/>
        <v>-0.49313358302122345</v>
      </c>
      <c r="DM75" s="4">
        <f t="shared" si="243"/>
        <v>-0.4777777777777778</v>
      </c>
      <c r="DN75" s="4">
        <f t="shared" si="243"/>
        <v>-6.1255742725880601E-2</v>
      </c>
      <c r="DO75" s="4">
        <f t="shared" si="243"/>
        <v>-8.6146682188591339E-2</v>
      </c>
      <c r="DP75" s="8">
        <f t="shared" si="243"/>
        <v>-0.16646989374262103</v>
      </c>
      <c r="DQ75" s="4">
        <f t="shared" si="243"/>
        <v>-3.3259423503325973E-3</v>
      </c>
      <c r="DR75" s="8">
        <f t="shared" si="243"/>
        <v>-0.10125000000000009</v>
      </c>
      <c r="DS75" s="4">
        <f t="shared" si="243"/>
        <v>7.211538461538468E-3</v>
      </c>
      <c r="DT75" s="10">
        <f t="shared" si="243"/>
        <v>3.2967032967032993E-3</v>
      </c>
      <c r="DU75" s="4">
        <f t="shared" si="243"/>
        <v>3.4369885433715254E-2</v>
      </c>
      <c r="DV75" s="4">
        <f t="shared" si="243"/>
        <v>-8.2177161152614794E-2</v>
      </c>
      <c r="DW75" s="4">
        <f t="shared" si="243"/>
        <v>-8.0291970802919652E-2</v>
      </c>
      <c r="DX75" s="4">
        <f t="shared" si="243"/>
        <v>0</v>
      </c>
      <c r="DY75" s="4">
        <f t="shared" si="243"/>
        <v>-2.3809523809523832E-2</v>
      </c>
      <c r="DZ75" s="4">
        <f t="shared" ref="DZ75:EX75" si="244">(DZ67-DZ58)/DZ58</f>
        <v>-4.8832271762207995E-2</v>
      </c>
      <c r="EA75" s="4">
        <f t="shared" si="244"/>
        <v>-7.9781420765027394E-2</v>
      </c>
      <c r="EB75" s="4">
        <f t="shared" si="244"/>
        <v>-4.0348964013086186E-2</v>
      </c>
      <c r="EC75" s="4">
        <f t="shared" si="244"/>
        <v>-6.4231738035264538E-2</v>
      </c>
      <c r="ED75" s="4">
        <f t="shared" si="244"/>
        <v>-5.5374592833876267E-2</v>
      </c>
      <c r="EE75" s="4">
        <f t="shared" si="244"/>
        <v>-4.0704070407040736E-2</v>
      </c>
      <c r="EF75" s="4">
        <f t="shared" si="244"/>
        <v>-0.11398963730569947</v>
      </c>
      <c r="EG75" s="4">
        <f t="shared" si="244"/>
        <v>-0.13096446700507614</v>
      </c>
      <c r="EH75" s="4">
        <f t="shared" si="244"/>
        <v>-0.20236686390532538</v>
      </c>
      <c r="EI75" s="4">
        <f t="shared" si="244"/>
        <v>-0.22576687116564412</v>
      </c>
      <c r="EJ75" s="4">
        <f t="shared" si="244"/>
        <v>-0.24299065420560745</v>
      </c>
      <c r="EK75" s="4">
        <f t="shared" si="244"/>
        <v>-0.14074074074074086</v>
      </c>
      <c r="EL75" s="4">
        <f t="shared" si="244"/>
        <v>-0.15947242206235013</v>
      </c>
      <c r="EM75" s="4">
        <f t="shared" si="244"/>
        <v>-0.17647058823529402</v>
      </c>
      <c r="EN75" s="4">
        <f t="shared" si="244"/>
        <v>-0.22441860465116273</v>
      </c>
      <c r="EO75" s="4">
        <f t="shared" si="244"/>
        <v>-0.19298245614035092</v>
      </c>
      <c r="EP75" s="4">
        <f t="shared" si="244"/>
        <v>-0.29404761904761906</v>
      </c>
      <c r="EQ75" s="8">
        <f t="shared" si="244"/>
        <v>-0.204954954954955</v>
      </c>
      <c r="ER75" s="4">
        <f t="shared" si="244"/>
        <v>-0.29068462401795736</v>
      </c>
      <c r="ES75" s="4">
        <f t="shared" si="244"/>
        <v>-0.14810126582278479</v>
      </c>
      <c r="ET75" s="4">
        <f t="shared" si="244"/>
        <v>-2.3166023166023186E-2</v>
      </c>
      <c r="EU75" s="4">
        <f t="shared" si="244"/>
        <v>-0.1772727272727273</v>
      </c>
      <c r="EV75" s="4">
        <f t="shared" si="244"/>
        <v>-0.11583924349881794</v>
      </c>
      <c r="EW75" s="4">
        <f t="shared" si="244"/>
        <v>-0.10035005834305714</v>
      </c>
      <c r="EX75" s="4">
        <f t="shared" si="244"/>
        <v>-1.4760147601475893E-2</v>
      </c>
      <c r="EY75" s="4">
        <f t="shared" si="237"/>
        <v>-2.219626168224301E-2</v>
      </c>
      <c r="EZ75" s="4">
        <f t="shared" si="237"/>
        <v>-0.25058823529411761</v>
      </c>
      <c r="FA75" s="8">
        <f t="shared" ref="FA75:FB75" si="245">(FA67-FA58)/FA58</f>
        <v>-0.21109770808202646</v>
      </c>
      <c r="FB75" s="10">
        <f t="shared" si="245"/>
        <v>-0.1574519230769231</v>
      </c>
      <c r="FC75" s="10">
        <f t="shared" ref="FC75:FD75" si="246">(FC67-FC58)/FC58</f>
        <v>-9.7600000000000089E-2</v>
      </c>
      <c r="FD75" s="10">
        <f t="shared" si="246"/>
        <v>-0.18528252299605782</v>
      </c>
      <c r="FE75" s="10">
        <f t="shared" ref="FE75:FF75" si="247">(FE67-FE58)/FE58</f>
        <v>-0.17587209302325582</v>
      </c>
      <c r="FF75" s="10">
        <f t="shared" si="247"/>
        <v>-0.10761789600967349</v>
      </c>
      <c r="FG75" s="4"/>
      <c r="FH75" s="4"/>
      <c r="FI75" s="4"/>
      <c r="FJ75" s="4"/>
      <c r="FK75" s="4"/>
      <c r="FL75" s="4"/>
    </row>
    <row r="76" spans="1:168" x14ac:dyDescent="0.3">
      <c r="A76" t="s">
        <v>229</v>
      </c>
      <c r="B76" s="4">
        <f t="shared" ref="B76:BM76" si="248">(B68-B59)/B59</f>
        <v>1.5384615384615398E-2</v>
      </c>
      <c r="C76" s="4">
        <f t="shared" si="248"/>
        <v>3.5294117647058691E-2</v>
      </c>
      <c r="D76" s="4">
        <f t="shared" si="248"/>
        <v>2.7027027027027053E-2</v>
      </c>
      <c r="E76" s="4">
        <f t="shared" si="248"/>
        <v>2.7027027027027053E-2</v>
      </c>
      <c r="F76" s="4">
        <f t="shared" si="248"/>
        <v>2.8571428571428397E-2</v>
      </c>
      <c r="G76" s="4">
        <f t="shared" si="248"/>
        <v>3.0769230769230795E-2</v>
      </c>
      <c r="H76" s="4">
        <f t="shared" si="248"/>
        <v>1.8867924528301903E-2</v>
      </c>
      <c r="I76" s="4">
        <f t="shared" si="248"/>
        <v>0.15873015873015864</v>
      </c>
      <c r="J76" s="4">
        <f t="shared" si="248"/>
        <v>9.8360655737705013E-2</v>
      </c>
      <c r="K76" s="4">
        <f t="shared" si="248"/>
        <v>0.32258064516129037</v>
      </c>
      <c r="L76" s="4">
        <f t="shared" si="248"/>
        <v>0.21686746987951808</v>
      </c>
      <c r="M76" s="4">
        <f t="shared" si="248"/>
        <v>0.22033898305084743</v>
      </c>
      <c r="N76" s="4">
        <f t="shared" si="248"/>
        <v>1.4561403508771933</v>
      </c>
      <c r="O76" s="4">
        <f t="shared" si="248"/>
        <v>0.96</v>
      </c>
      <c r="P76" s="4">
        <f t="shared" si="248"/>
        <v>0.84745762711864414</v>
      </c>
      <c r="Q76" s="4">
        <f t="shared" si="248"/>
        <v>0.953125</v>
      </c>
      <c r="R76" s="4">
        <f t="shared" si="248"/>
        <v>0.16666666666666682</v>
      </c>
      <c r="S76" s="4">
        <f t="shared" si="248"/>
        <v>8.1967213114754175E-2</v>
      </c>
      <c r="T76" s="4">
        <f t="shared" si="248"/>
        <v>0.35</v>
      </c>
      <c r="U76" s="4">
        <f t="shared" si="248"/>
        <v>0.15873015873015864</v>
      </c>
      <c r="V76" s="4">
        <f t="shared" si="248"/>
        <v>1.5151515151515164E-2</v>
      </c>
      <c r="W76" s="4">
        <f t="shared" si="248"/>
        <v>0.12000000000000011</v>
      </c>
      <c r="X76" s="4">
        <f t="shared" si="248"/>
        <v>1.9999999999999879E-2</v>
      </c>
      <c r="Y76" s="4">
        <f t="shared" si="248"/>
        <v>0.19696969696969693</v>
      </c>
      <c r="Z76" s="4">
        <f t="shared" si="248"/>
        <v>0.32857142857142846</v>
      </c>
      <c r="AA76" s="4">
        <f t="shared" si="248"/>
        <v>0</v>
      </c>
      <c r="AB76" s="4">
        <f t="shared" si="248"/>
        <v>-1.3698630136986314E-2</v>
      </c>
      <c r="AC76" s="4">
        <f t="shared" si="248"/>
        <v>-1.1363636363636374E-2</v>
      </c>
      <c r="AD76" s="4">
        <f t="shared" si="248"/>
        <v>3.9999999999999897E-2</v>
      </c>
      <c r="AE76" s="4">
        <f t="shared" si="248"/>
        <v>0</v>
      </c>
      <c r="AF76" s="4">
        <f t="shared" si="248"/>
        <v>-1.2987012987012998E-2</v>
      </c>
      <c r="AG76" s="4">
        <f t="shared" si="248"/>
        <v>0.32432432432432445</v>
      </c>
      <c r="AH76" s="4">
        <f t="shared" si="248"/>
        <v>0.28395061728395049</v>
      </c>
      <c r="AI76" s="4">
        <f t="shared" si="248"/>
        <v>0.37735849056603771</v>
      </c>
      <c r="AJ76" s="4">
        <f t="shared" si="248"/>
        <v>9.6153846153846242E-2</v>
      </c>
      <c r="AK76" s="4">
        <f t="shared" si="248"/>
        <v>6.6666666666666735E-2</v>
      </c>
      <c r="AL76" s="4">
        <f t="shared" si="248"/>
        <v>9.8039215686274606E-2</v>
      </c>
      <c r="AM76" s="4">
        <f t="shared" si="248"/>
        <v>2.6086956521739032E-2</v>
      </c>
      <c r="AN76" s="4">
        <f t="shared" si="248"/>
        <v>5.9523809523809409E-2</v>
      </c>
      <c r="AO76" s="4">
        <f t="shared" si="248"/>
        <v>0.3454545454545454</v>
      </c>
      <c r="AP76" s="4">
        <f t="shared" si="248"/>
        <v>0.91111111111111098</v>
      </c>
      <c r="AQ76" s="4">
        <f t="shared" si="248"/>
        <v>0.34426229508196732</v>
      </c>
      <c r="AR76" s="4">
        <f t="shared" si="248"/>
        <v>0.5641025641025641</v>
      </c>
      <c r="AS76" s="4">
        <f t="shared" si="248"/>
        <v>4.3956043956043994E-2</v>
      </c>
      <c r="AT76" s="4">
        <f t="shared" si="248"/>
        <v>3.8192771084337349</v>
      </c>
      <c r="AU76" s="4">
        <f t="shared" si="248"/>
        <v>1.1555555555555557</v>
      </c>
      <c r="AV76" s="4">
        <f t="shared" si="248"/>
        <v>0.20253164556962025</v>
      </c>
      <c r="AW76" s="4">
        <f t="shared" si="248"/>
        <v>0.34848484848484834</v>
      </c>
      <c r="AX76" s="4">
        <f t="shared" si="248"/>
        <v>0.21794871794871795</v>
      </c>
      <c r="AY76" s="4">
        <f t="shared" si="248"/>
        <v>0.27499999999999991</v>
      </c>
      <c r="AZ76" s="4">
        <f t="shared" si="248"/>
        <v>0.13684210526315788</v>
      </c>
      <c r="BA76" s="4">
        <f t="shared" si="248"/>
        <v>0.51937984496124034</v>
      </c>
      <c r="BB76" s="4">
        <f t="shared" si="248"/>
        <v>0.60416666666666663</v>
      </c>
      <c r="BC76" s="8">
        <f t="shared" si="248"/>
        <v>0.51724137931034497</v>
      </c>
      <c r="BD76" s="8">
        <f t="shared" ref="BD76" si="249">(BD68-BD59)/BD59</f>
        <v>-0.10169491525423727</v>
      </c>
      <c r="BE76" s="4">
        <f t="shared" si="248"/>
        <v>0.51111111111111129</v>
      </c>
      <c r="BF76" s="4">
        <f t="shared" si="248"/>
        <v>5.4545454545454591E-2</v>
      </c>
      <c r="BG76" s="4">
        <f t="shared" si="248"/>
        <v>4.2153846153846155</v>
      </c>
      <c r="BH76" s="4">
        <f t="shared" si="248"/>
        <v>0.12068965517241377</v>
      </c>
      <c r="BI76" s="4">
        <f t="shared" si="248"/>
        <v>1.6962025316455698</v>
      </c>
      <c r="BJ76" s="4">
        <f t="shared" si="248"/>
        <v>1.2500000000000011E-2</v>
      </c>
      <c r="BK76" s="4">
        <f t="shared" si="248"/>
        <v>0.10344827586206894</v>
      </c>
      <c r="BL76" s="4">
        <f t="shared" si="248"/>
        <v>6.0869565217391237E-2</v>
      </c>
      <c r="BM76" s="4">
        <f t="shared" si="248"/>
        <v>0</v>
      </c>
      <c r="BN76" s="4">
        <f t="shared" ref="BN76:DY76" si="250">(BN68-BN59)/BN59</f>
        <v>4.4117647058823359E-2</v>
      </c>
      <c r="BO76" s="4">
        <f t="shared" si="250"/>
        <v>1.5384615384615398E-2</v>
      </c>
      <c r="BP76" s="4">
        <f t="shared" si="250"/>
        <v>0.13461538461538461</v>
      </c>
      <c r="BQ76" s="4">
        <f t="shared" si="250"/>
        <v>0.64444444444444438</v>
      </c>
      <c r="BR76" s="4">
        <f t="shared" si="250"/>
        <v>0.16393442622950813</v>
      </c>
      <c r="BS76" s="4">
        <f t="shared" si="250"/>
        <v>0.14285714285714277</v>
      </c>
      <c r="BT76" s="10">
        <f t="shared" si="250"/>
        <v>0.20000000000000004</v>
      </c>
      <c r="BU76" s="4">
        <f t="shared" si="250"/>
        <v>0.19444444444444445</v>
      </c>
      <c r="BV76" s="4">
        <f t="shared" si="250"/>
        <v>4.2553191489361743E-2</v>
      </c>
      <c r="BW76" s="4">
        <f t="shared" si="250"/>
        <v>0.52727272727272734</v>
      </c>
      <c r="BX76" s="4">
        <f t="shared" si="250"/>
        <v>0.3454545454545454</v>
      </c>
      <c r="BY76" s="4">
        <f t="shared" si="250"/>
        <v>0.30985915492957755</v>
      </c>
      <c r="BZ76" s="4">
        <f t="shared" si="250"/>
        <v>7.5757575757575607E-2</v>
      </c>
      <c r="CA76" s="4">
        <f t="shared" si="250"/>
        <v>0.1333333333333333</v>
      </c>
      <c r="CB76" s="4">
        <f t="shared" si="250"/>
        <v>7.2727272727272668E-2</v>
      </c>
      <c r="CC76" s="4">
        <f t="shared" si="250"/>
        <v>0.11666666666666678</v>
      </c>
      <c r="CD76" s="4">
        <f t="shared" si="250"/>
        <v>6.8965517241379254E-2</v>
      </c>
      <c r="CE76" s="4">
        <f t="shared" si="250"/>
        <v>0.11538461538461549</v>
      </c>
      <c r="CF76" s="4">
        <f t="shared" si="250"/>
        <v>6.7796610169491595E-2</v>
      </c>
      <c r="CG76" s="4">
        <f t="shared" si="250"/>
        <v>0.16363636363636366</v>
      </c>
      <c r="CH76" s="4">
        <f t="shared" si="250"/>
        <v>0.13953488372093037</v>
      </c>
      <c r="CI76" s="4">
        <f t="shared" si="250"/>
        <v>0.10606060606060594</v>
      </c>
      <c r="CJ76" s="4">
        <f t="shared" si="250"/>
        <v>7.0422535211267678E-2</v>
      </c>
      <c r="CK76" s="4">
        <f t="shared" si="250"/>
        <v>0.19148936170212769</v>
      </c>
      <c r="CL76" s="4">
        <f t="shared" si="250"/>
        <v>0.16</v>
      </c>
      <c r="CM76" s="4">
        <f t="shared" si="250"/>
        <v>0.11538461538461549</v>
      </c>
      <c r="CN76" s="4">
        <f t="shared" si="250"/>
        <v>0.15384615384615377</v>
      </c>
      <c r="CO76" s="4">
        <f t="shared" si="250"/>
        <v>8.9285714285714246E-2</v>
      </c>
      <c r="CP76" s="4">
        <f t="shared" si="250"/>
        <v>0.73333333333333339</v>
      </c>
      <c r="CQ76" s="4">
        <f t="shared" si="250"/>
        <v>0.75609756097560954</v>
      </c>
      <c r="CR76" s="4">
        <f t="shared" si="250"/>
        <v>0.10000000000000009</v>
      </c>
      <c r="CS76" s="4">
        <f t="shared" si="250"/>
        <v>4.123711340206189E-2</v>
      </c>
      <c r="CT76" s="4">
        <f t="shared" si="250"/>
        <v>0.64583333333333337</v>
      </c>
      <c r="CU76" s="4">
        <f t="shared" si="250"/>
        <v>0.67796610169491545</v>
      </c>
      <c r="CV76" s="4">
        <f t="shared" si="250"/>
        <v>0.11764705882352934</v>
      </c>
      <c r="CW76" s="4">
        <f t="shared" si="250"/>
        <v>4.0000000000000036E-2</v>
      </c>
      <c r="CX76" s="4">
        <f t="shared" si="250"/>
        <v>0.11494252873563229</v>
      </c>
      <c r="CY76" s="4">
        <f t="shared" si="250"/>
        <v>0.61176470588235299</v>
      </c>
      <c r="CZ76" s="4">
        <f t="shared" si="250"/>
        <v>1.1129032258064517</v>
      </c>
      <c r="DA76" s="4">
        <f t="shared" si="250"/>
        <v>1.5333333333333334</v>
      </c>
      <c r="DB76" s="4">
        <f t="shared" si="250"/>
        <v>0.58490566037735858</v>
      </c>
      <c r="DC76" s="4">
        <f t="shared" si="250"/>
        <v>4.7169811320754762E-2</v>
      </c>
      <c r="DD76" s="4">
        <f t="shared" si="250"/>
        <v>0.1212121212121211</v>
      </c>
      <c r="DE76" s="4">
        <f t="shared" si="250"/>
        <v>4.5454545454545497E-2</v>
      </c>
      <c r="DF76" s="4">
        <f t="shared" si="250"/>
        <v>4.4444444444444488E-2</v>
      </c>
      <c r="DG76" s="4">
        <f t="shared" si="250"/>
        <v>0.66666666666666674</v>
      </c>
      <c r="DH76" s="4">
        <f t="shared" si="250"/>
        <v>0</v>
      </c>
      <c r="DI76" s="4">
        <f t="shared" si="250"/>
        <v>0.48717948717948728</v>
      </c>
      <c r="DJ76" s="4">
        <f t="shared" si="250"/>
        <v>0.69512195121951226</v>
      </c>
      <c r="DK76" s="8">
        <f t="shared" si="250"/>
        <v>0.50442477876106206</v>
      </c>
      <c r="DL76" s="8">
        <f t="shared" si="250"/>
        <v>0.72527472527472536</v>
      </c>
      <c r="DM76" s="4">
        <f t="shared" si="250"/>
        <v>0.73786407766990292</v>
      </c>
      <c r="DN76" s="4">
        <f t="shared" si="250"/>
        <v>5.5837563451776553E-2</v>
      </c>
      <c r="DO76" s="4">
        <f t="shared" si="250"/>
        <v>0.2394366197183099</v>
      </c>
      <c r="DP76" s="8">
        <f t="shared" si="250"/>
        <v>0.3862068965517243</v>
      </c>
      <c r="DQ76" s="4">
        <f t="shared" si="250"/>
        <v>1.7391304347826101E-2</v>
      </c>
      <c r="DR76" s="8">
        <f t="shared" si="250"/>
        <v>0.18404907975460122</v>
      </c>
      <c r="DS76" s="4">
        <f t="shared" si="250"/>
        <v>-1.0526315789473693E-2</v>
      </c>
      <c r="DT76" s="10">
        <f t="shared" si="250"/>
        <v>-1.4705882352941188E-2</v>
      </c>
      <c r="DU76" s="4">
        <f t="shared" si="250"/>
        <v>-2.0408163265306138E-2</v>
      </c>
      <c r="DV76" s="4">
        <f t="shared" si="250"/>
        <v>0.48214285714285721</v>
      </c>
      <c r="DW76" s="4">
        <f t="shared" si="250"/>
        <v>0.169811320754717</v>
      </c>
      <c r="DX76" s="4">
        <f t="shared" si="250"/>
        <v>0</v>
      </c>
      <c r="DY76" s="4">
        <f t="shared" si="250"/>
        <v>0.29166666666666663</v>
      </c>
      <c r="DZ76" s="4">
        <f t="shared" ref="DZ76:EX76" si="251">(DZ68-DZ59)/DZ59</f>
        <v>0.35087719298245607</v>
      </c>
      <c r="EA76" s="4">
        <f t="shared" si="251"/>
        <v>0.36619718309859173</v>
      </c>
      <c r="EB76" s="4">
        <f t="shared" si="251"/>
        <v>0.19354838709677413</v>
      </c>
      <c r="EC76" s="4">
        <f t="shared" si="251"/>
        <v>0.11764705882352934</v>
      </c>
      <c r="ED76" s="4">
        <f t="shared" si="251"/>
        <v>0.27142857142857124</v>
      </c>
      <c r="EE76" s="4">
        <f t="shared" si="251"/>
        <v>0.18666666666666665</v>
      </c>
      <c r="EF76" s="4">
        <f t="shared" si="251"/>
        <v>1.0212765957446808</v>
      </c>
      <c r="EG76" s="4">
        <f t="shared" si="251"/>
        <v>2.15625</v>
      </c>
      <c r="EH76" s="4">
        <f t="shared" si="251"/>
        <v>0.44444444444444448</v>
      </c>
      <c r="EI76" s="4">
        <f t="shared" si="251"/>
        <v>0.40000000000000013</v>
      </c>
      <c r="EJ76" s="4">
        <f t="shared" si="251"/>
        <v>0.57407407407407418</v>
      </c>
      <c r="EK76" s="4">
        <f t="shared" si="251"/>
        <v>0.26229508196721313</v>
      </c>
      <c r="EL76" s="4">
        <f t="shared" si="251"/>
        <v>0.3333333333333332</v>
      </c>
      <c r="EM76" s="4">
        <f t="shared" si="251"/>
        <v>0.37096774193548399</v>
      </c>
      <c r="EN76" s="4">
        <f t="shared" si="251"/>
        <v>0.54901960784313741</v>
      </c>
      <c r="EO76" s="4">
        <f t="shared" si="251"/>
        <v>0.46551724137931039</v>
      </c>
      <c r="EP76" s="4">
        <f t="shared" si="251"/>
        <v>0.59322033898305093</v>
      </c>
      <c r="EQ76" s="8">
        <f t="shared" si="251"/>
        <v>0.61111111111111105</v>
      </c>
      <c r="ER76" s="4">
        <f t="shared" si="251"/>
        <v>0.85245901639344268</v>
      </c>
      <c r="ES76" s="4">
        <f t="shared" si="251"/>
        <v>0.24242424242424243</v>
      </c>
      <c r="ET76" s="4">
        <f t="shared" si="251"/>
        <v>3.7974683544303833E-2</v>
      </c>
      <c r="EU76" s="4">
        <f t="shared" si="251"/>
        <v>0.51724137931034497</v>
      </c>
      <c r="EV76" s="4">
        <f t="shared" si="251"/>
        <v>0.28235294117647047</v>
      </c>
      <c r="EW76" s="4">
        <f t="shared" si="251"/>
        <v>0.27777777777777785</v>
      </c>
      <c r="EX76" s="4">
        <f t="shared" si="251"/>
        <v>3.2786885245901669E-2</v>
      </c>
      <c r="EY76" s="4">
        <f t="shared" si="237"/>
        <v>5.2631578947368342E-2</v>
      </c>
      <c r="EZ76" s="4">
        <f t="shared" si="237"/>
        <v>0.55555555555555558</v>
      </c>
      <c r="FA76" s="8">
        <f t="shared" ref="FA76:FB76" si="252">(FA68-FA59)/FA59</f>
        <v>0.42253521126760585</v>
      </c>
      <c r="FB76" s="10">
        <f t="shared" si="252"/>
        <v>0.32203389830508483</v>
      </c>
      <c r="FC76" s="10">
        <f t="shared" ref="FC76:FD76" si="253">(FC68-FC59)/FC59</f>
        <v>6.5789473684210592E-2</v>
      </c>
      <c r="FD76" s="10">
        <f t="shared" si="253"/>
        <v>0.26153846153846155</v>
      </c>
      <c r="FE76" s="10">
        <f t="shared" ref="FE76:FF76" si="254">(FE68-FE59)/FE59</f>
        <v>0.17142857142857137</v>
      </c>
      <c r="FF76" s="10">
        <f t="shared" si="254"/>
        <v>0.21666666666666665</v>
      </c>
      <c r="FG76" s="4"/>
      <c r="FH76" s="4"/>
      <c r="FI76" s="4"/>
      <c r="FJ76" s="4"/>
      <c r="FK76" s="4"/>
      <c r="FL76" s="4"/>
    </row>
    <row r="77" spans="1:168" x14ac:dyDescent="0.3">
      <c r="A77" t="s">
        <v>230</v>
      </c>
      <c r="B77" s="4">
        <f t="shared" ref="B77:BM77" si="255">(B69-B60)/B60</f>
        <v>0.24719101123595513</v>
      </c>
      <c r="C77" s="4">
        <f t="shared" si="255"/>
        <v>0.32558139534883729</v>
      </c>
      <c r="D77" s="4">
        <f t="shared" si="255"/>
        <v>0.33653846153846173</v>
      </c>
      <c r="E77" s="4">
        <f t="shared" si="255"/>
        <v>0.36538461538461531</v>
      </c>
      <c r="F77" s="4">
        <f t="shared" si="255"/>
        <v>0.32989690721649484</v>
      </c>
      <c r="G77" s="4">
        <f t="shared" si="255"/>
        <v>0.34831460674157305</v>
      </c>
      <c r="H77" s="4">
        <f t="shared" si="255"/>
        <v>0.14999999999999997</v>
      </c>
      <c r="I77" s="4">
        <f t="shared" si="255"/>
        <v>1.0266666666666666</v>
      </c>
      <c r="J77" s="4">
        <f t="shared" si="255"/>
        <v>1.2173913043478259</v>
      </c>
      <c r="K77" s="4">
        <f t="shared" si="255"/>
        <v>1.8333333333333333</v>
      </c>
      <c r="L77" s="4">
        <f t="shared" si="255"/>
        <v>3.1272727272727274</v>
      </c>
      <c r="M77" s="4">
        <f t="shared" si="255"/>
        <v>1.0298507462686568</v>
      </c>
      <c r="N77" s="4">
        <f t="shared" si="255"/>
        <v>2.375</v>
      </c>
      <c r="O77" s="4">
        <f t="shared" si="255"/>
        <v>2.6470588235294121</v>
      </c>
      <c r="P77" s="4">
        <f t="shared" si="255"/>
        <v>5.5306122448979593</v>
      </c>
      <c r="Q77" s="4">
        <f t="shared" si="255"/>
        <v>10.216216216216218</v>
      </c>
      <c r="R77" s="4">
        <f t="shared" si="255"/>
        <v>0.82812500000000011</v>
      </c>
      <c r="S77" s="4">
        <f t="shared" si="255"/>
        <v>0.81818181818181834</v>
      </c>
      <c r="T77" s="4">
        <f t="shared" si="255"/>
        <v>1.34</v>
      </c>
      <c r="U77" s="4">
        <f t="shared" si="255"/>
        <v>1.3026315789473684</v>
      </c>
      <c r="V77" s="4">
        <f t="shared" si="255"/>
        <v>0.18811881188118801</v>
      </c>
      <c r="W77" s="4">
        <f t="shared" si="255"/>
        <v>0.51923076923076927</v>
      </c>
      <c r="X77" s="4">
        <f t="shared" si="255"/>
        <v>0.75675675675675691</v>
      </c>
      <c r="Y77" s="4">
        <f t="shared" si="255"/>
        <v>0.77611940298507442</v>
      </c>
      <c r="Z77" s="4">
        <f t="shared" si="255"/>
        <v>1.2051282051282051</v>
      </c>
      <c r="AA77" s="4">
        <f t="shared" si="255"/>
        <v>4.7169811320754762E-2</v>
      </c>
      <c r="AB77" s="4">
        <f t="shared" si="255"/>
        <v>1.2048192771084347E-2</v>
      </c>
      <c r="AC77" s="4">
        <f t="shared" si="255"/>
        <v>-9.9009900990099098E-3</v>
      </c>
      <c r="AD77" s="4">
        <f t="shared" si="255"/>
        <v>0.27407407407407391</v>
      </c>
      <c r="AE77" s="4">
        <f t="shared" si="255"/>
        <v>0</v>
      </c>
      <c r="AF77" s="4">
        <f t="shared" si="255"/>
        <v>0</v>
      </c>
      <c r="AG77" s="4">
        <f t="shared" si="255"/>
        <v>5.3877551020408161</v>
      </c>
      <c r="AH77" s="4">
        <f t="shared" si="255"/>
        <v>3.6451612903225805</v>
      </c>
      <c r="AI77" s="4">
        <f t="shared" si="255"/>
        <v>6.7234042553191493</v>
      </c>
      <c r="AJ77" s="4">
        <f t="shared" si="255"/>
        <v>0.64473684210526316</v>
      </c>
      <c r="AK77" s="4">
        <f t="shared" si="255"/>
        <v>0.46315789473684221</v>
      </c>
      <c r="AL77" s="4">
        <f t="shared" si="255"/>
        <v>0.54166666666666685</v>
      </c>
      <c r="AM77" s="4">
        <f t="shared" si="255"/>
        <v>1.5280898876404496</v>
      </c>
      <c r="AN77" s="4">
        <f t="shared" si="255"/>
        <v>1.7750000000000001</v>
      </c>
      <c r="AO77" s="4">
        <f t="shared" si="255"/>
        <v>5.2244897959183669</v>
      </c>
      <c r="AP77" s="4">
        <f t="shared" si="255"/>
        <v>4.0576923076923084</v>
      </c>
      <c r="AQ77" s="4">
        <f t="shared" si="255"/>
        <v>2.7118644067796613</v>
      </c>
      <c r="AR77" s="4">
        <f t="shared" si="255"/>
        <v>3.2727272727272734</v>
      </c>
      <c r="AS77" s="4">
        <f t="shared" si="255"/>
        <v>0.38281249999999989</v>
      </c>
      <c r="AT77" s="4">
        <f t="shared" si="255"/>
        <v>4.6338028169014089</v>
      </c>
      <c r="AU77" s="4">
        <f t="shared" si="255"/>
        <v>3.1</v>
      </c>
      <c r="AV77" s="4">
        <f t="shared" si="255"/>
        <v>1.0978260869565217</v>
      </c>
      <c r="AW77" s="4">
        <f t="shared" si="255"/>
        <v>1.2386363636363638</v>
      </c>
      <c r="AX77" s="4">
        <f t="shared" si="255"/>
        <v>1.5</v>
      </c>
      <c r="AY77" s="4">
        <f t="shared" si="255"/>
        <v>1.5257731958762886</v>
      </c>
      <c r="AZ77" s="4">
        <f t="shared" si="255"/>
        <v>2.0816326530612241</v>
      </c>
      <c r="BA77" s="4">
        <f t="shared" si="255"/>
        <v>5.5</v>
      </c>
      <c r="BB77" s="4">
        <f t="shared" si="255"/>
        <v>3.0625</v>
      </c>
      <c r="BC77" s="8">
        <f t="shared" si="255"/>
        <v>1.453125</v>
      </c>
      <c r="BD77" s="8">
        <f t="shared" ref="BD77" si="256">(BD69-BD60)/BD60</f>
        <v>0.48648648648648657</v>
      </c>
      <c r="BE77" s="4">
        <f t="shared" si="255"/>
        <v>2.4054054054054053</v>
      </c>
      <c r="BF77" s="4">
        <f t="shared" si="255"/>
        <v>0.31707317073170727</v>
      </c>
      <c r="BG77" s="4">
        <f t="shared" si="255"/>
        <v>8.9090909090909101</v>
      </c>
      <c r="BH77" s="4">
        <f t="shared" si="255"/>
        <v>1.153846153846154</v>
      </c>
      <c r="BI77" s="4">
        <f t="shared" si="255"/>
        <v>2.5507246376811592</v>
      </c>
      <c r="BJ77" s="4">
        <f t="shared" si="255"/>
        <v>5.2173913043478182E-2</v>
      </c>
      <c r="BK77" s="4">
        <f t="shared" si="255"/>
        <v>0.82926829268292668</v>
      </c>
      <c r="BL77" s="4">
        <f t="shared" si="255"/>
        <v>1.09375</v>
      </c>
      <c r="BM77" s="4">
        <f t="shared" si="255"/>
        <v>0.21739130434782614</v>
      </c>
      <c r="BN77" s="4">
        <f t="shared" ref="BN77:DY77" si="257">(BN69-BN60)/BN60</f>
        <v>0.58241758241758235</v>
      </c>
      <c r="BO77" s="4">
        <f t="shared" si="257"/>
        <v>0.11403508771929823</v>
      </c>
      <c r="BP77" s="4">
        <f t="shared" si="257"/>
        <v>0.62903225806451624</v>
      </c>
      <c r="BQ77" s="4">
        <f t="shared" si="257"/>
        <v>1.9230769230769234</v>
      </c>
      <c r="BR77" s="4">
        <f t="shared" si="257"/>
        <v>1.0675675675675675</v>
      </c>
      <c r="BS77" s="4">
        <f t="shared" si="257"/>
        <v>0.84999999999999987</v>
      </c>
      <c r="BT77" s="10">
        <f t="shared" si="257"/>
        <v>1.8767123287671235</v>
      </c>
      <c r="BU77" s="4">
        <f t="shared" si="257"/>
        <v>1.4927536231884053</v>
      </c>
      <c r="BV77" s="4">
        <f t="shared" si="257"/>
        <v>0.61666666666666681</v>
      </c>
      <c r="BW77" s="4">
        <f t="shared" si="257"/>
        <v>2.8333333333333335</v>
      </c>
      <c r="BX77" s="4">
        <f t="shared" si="257"/>
        <v>1.4722222222222223</v>
      </c>
      <c r="BY77" s="4">
        <f t="shared" si="257"/>
        <v>2.1846153846153844</v>
      </c>
      <c r="BZ77" s="4">
        <f t="shared" si="257"/>
        <v>0.60919540229885083</v>
      </c>
      <c r="CA77" s="4">
        <f t="shared" si="257"/>
        <v>0.82258064516129037</v>
      </c>
      <c r="CB77" s="4">
        <f t="shared" si="257"/>
        <v>0.47368421052631587</v>
      </c>
      <c r="CC77" s="4">
        <f t="shared" si="257"/>
        <v>0.6629213483146067</v>
      </c>
      <c r="CD77" s="4">
        <f t="shared" si="257"/>
        <v>0.49411764705882344</v>
      </c>
      <c r="CE77" s="4">
        <f t="shared" si="257"/>
        <v>0.95833333333333326</v>
      </c>
      <c r="CF77" s="4">
        <f t="shared" si="257"/>
        <v>0.26470588235294129</v>
      </c>
      <c r="CG77" s="4">
        <f t="shared" si="257"/>
        <v>0.63750000000000007</v>
      </c>
      <c r="CH77" s="4">
        <f t="shared" si="257"/>
        <v>1.3064516129032255</v>
      </c>
      <c r="CI77" s="4">
        <f t="shared" si="257"/>
        <v>0.66666666666666685</v>
      </c>
      <c r="CJ77" s="4">
        <f t="shared" si="257"/>
        <v>0.27835051546391748</v>
      </c>
      <c r="CK77" s="4">
        <f t="shared" si="257"/>
        <v>1.3538461538461537</v>
      </c>
      <c r="CL77" s="4">
        <f t="shared" si="257"/>
        <v>1.639344262295082</v>
      </c>
      <c r="CM77" s="4">
        <f t="shared" si="257"/>
        <v>0.81944444444444464</v>
      </c>
      <c r="CN77" s="4">
        <f t="shared" si="257"/>
        <v>1.7307692307692308</v>
      </c>
      <c r="CO77" s="4">
        <f t="shared" si="257"/>
        <v>0.91860465116279089</v>
      </c>
      <c r="CP77" s="4">
        <f t="shared" si="257"/>
        <v>3</v>
      </c>
      <c r="CQ77" s="4">
        <f t="shared" si="257"/>
        <v>1.5740740740740744</v>
      </c>
      <c r="CR77" s="4">
        <f t="shared" si="257"/>
        <v>1.1395348837209303</v>
      </c>
      <c r="CS77" s="4">
        <f t="shared" si="257"/>
        <v>1.2333333333333336</v>
      </c>
      <c r="CT77" s="4">
        <f t="shared" si="257"/>
        <v>2.6976744186046515</v>
      </c>
      <c r="CU77" s="4">
        <f t="shared" si="257"/>
        <v>2.126984126984127</v>
      </c>
      <c r="CV77" s="4">
        <f t="shared" si="257"/>
        <v>1.141176470588235</v>
      </c>
      <c r="CW77" s="4">
        <f t="shared" si="257"/>
        <v>0.27551020408163263</v>
      </c>
      <c r="CX77" s="4">
        <f t="shared" si="257"/>
        <v>1.013157894736842</v>
      </c>
      <c r="CY77" s="4">
        <f t="shared" si="257"/>
        <v>2.7343749999999996</v>
      </c>
      <c r="CZ77" s="4">
        <f t="shared" si="257"/>
        <v>3.6153846153846154</v>
      </c>
      <c r="DA77" s="4">
        <f t="shared" si="257"/>
        <v>9.1290322580645178</v>
      </c>
      <c r="DB77" s="4">
        <f t="shared" si="257"/>
        <v>3.4999999999999996</v>
      </c>
      <c r="DC77" s="4">
        <f t="shared" si="257"/>
        <v>0.32653061224489793</v>
      </c>
      <c r="DD77" s="4">
        <f t="shared" si="257"/>
        <v>0.45762711864406774</v>
      </c>
      <c r="DE77" s="4">
        <f t="shared" si="257"/>
        <v>0.20253164556962025</v>
      </c>
      <c r="DF77" s="4">
        <f t="shared" si="257"/>
        <v>0.27058823529411752</v>
      </c>
      <c r="DG77" s="4">
        <f t="shared" si="257"/>
        <v>1.1612903225806452</v>
      </c>
      <c r="DH77" s="4">
        <f t="shared" si="257"/>
        <v>0.1212121212121211</v>
      </c>
      <c r="DI77" s="4">
        <f t="shared" si="257"/>
        <v>1.8852459016393441</v>
      </c>
      <c r="DJ77" s="4">
        <f t="shared" si="257"/>
        <v>2.4363636363636365</v>
      </c>
      <c r="DK77" s="8">
        <f t="shared" si="257"/>
        <v>1.8153846153846152</v>
      </c>
      <c r="DL77" s="8">
        <f t="shared" si="257"/>
        <v>1.6969696969696968</v>
      </c>
      <c r="DM77" s="4">
        <f t="shared" si="257"/>
        <v>1.8571428571428574</v>
      </c>
      <c r="DN77" s="4">
        <f t="shared" si="257"/>
        <v>1.4399999999999997</v>
      </c>
      <c r="DO77" s="4">
        <f t="shared" si="257"/>
        <v>2.6274509803921573</v>
      </c>
      <c r="DP77" s="8">
        <f t="shared" si="257"/>
        <v>4.0769230769230775</v>
      </c>
      <c r="DQ77" s="4">
        <f t="shared" si="257"/>
        <v>1.0909090909090911</v>
      </c>
      <c r="DR77" s="8">
        <f t="shared" si="257"/>
        <v>2.4166666666666665</v>
      </c>
      <c r="DS77" s="4">
        <f t="shared" si="257"/>
        <v>0.14285714285714279</v>
      </c>
      <c r="DT77" s="10">
        <f t="shared" si="257"/>
        <v>7.5757575757575607E-2</v>
      </c>
      <c r="DU77" s="4">
        <f t="shared" si="257"/>
        <v>2.6086956521739032E-2</v>
      </c>
      <c r="DV77" s="4">
        <f t="shared" si="257"/>
        <v>1.7499999999999998</v>
      </c>
      <c r="DW77" s="4">
        <f t="shared" si="257"/>
        <v>1.9610389610389614</v>
      </c>
      <c r="DX77" s="4">
        <f t="shared" si="257"/>
        <v>0.17391304347826086</v>
      </c>
      <c r="DY77" s="4">
        <f t="shared" si="257"/>
        <v>4.9387755102040813</v>
      </c>
      <c r="DZ77" s="4">
        <f t="shared" ref="DZ77:EX77" si="258">(DZ69-DZ60)/DZ60</f>
        <v>5.7450980392156863</v>
      </c>
      <c r="EA77" s="4">
        <f t="shared" si="258"/>
        <v>6.0652173913043486</v>
      </c>
      <c r="EB77" s="4">
        <f t="shared" si="258"/>
        <v>3.1016949152542375</v>
      </c>
      <c r="EC77" s="4">
        <f t="shared" si="258"/>
        <v>2.2328767123287672</v>
      </c>
      <c r="ED77" s="4">
        <f t="shared" si="258"/>
        <v>4</v>
      </c>
      <c r="EE77" s="4">
        <f t="shared" si="258"/>
        <v>3.0506329113924049</v>
      </c>
      <c r="EF77" s="4">
        <f t="shared" si="258"/>
        <v>7.0000000000000009</v>
      </c>
      <c r="EG77" s="4">
        <f t="shared" si="258"/>
        <v>4.7692307692307692</v>
      </c>
      <c r="EH77" s="4">
        <f t="shared" si="258"/>
        <v>2.2166666666666668</v>
      </c>
      <c r="EI77" s="4">
        <f t="shared" si="258"/>
        <v>1.9838709677419355</v>
      </c>
      <c r="EJ77" s="4">
        <f t="shared" si="258"/>
        <v>3.229166666666667</v>
      </c>
      <c r="EK77" s="4">
        <f t="shared" si="258"/>
        <v>1.3432835820895521</v>
      </c>
      <c r="EL77" s="4">
        <f t="shared" si="258"/>
        <v>2.2222222222222228</v>
      </c>
      <c r="EM77" s="4">
        <f t="shared" si="258"/>
        <v>2.3333333333333335</v>
      </c>
      <c r="EN77" s="4">
        <f t="shared" si="258"/>
        <v>2.6862745098039218</v>
      </c>
      <c r="EO77" s="4">
        <f t="shared" si="258"/>
        <v>1.6000000000000005</v>
      </c>
      <c r="EP77" s="4">
        <f t="shared" si="258"/>
        <v>1.5794392523364489</v>
      </c>
      <c r="EQ77" s="8">
        <f t="shared" si="258"/>
        <v>2.8714285714285714</v>
      </c>
      <c r="ER77" s="4">
        <f t="shared" si="258"/>
        <v>4.3846153846153841</v>
      </c>
      <c r="ES77" s="4">
        <f t="shared" si="258"/>
        <v>1.44</v>
      </c>
      <c r="ET77" s="4">
        <f t="shared" si="258"/>
        <v>0.34523809523809518</v>
      </c>
      <c r="EU77" s="4">
        <f t="shared" si="258"/>
        <v>9.8333333333333339</v>
      </c>
      <c r="EV77" s="4">
        <f t="shared" si="258"/>
        <v>4.6274509803921573</v>
      </c>
      <c r="EW77" s="4">
        <f t="shared" si="258"/>
        <v>3.5306122448979589</v>
      </c>
      <c r="EX77" s="4">
        <f t="shared" si="258"/>
        <v>4.4905660377358494</v>
      </c>
      <c r="EY77" s="4">
        <f t="shared" si="237"/>
        <v>9.0555555555555571</v>
      </c>
      <c r="EZ77" s="4">
        <f t="shared" si="237"/>
        <v>3.333333333333333</v>
      </c>
      <c r="FA77" s="8">
        <f t="shared" ref="FA77:FB77" si="259">(FA69-FA60)/FA60</f>
        <v>2.2162162162162162</v>
      </c>
      <c r="FB77" s="10">
        <f t="shared" si="259"/>
        <v>2.1500000000000004</v>
      </c>
      <c r="FC77" s="10">
        <f t="shared" ref="FC77:FD77" si="260">(FC69-FC60)/FC60</f>
        <v>0.44444444444444448</v>
      </c>
      <c r="FD77" s="10">
        <f t="shared" si="260"/>
        <v>2.359375</v>
      </c>
      <c r="FE77" s="10">
        <f t="shared" ref="FE77:FF77" si="261">(FE69-FE60)/FE60</f>
        <v>1.4133333333333333</v>
      </c>
      <c r="FF77" s="10">
        <f t="shared" si="261"/>
        <v>1.3</v>
      </c>
      <c r="FG77" s="4"/>
      <c r="FH77" s="4"/>
      <c r="FI77" s="4"/>
      <c r="FJ77" s="4"/>
      <c r="FK77" s="4"/>
      <c r="FL77" s="4"/>
    </row>
    <row r="78" spans="1:168" x14ac:dyDescent="0.3">
      <c r="A78" t="s">
        <v>231</v>
      </c>
      <c r="B78" s="7">
        <v>0.32900000000000001</v>
      </c>
      <c r="C78" s="7">
        <v>0.41899999999999998</v>
      </c>
      <c r="D78" s="7">
        <v>0.373</v>
      </c>
      <c r="E78" s="4">
        <v>0.39400000000000002</v>
      </c>
      <c r="F78" s="4">
        <v>0.34899999999999998</v>
      </c>
      <c r="G78" s="4">
        <v>0.33500000000000002</v>
      </c>
      <c r="H78" s="4">
        <v>0.26200000000000001</v>
      </c>
      <c r="I78" s="4">
        <v>0.314</v>
      </c>
      <c r="J78" s="4">
        <v>0.49</v>
      </c>
      <c r="K78" s="4">
        <v>0.42</v>
      </c>
      <c r="L78" s="4">
        <v>0.44400000000000001</v>
      </c>
      <c r="M78" s="4">
        <v>0.30499999999999999</v>
      </c>
      <c r="N78" s="4">
        <v>0.55000000000000004</v>
      </c>
      <c r="O78" s="4">
        <v>0.316</v>
      </c>
      <c r="P78" s="4">
        <v>0.46899999999999997</v>
      </c>
      <c r="Q78" s="8">
        <v>0.58799999999999997</v>
      </c>
      <c r="R78" s="4">
        <v>0.46400000000000002</v>
      </c>
      <c r="S78" s="4">
        <v>0.40600000000000003</v>
      </c>
      <c r="T78" s="4">
        <v>0.247</v>
      </c>
      <c r="U78" s="4">
        <v>0.377</v>
      </c>
      <c r="V78" s="4">
        <v>0.29199999999999998</v>
      </c>
      <c r="W78" s="4">
        <v>0.36299999999999999</v>
      </c>
      <c r="X78" s="4">
        <v>0.504</v>
      </c>
      <c r="Y78" s="4">
        <v>0.38400000000000001</v>
      </c>
      <c r="Z78" s="4">
        <v>0.35299999999999998</v>
      </c>
      <c r="AA78" s="4">
        <v>0.30399999999999999</v>
      </c>
      <c r="AB78" s="4">
        <v>0.36899999999999999</v>
      </c>
      <c r="AC78" s="4">
        <v>0.40699999999999997</v>
      </c>
      <c r="AD78" s="4">
        <v>0.41399999999999998</v>
      </c>
      <c r="AE78" s="4">
        <v>0.32700000000000001</v>
      </c>
      <c r="AF78" s="4">
        <v>0.36699999999999999</v>
      </c>
      <c r="AG78" s="4">
        <v>0.57499999999999996</v>
      </c>
      <c r="AH78" s="4">
        <v>0.51500000000000001</v>
      </c>
      <c r="AI78" s="4">
        <v>0.65400000000000003</v>
      </c>
      <c r="AJ78" s="4">
        <v>0.33600000000000002</v>
      </c>
      <c r="AK78" s="4">
        <v>0.376</v>
      </c>
      <c r="AL78" s="4">
        <v>0.72</v>
      </c>
      <c r="AM78" s="4">
        <v>0.54300000000000004</v>
      </c>
      <c r="AN78" s="4">
        <v>0.53600000000000003</v>
      </c>
      <c r="AO78" s="4">
        <v>0.59199999999999997</v>
      </c>
      <c r="AP78" s="4">
        <v>0.44800000000000001</v>
      </c>
      <c r="AQ78" s="4">
        <v>0.39900000000000002</v>
      </c>
      <c r="AR78" s="4">
        <v>0.33100000000000002</v>
      </c>
      <c r="AS78" s="4">
        <v>0.373</v>
      </c>
      <c r="AT78" s="4">
        <v>0.42399999999999999</v>
      </c>
      <c r="AU78" s="4">
        <v>0.55500000000000005</v>
      </c>
      <c r="AV78" s="4">
        <v>0.375</v>
      </c>
      <c r="AW78" s="4">
        <v>0.221</v>
      </c>
      <c r="AX78" s="8">
        <v>0.33400000000000002</v>
      </c>
      <c r="AY78" s="4">
        <v>0.41799999999999998</v>
      </c>
      <c r="AZ78" s="4">
        <v>0.47199999999999998</v>
      </c>
      <c r="BA78" s="8">
        <v>0.61199999999999999</v>
      </c>
      <c r="BB78" s="8">
        <v>0.45200000000000001</v>
      </c>
      <c r="BC78" s="8">
        <v>0.57099999999999995</v>
      </c>
      <c r="BD78" s="8">
        <v>0.48</v>
      </c>
      <c r="BE78" s="4">
        <v>0.61</v>
      </c>
      <c r="BF78" s="4">
        <v>0.246</v>
      </c>
      <c r="BG78" s="4">
        <v>0.59599999999999997</v>
      </c>
      <c r="BH78" s="4">
        <v>0.26900000000000002</v>
      </c>
      <c r="BI78" s="4">
        <v>0.49</v>
      </c>
      <c r="BJ78" s="4">
        <v>0.28199999999999997</v>
      </c>
      <c r="BK78" s="4">
        <v>0.28000000000000003</v>
      </c>
      <c r="BL78" s="4">
        <v>0.61599999999999999</v>
      </c>
      <c r="BM78" s="4">
        <v>0.439</v>
      </c>
      <c r="BN78" s="4">
        <v>0.39300000000000002</v>
      </c>
      <c r="BO78" s="4">
        <v>0.27100000000000002</v>
      </c>
      <c r="BP78" s="4">
        <v>0.32400000000000001</v>
      </c>
      <c r="BQ78" s="8">
        <v>0.40699999999999997</v>
      </c>
      <c r="BR78" s="4">
        <v>0.45200000000000001</v>
      </c>
      <c r="BS78" s="4">
        <v>0.432</v>
      </c>
      <c r="BT78" s="7">
        <v>0.35399999999999998</v>
      </c>
      <c r="BU78" s="3">
        <v>0.44600000000000001</v>
      </c>
      <c r="BV78" s="3">
        <v>0.66200000000000003</v>
      </c>
      <c r="BW78" s="4">
        <v>0.28499999999999998</v>
      </c>
      <c r="BX78" s="4">
        <v>0.433</v>
      </c>
      <c r="BY78" s="3">
        <v>0.36299999999999999</v>
      </c>
      <c r="BZ78" s="4">
        <v>0.43099999999999999</v>
      </c>
      <c r="CA78" s="4">
        <v>0.36399999999999999</v>
      </c>
      <c r="CB78" s="4">
        <v>0.33100000000000002</v>
      </c>
      <c r="CC78" s="4">
        <v>0.42399999999999999</v>
      </c>
      <c r="CD78" s="4">
        <v>0.41599999999999998</v>
      </c>
      <c r="CE78" s="4">
        <v>0.41799999999999998</v>
      </c>
      <c r="CF78" s="4">
        <v>0.34300000000000003</v>
      </c>
      <c r="CG78" s="4">
        <v>0.30099999999999999</v>
      </c>
      <c r="CH78" s="4">
        <v>0.49</v>
      </c>
      <c r="CI78" s="4">
        <v>0.496</v>
      </c>
      <c r="CJ78" s="4">
        <v>0.20899999999999999</v>
      </c>
      <c r="CK78" s="4">
        <v>0.45300000000000001</v>
      </c>
      <c r="CL78" s="4">
        <v>0.52100000000000002</v>
      </c>
      <c r="CM78" s="4">
        <v>0.438</v>
      </c>
      <c r="CN78" s="4">
        <v>0.59499999999999997</v>
      </c>
      <c r="CO78" s="4">
        <v>0.432</v>
      </c>
      <c r="CP78" s="4">
        <v>0.50700000000000001</v>
      </c>
      <c r="CQ78" s="4">
        <v>0.39600000000000002</v>
      </c>
      <c r="CR78" s="4">
        <v>0.50700000000000001</v>
      </c>
      <c r="CS78" s="4">
        <v>0.49</v>
      </c>
      <c r="CT78" s="4">
        <v>0.56999999999999995</v>
      </c>
      <c r="CU78" s="4">
        <v>0.53200000000000003</v>
      </c>
      <c r="CV78" s="4">
        <v>0.34499999999999997</v>
      </c>
      <c r="CW78" s="4">
        <v>0.27500000000000002</v>
      </c>
      <c r="CX78" s="4">
        <v>0.46800000000000003</v>
      </c>
      <c r="CY78" s="8">
        <v>0.46500000000000002</v>
      </c>
      <c r="CZ78" s="4">
        <v>0.56499999999999995</v>
      </c>
      <c r="DA78" s="4">
        <v>0.54600000000000004</v>
      </c>
      <c r="DB78" s="4">
        <v>0.51900000000000002</v>
      </c>
      <c r="DC78" s="8">
        <v>0.28999999999999998</v>
      </c>
      <c r="DD78" s="4">
        <v>0.29299999999999998</v>
      </c>
      <c r="DE78" s="8">
        <v>0.28799999999999998</v>
      </c>
      <c r="DF78" s="4">
        <v>0.30399999999999999</v>
      </c>
      <c r="DG78" s="4">
        <v>0.41699999999999998</v>
      </c>
      <c r="DH78" s="8">
        <v>0.26400000000000001</v>
      </c>
      <c r="DI78" s="8">
        <v>0.39100000000000001</v>
      </c>
      <c r="DJ78" s="8">
        <v>0.496</v>
      </c>
      <c r="DK78" s="4">
        <v>0.51900000000000002</v>
      </c>
      <c r="DL78" s="8">
        <v>0.42199999999999999</v>
      </c>
      <c r="DM78" s="8">
        <v>0.45600000000000002</v>
      </c>
      <c r="DN78" s="8">
        <v>0.625</v>
      </c>
      <c r="DO78" s="8">
        <v>0.72</v>
      </c>
      <c r="DP78" s="8">
        <v>0.64900000000000002</v>
      </c>
      <c r="DQ78" s="8">
        <v>0.66600000000000004</v>
      </c>
      <c r="DR78" s="4">
        <v>0.70299999999999996</v>
      </c>
      <c r="DS78" s="4">
        <v>0.47899999999999998</v>
      </c>
      <c r="DT78" s="10">
        <v>0.52400000000000002</v>
      </c>
      <c r="DU78" s="4">
        <v>0.38500000000000001</v>
      </c>
      <c r="DV78" s="4">
        <v>0.52200000000000002</v>
      </c>
      <c r="DW78" s="4">
        <v>0.55400000000000005</v>
      </c>
      <c r="DX78" s="8">
        <v>0.68200000000000005</v>
      </c>
      <c r="DY78" s="4">
        <v>0.78600000000000003</v>
      </c>
      <c r="DZ78" s="8">
        <v>0.74199999999999999</v>
      </c>
      <c r="EA78" s="4">
        <v>0.69699999999999995</v>
      </c>
      <c r="EB78" s="4">
        <v>0.67800000000000005</v>
      </c>
      <c r="EC78" s="4">
        <v>0.59099999999999997</v>
      </c>
      <c r="ED78" s="4">
        <v>0.71899999999999997</v>
      </c>
      <c r="EE78" s="4">
        <v>0.747</v>
      </c>
      <c r="EF78" s="4">
        <v>0.73699999999999999</v>
      </c>
      <c r="EG78" s="4">
        <v>0.70699999999999996</v>
      </c>
      <c r="EH78" s="8">
        <v>0.312</v>
      </c>
      <c r="EI78" s="4">
        <v>0.314</v>
      </c>
      <c r="EJ78" s="4">
        <v>0.33400000000000002</v>
      </c>
      <c r="EK78" s="8">
        <v>0.30399999999999999</v>
      </c>
      <c r="EL78" s="4">
        <v>0.41499999999999998</v>
      </c>
      <c r="EM78" s="4">
        <v>0.36499999999999999</v>
      </c>
      <c r="EN78" s="4">
        <v>0.314</v>
      </c>
      <c r="EO78" s="4">
        <v>0.59</v>
      </c>
      <c r="EP78" s="4">
        <v>0.47299999999999998</v>
      </c>
      <c r="EQ78" s="4">
        <v>0.58299999999999996</v>
      </c>
      <c r="ER78" s="4">
        <v>0.59199999999999997</v>
      </c>
      <c r="ES78" s="4">
        <v>0.504</v>
      </c>
      <c r="ET78" s="4">
        <v>0.39700000000000002</v>
      </c>
      <c r="EU78" s="4">
        <v>0.7</v>
      </c>
      <c r="EV78" s="4">
        <v>0.51300000000000001</v>
      </c>
      <c r="EW78" s="4">
        <v>0.434</v>
      </c>
      <c r="EX78" s="4">
        <v>0.66200000000000003</v>
      </c>
      <c r="EY78" s="4">
        <v>0.72799999999999998</v>
      </c>
      <c r="EZ78" s="4">
        <v>0.40100000000000002</v>
      </c>
      <c r="FA78" s="8">
        <v>0.41799999999999998</v>
      </c>
      <c r="FB78" s="4">
        <v>0.35299999999999998</v>
      </c>
      <c r="FC78" s="4">
        <v>0.28000000000000003</v>
      </c>
      <c r="FD78" s="4">
        <v>0.35099999999999998</v>
      </c>
      <c r="FE78" s="4">
        <v>0.318</v>
      </c>
      <c r="FF78" s="4">
        <v>0.33800000000000002</v>
      </c>
      <c r="FG78" s="4"/>
      <c r="FH78" s="4"/>
      <c r="FI78" s="4"/>
      <c r="FJ78" s="4"/>
      <c r="FK78" s="4"/>
      <c r="FL78" s="4"/>
    </row>
    <row r="79" spans="1:168" x14ac:dyDescent="0.3">
      <c r="A79" t="s">
        <v>232</v>
      </c>
      <c r="B79" s="7">
        <v>0.70799999999999996</v>
      </c>
      <c r="C79" s="7">
        <v>0.753</v>
      </c>
      <c r="D79" s="7">
        <v>0.73699999999999999</v>
      </c>
      <c r="E79" s="4">
        <v>0.67300000000000004</v>
      </c>
      <c r="F79" s="4">
        <v>0.65600000000000003</v>
      </c>
      <c r="G79" s="4">
        <v>0.69099999999999995</v>
      </c>
      <c r="H79" s="4">
        <v>0.6</v>
      </c>
      <c r="I79" s="4">
        <v>0.77500000000000002</v>
      </c>
      <c r="J79" s="4">
        <v>0.79900000000000004</v>
      </c>
      <c r="K79" s="4">
        <v>0.80300000000000005</v>
      </c>
      <c r="L79" s="4">
        <v>0.88400000000000001</v>
      </c>
      <c r="M79" s="4">
        <v>0.86599999999999999</v>
      </c>
      <c r="N79" s="4">
        <v>0.93799999999999994</v>
      </c>
      <c r="O79" s="4">
        <v>0.87</v>
      </c>
      <c r="P79" s="4">
        <v>0.91400000000000003</v>
      </c>
      <c r="Q79" s="8">
        <v>0.94399999999999995</v>
      </c>
      <c r="R79" s="4">
        <v>0.871</v>
      </c>
      <c r="S79" s="4">
        <v>0.82599999999999996</v>
      </c>
      <c r="T79" s="4">
        <v>0.9</v>
      </c>
      <c r="U79" s="4">
        <v>0.86899999999999999</v>
      </c>
      <c r="V79" s="4">
        <v>0.60799999999999998</v>
      </c>
      <c r="W79" s="4">
        <v>0.70499999999999996</v>
      </c>
      <c r="X79" s="4">
        <v>0.84899999999999998</v>
      </c>
      <c r="Y79" s="4">
        <v>0.82399999999999995</v>
      </c>
      <c r="Z79" s="4">
        <v>0.61299999999999999</v>
      </c>
      <c r="AA79" s="4">
        <v>0.77400000000000002</v>
      </c>
      <c r="AB79" s="4">
        <v>0.8</v>
      </c>
      <c r="AC79" s="4">
        <v>0.747</v>
      </c>
      <c r="AD79" s="4">
        <v>0.81899999999999995</v>
      </c>
      <c r="AE79" s="4">
        <v>0.81299999999999994</v>
      </c>
      <c r="AF79" s="4">
        <v>0.80800000000000005</v>
      </c>
      <c r="AG79" s="4">
        <v>0.91500000000000004</v>
      </c>
      <c r="AH79" s="4">
        <v>0.90700000000000003</v>
      </c>
      <c r="AI79" s="4">
        <v>0.93200000000000005</v>
      </c>
      <c r="AJ79" s="4">
        <v>0.75</v>
      </c>
      <c r="AK79" s="4">
        <v>0.70199999999999996</v>
      </c>
      <c r="AL79" s="4">
        <v>0.76700000000000002</v>
      </c>
      <c r="AM79" s="4">
        <v>0.64500000000000002</v>
      </c>
      <c r="AN79" s="4">
        <v>0.84199999999999997</v>
      </c>
      <c r="AO79" s="4">
        <v>0.93</v>
      </c>
      <c r="AP79" s="4">
        <v>0.94299999999999995</v>
      </c>
      <c r="AQ79" s="4">
        <v>0.878</v>
      </c>
      <c r="AR79" s="4">
        <v>0.94299999999999995</v>
      </c>
      <c r="AS79" s="4">
        <v>0.872</v>
      </c>
      <c r="AT79" s="4">
        <v>0.94899999999999995</v>
      </c>
      <c r="AU79" s="4">
        <v>0.95199999999999996</v>
      </c>
      <c r="AV79" s="4">
        <v>0.74399999999999999</v>
      </c>
      <c r="AW79" s="4">
        <v>0.42799999999999999</v>
      </c>
      <c r="AX79" s="8">
        <v>0.76500000000000001</v>
      </c>
      <c r="AY79" s="4">
        <v>0.7</v>
      </c>
      <c r="AZ79" s="4">
        <v>0.71499999999999997</v>
      </c>
      <c r="BA79" s="8">
        <v>0.94799999999999995</v>
      </c>
      <c r="BB79" s="8">
        <v>0.96499999999999997</v>
      </c>
      <c r="BC79" s="8">
        <v>0.503</v>
      </c>
      <c r="BD79" s="8">
        <v>0.69899999999999995</v>
      </c>
      <c r="BE79" s="4">
        <v>0.875</v>
      </c>
      <c r="BF79" s="4">
        <v>0.67400000000000004</v>
      </c>
      <c r="BG79" s="4">
        <v>0.98799999999999999</v>
      </c>
      <c r="BH79" s="4">
        <v>0.65900000000000003</v>
      </c>
      <c r="BI79" s="4">
        <v>0.94</v>
      </c>
      <c r="BJ79" s="4">
        <v>0.57299999999999995</v>
      </c>
      <c r="BK79" s="4">
        <v>0.76800000000000002</v>
      </c>
      <c r="BL79" s="4">
        <v>0.91</v>
      </c>
      <c r="BM79" s="4">
        <v>0.66300000000000003</v>
      </c>
      <c r="BN79" s="4">
        <v>0.71</v>
      </c>
      <c r="BO79" s="4">
        <v>0.54700000000000004</v>
      </c>
      <c r="BP79" s="4">
        <v>0.83899999999999997</v>
      </c>
      <c r="BQ79" s="8">
        <v>0.96299999999999997</v>
      </c>
      <c r="BR79" s="4">
        <v>0.85</v>
      </c>
      <c r="BS79" s="4">
        <v>0.85199999999999998</v>
      </c>
      <c r="BT79" s="7">
        <v>0.83799999999999997</v>
      </c>
      <c r="BU79" s="3">
        <v>0.875</v>
      </c>
      <c r="BV79" s="3">
        <v>0.96799999999999997</v>
      </c>
      <c r="BW79" s="4">
        <v>0.90900000000000003</v>
      </c>
      <c r="BX79" s="4">
        <v>0.93200000000000005</v>
      </c>
      <c r="BY79" s="3">
        <v>0.85399999999999998</v>
      </c>
      <c r="BZ79" s="4">
        <v>0.77700000000000002</v>
      </c>
      <c r="CA79" s="4">
        <v>0.88500000000000001</v>
      </c>
      <c r="CB79" s="4">
        <v>0.78400000000000003</v>
      </c>
      <c r="CC79" s="4">
        <v>0.84599999999999997</v>
      </c>
      <c r="CD79" s="4">
        <v>0.85299999999999998</v>
      </c>
      <c r="CE79" s="4">
        <v>0.90100000000000002</v>
      </c>
      <c r="CF79" s="4">
        <v>0.82699999999999996</v>
      </c>
      <c r="CG79" s="4">
        <v>0.79400000000000004</v>
      </c>
      <c r="CH79" s="4">
        <v>0.92500000000000004</v>
      </c>
      <c r="CI79" s="4">
        <v>0.83199999999999996</v>
      </c>
      <c r="CJ79" s="4">
        <v>0.442</v>
      </c>
      <c r="CK79" s="4">
        <v>0.90400000000000003</v>
      </c>
      <c r="CL79" s="4">
        <v>0.876</v>
      </c>
      <c r="CM79" s="4">
        <v>0.85099999999999998</v>
      </c>
      <c r="CN79" s="4">
        <v>0.875</v>
      </c>
      <c r="CO79" s="4">
        <v>0.83599999999999997</v>
      </c>
      <c r="CP79" s="4">
        <v>0.92700000000000005</v>
      </c>
      <c r="CQ79" s="4">
        <v>0.91300000000000003</v>
      </c>
      <c r="CR79" s="4">
        <v>0.85499999999999998</v>
      </c>
      <c r="CS79" s="4">
        <v>0.621</v>
      </c>
      <c r="CT79" s="4">
        <v>0.94</v>
      </c>
      <c r="CU79" s="4">
        <v>0.89300000000000002</v>
      </c>
      <c r="CV79" s="4">
        <v>0.75600000000000001</v>
      </c>
      <c r="CW79" s="4">
        <v>0.72699999999999998</v>
      </c>
      <c r="CX79" s="4">
        <v>0.88300000000000001</v>
      </c>
      <c r="CY79" s="8">
        <v>1</v>
      </c>
      <c r="CZ79" s="4">
        <v>0.95499999999999996</v>
      </c>
      <c r="DA79" s="4">
        <v>0.94799999999999995</v>
      </c>
      <c r="DB79" s="4">
        <v>0.97199999999999998</v>
      </c>
      <c r="DC79" s="8">
        <v>0.86399999999999999</v>
      </c>
      <c r="DD79" s="4">
        <v>0.93100000000000005</v>
      </c>
      <c r="DE79" s="8">
        <v>0.79300000000000004</v>
      </c>
      <c r="DF79" s="4">
        <v>0.95099999999999996</v>
      </c>
      <c r="DG79" s="4">
        <v>0.99399999999999999</v>
      </c>
      <c r="DH79" s="8">
        <v>0.46700000000000003</v>
      </c>
      <c r="DI79" s="8">
        <v>0.98399999999999999</v>
      </c>
      <c r="DJ79" s="8">
        <v>0.93600000000000005</v>
      </c>
      <c r="DK79" s="4">
        <v>0.93400000000000005</v>
      </c>
      <c r="DL79" s="8">
        <v>0.91600000000000004</v>
      </c>
      <c r="DM79" s="8">
        <v>0.91300000000000003</v>
      </c>
      <c r="DN79" s="8">
        <v>0.78500000000000003</v>
      </c>
      <c r="DO79" s="8">
        <v>0.96</v>
      </c>
      <c r="DP79" s="8">
        <v>0.93899999999999995</v>
      </c>
      <c r="DQ79" s="8">
        <v>0.96699999999999997</v>
      </c>
      <c r="DR79" s="4">
        <v>0.875</v>
      </c>
      <c r="DS79" s="4">
        <v>0.84499999999999997</v>
      </c>
      <c r="DT79" s="10">
        <v>0.93100000000000005</v>
      </c>
      <c r="DU79" s="4">
        <v>0.80300000000000005</v>
      </c>
      <c r="DV79" s="4">
        <v>0.98599999999999999</v>
      </c>
      <c r="DW79" s="4">
        <v>0.85299999999999998</v>
      </c>
      <c r="DX79" s="8">
        <v>0.94499999999999995</v>
      </c>
      <c r="DY79" s="4">
        <v>0.97299999999999998</v>
      </c>
      <c r="DZ79" s="8">
        <v>0.96199999999999997</v>
      </c>
      <c r="EA79" s="4">
        <v>0.94899999999999995</v>
      </c>
      <c r="EB79" s="4">
        <v>0.92900000000000005</v>
      </c>
      <c r="EC79" s="4">
        <v>0.876</v>
      </c>
      <c r="ED79" s="4">
        <v>0.96</v>
      </c>
      <c r="EE79" s="4">
        <v>0.92900000000000005</v>
      </c>
      <c r="EF79" s="4">
        <v>0.96299999999999997</v>
      </c>
      <c r="EG79" s="4">
        <v>0.99099999999999999</v>
      </c>
      <c r="EH79" s="8">
        <v>0.86899999999999999</v>
      </c>
      <c r="EI79" s="4">
        <v>0.86199999999999999</v>
      </c>
      <c r="EJ79" s="4">
        <v>0.90300000000000002</v>
      </c>
      <c r="EK79" s="8">
        <v>0.84</v>
      </c>
      <c r="EL79" s="4">
        <v>0.88200000000000001</v>
      </c>
      <c r="EM79" s="4">
        <v>0.85699999999999998</v>
      </c>
      <c r="EN79" s="4">
        <v>0.86899999999999999</v>
      </c>
      <c r="EO79" s="4">
        <v>0.86199999999999999</v>
      </c>
      <c r="EP79" s="4">
        <v>0.88300000000000001</v>
      </c>
      <c r="EQ79" s="4">
        <v>0.90500000000000003</v>
      </c>
      <c r="ER79" s="4">
        <v>0.88100000000000001</v>
      </c>
      <c r="ES79" s="4">
        <v>0.80800000000000005</v>
      </c>
      <c r="ET79" s="4">
        <v>0.88500000000000001</v>
      </c>
      <c r="EU79" s="4">
        <v>0.88500000000000001</v>
      </c>
      <c r="EV79" s="4">
        <v>0.90900000000000003</v>
      </c>
      <c r="EW79" s="4">
        <v>0.90800000000000003</v>
      </c>
      <c r="EX79" s="4">
        <v>0.84299999999999997</v>
      </c>
      <c r="EY79" s="4">
        <v>0.86499999999999999</v>
      </c>
      <c r="EZ79" s="4">
        <v>0.872</v>
      </c>
      <c r="FA79" s="8">
        <v>0.878</v>
      </c>
      <c r="FB79" s="4">
        <v>0.86</v>
      </c>
      <c r="FC79" s="4">
        <v>0.67200000000000004</v>
      </c>
      <c r="FD79" s="4">
        <v>0.79400000000000004</v>
      </c>
      <c r="FE79" s="4">
        <v>0.74099999999999999</v>
      </c>
      <c r="FF79" s="4">
        <v>0.878</v>
      </c>
      <c r="FG79" s="4"/>
      <c r="FH79" s="4"/>
      <c r="FI79" s="4"/>
      <c r="FJ79" s="4"/>
      <c r="FK79" s="4"/>
      <c r="FL79" s="4"/>
    </row>
    <row r="80" spans="1:168" x14ac:dyDescent="0.3">
      <c r="A80" t="s">
        <v>233</v>
      </c>
      <c r="B80" s="7">
        <v>5.8000000000000003E-2</v>
      </c>
      <c r="C80" s="7">
        <v>6.2E-2</v>
      </c>
      <c r="D80" s="7">
        <v>6.2E-2</v>
      </c>
      <c r="E80" s="4">
        <v>7.0000000000000007E-2</v>
      </c>
      <c r="F80" s="4">
        <v>6.5000000000000002E-2</v>
      </c>
      <c r="G80" s="4">
        <v>6.0999999999999999E-2</v>
      </c>
      <c r="H80" s="4">
        <v>0.05</v>
      </c>
      <c r="I80" s="4">
        <v>5.3999999999999999E-2</v>
      </c>
      <c r="J80" s="4">
        <v>0.06</v>
      </c>
      <c r="K80" s="4">
        <v>5.7000000000000002E-2</v>
      </c>
      <c r="L80" s="4">
        <v>7.1999999999999995E-2</v>
      </c>
      <c r="M80" s="4">
        <v>0.05</v>
      </c>
      <c r="N80" s="4">
        <v>4.5999999999999999E-2</v>
      </c>
      <c r="O80" s="4">
        <v>4.9000000000000002E-2</v>
      </c>
      <c r="P80" s="4">
        <v>5.1999999999999998E-2</v>
      </c>
      <c r="Q80" s="8">
        <v>5.5E-2</v>
      </c>
      <c r="R80" s="4">
        <v>5.7000000000000002E-2</v>
      </c>
      <c r="S80" s="4">
        <v>5.6000000000000001E-2</v>
      </c>
      <c r="T80" s="4">
        <v>3.9E-2</v>
      </c>
      <c r="U80" s="4">
        <v>5.2999999999999999E-2</v>
      </c>
      <c r="V80" s="4">
        <v>6.0999999999999999E-2</v>
      </c>
      <c r="W80" s="4">
        <v>7.0000000000000007E-2</v>
      </c>
      <c r="X80" s="4">
        <v>8.1000000000000003E-2</v>
      </c>
      <c r="Y80" s="4">
        <v>5.8000000000000003E-2</v>
      </c>
      <c r="Z80" s="4">
        <v>0.08</v>
      </c>
      <c r="AA80" s="4">
        <v>7.4999999999999997E-2</v>
      </c>
      <c r="AB80" s="4">
        <v>6.3E-2</v>
      </c>
      <c r="AC80" s="4">
        <v>0.08</v>
      </c>
      <c r="AD80" s="4">
        <v>7.0000000000000007E-2</v>
      </c>
      <c r="AE80" s="4">
        <v>6.5000000000000002E-2</v>
      </c>
      <c r="AF80" s="4">
        <v>6.5000000000000002E-2</v>
      </c>
      <c r="AG80" s="4">
        <v>6.3E-2</v>
      </c>
      <c r="AH80" s="4">
        <v>6.4000000000000001E-2</v>
      </c>
      <c r="AI80" s="4">
        <v>4.4999999999999998E-2</v>
      </c>
      <c r="AJ80" s="4">
        <v>5.1999999999999998E-2</v>
      </c>
      <c r="AK80" s="4">
        <v>0.06</v>
      </c>
      <c r="AL80" s="4">
        <v>5.0999999999999997E-2</v>
      </c>
      <c r="AM80" s="4">
        <v>0.111</v>
      </c>
      <c r="AN80" s="4">
        <v>6.8000000000000005E-2</v>
      </c>
      <c r="AO80" s="4">
        <v>5.1999999999999998E-2</v>
      </c>
      <c r="AP80" s="4">
        <v>4.4999999999999998E-2</v>
      </c>
      <c r="AQ80" s="4">
        <v>5.8000000000000003E-2</v>
      </c>
      <c r="AR80" s="4">
        <v>0.03</v>
      </c>
      <c r="AS80" s="4">
        <v>6.3E-2</v>
      </c>
      <c r="AT80" s="4">
        <v>4.4999999999999998E-2</v>
      </c>
      <c r="AU80" s="4">
        <v>4.1000000000000002E-2</v>
      </c>
      <c r="AV80" s="4">
        <v>6.9000000000000006E-2</v>
      </c>
      <c r="AW80" s="4">
        <v>8.8999999999999996E-2</v>
      </c>
      <c r="AX80" s="8">
        <v>6.7000000000000004E-2</v>
      </c>
      <c r="AY80" s="4">
        <v>8.3000000000000004E-2</v>
      </c>
      <c r="AZ80" s="4">
        <v>8.5000000000000006E-2</v>
      </c>
      <c r="BA80" s="8">
        <v>8.3000000000000004E-2</v>
      </c>
      <c r="BB80" s="8">
        <v>0.05</v>
      </c>
      <c r="BC80" s="8">
        <v>0.14099999999999999</v>
      </c>
      <c r="BD80" s="8">
        <v>8.6999999999999994E-2</v>
      </c>
      <c r="BE80" s="4">
        <v>0.09</v>
      </c>
      <c r="BF80" s="4">
        <v>5.1999999999999998E-2</v>
      </c>
      <c r="BG80" s="4">
        <v>0.05</v>
      </c>
      <c r="BH80" s="4">
        <v>5.5E-2</v>
      </c>
      <c r="BI80" s="4">
        <v>7.1999999999999995E-2</v>
      </c>
      <c r="BJ80" s="4">
        <v>6.9000000000000006E-2</v>
      </c>
      <c r="BK80" s="4">
        <v>5.2999999999999999E-2</v>
      </c>
      <c r="BL80" s="4">
        <v>7.9000000000000001E-2</v>
      </c>
      <c r="BM80" s="4">
        <v>7.4999999999999997E-2</v>
      </c>
      <c r="BN80" s="4">
        <v>6.0999999999999999E-2</v>
      </c>
      <c r="BO80" s="4">
        <v>5.8999999999999997E-2</v>
      </c>
      <c r="BP80" s="4">
        <v>4.3999999999999997E-2</v>
      </c>
      <c r="BQ80" s="8">
        <v>3.2000000000000001E-2</v>
      </c>
      <c r="BR80" s="4">
        <v>5.7000000000000002E-2</v>
      </c>
      <c r="BS80" s="4">
        <v>5.8999999999999997E-2</v>
      </c>
      <c r="BT80" s="7">
        <v>0.08</v>
      </c>
      <c r="BU80" s="3">
        <v>7.0000000000000007E-2</v>
      </c>
      <c r="BV80" s="3">
        <v>4.1000000000000002E-2</v>
      </c>
      <c r="BW80" s="4">
        <v>5.1999999999999998E-2</v>
      </c>
      <c r="BX80" s="4">
        <v>4.7E-2</v>
      </c>
      <c r="BY80" s="3">
        <v>6.7000000000000004E-2</v>
      </c>
      <c r="BZ80" s="4">
        <v>6.2E-2</v>
      </c>
      <c r="CA80" s="4">
        <v>3.9E-2</v>
      </c>
      <c r="CB80" s="4">
        <v>5.2999999999999999E-2</v>
      </c>
      <c r="CC80" s="4">
        <v>5.2999999999999999E-2</v>
      </c>
      <c r="CD80" s="4">
        <v>4.8000000000000001E-2</v>
      </c>
      <c r="CE80" s="4">
        <v>4.1000000000000002E-2</v>
      </c>
      <c r="CF80" s="4">
        <v>4.7E-2</v>
      </c>
      <c r="CG80" s="4">
        <v>4.9000000000000002E-2</v>
      </c>
      <c r="CH80" s="4">
        <v>0.04</v>
      </c>
      <c r="CI80" s="4">
        <v>0.06</v>
      </c>
      <c r="CJ80" s="4">
        <v>7.0999999999999994E-2</v>
      </c>
      <c r="CK80" s="4">
        <v>4.2000000000000003E-2</v>
      </c>
      <c r="CL80" s="4">
        <v>5.0999999999999997E-2</v>
      </c>
      <c r="CM80" s="4">
        <v>0.05</v>
      </c>
      <c r="CN80" s="4">
        <v>5.8000000000000003E-2</v>
      </c>
      <c r="CO80" s="4">
        <v>0.05</v>
      </c>
      <c r="CP80" s="4">
        <v>0.05</v>
      </c>
      <c r="CQ80" s="4">
        <v>4.2999999999999997E-2</v>
      </c>
      <c r="CR80" s="4">
        <v>5.6000000000000001E-2</v>
      </c>
      <c r="CS80" s="4">
        <v>9.7000000000000003E-2</v>
      </c>
      <c r="CT80" s="4">
        <v>4.7E-2</v>
      </c>
      <c r="CU80" s="4">
        <v>6.0999999999999999E-2</v>
      </c>
      <c r="CV80" s="4">
        <v>7.3999999999999996E-2</v>
      </c>
      <c r="CW80" s="4">
        <v>6.3E-2</v>
      </c>
      <c r="CX80" s="4">
        <v>6.7000000000000004E-2</v>
      </c>
      <c r="CY80" s="8">
        <v>0</v>
      </c>
      <c r="CZ80" s="4">
        <v>5.7000000000000002E-2</v>
      </c>
      <c r="DA80" s="4">
        <v>6.0999999999999999E-2</v>
      </c>
      <c r="DB80" s="4">
        <v>4.2000000000000003E-2</v>
      </c>
      <c r="DC80" s="8">
        <v>6.5000000000000002E-2</v>
      </c>
      <c r="DD80" s="4">
        <v>0.04</v>
      </c>
      <c r="DE80" s="8">
        <v>7.0999999999999994E-2</v>
      </c>
      <c r="DF80" s="4">
        <v>3.4000000000000002E-2</v>
      </c>
      <c r="DG80" s="4">
        <v>1.6E-2</v>
      </c>
      <c r="DH80" s="8">
        <v>0.14499999999999999</v>
      </c>
      <c r="DI80" s="8">
        <v>2.8000000000000001E-2</v>
      </c>
      <c r="DJ80" s="8">
        <v>5.8000000000000003E-2</v>
      </c>
      <c r="DK80" s="4">
        <v>6.8000000000000005E-2</v>
      </c>
      <c r="DL80" s="8">
        <v>5.8999999999999997E-2</v>
      </c>
      <c r="DM80" s="8">
        <v>6.9000000000000006E-2</v>
      </c>
      <c r="DN80" s="8">
        <v>0.155</v>
      </c>
      <c r="DO80" s="8">
        <v>7.4999999999999997E-2</v>
      </c>
      <c r="DP80" s="8">
        <v>9.0999999999999998E-2</v>
      </c>
      <c r="DQ80" s="8">
        <v>6.7000000000000004E-2</v>
      </c>
      <c r="DR80" s="4">
        <v>0.129</v>
      </c>
      <c r="DS80" s="4">
        <v>9.1999999999999998E-2</v>
      </c>
      <c r="DT80" s="10">
        <v>0.06</v>
      </c>
      <c r="DU80" s="4">
        <v>7.0000000000000007E-2</v>
      </c>
      <c r="DV80" s="4">
        <v>2.5999999999999999E-2</v>
      </c>
      <c r="DW80" s="4">
        <v>9.6000000000000002E-2</v>
      </c>
      <c r="DX80" s="8">
        <v>0.124</v>
      </c>
      <c r="DY80" s="4">
        <v>4.2999999999999997E-2</v>
      </c>
      <c r="DZ80" s="8">
        <v>4.7E-2</v>
      </c>
      <c r="EA80" s="4">
        <v>5.5E-2</v>
      </c>
      <c r="EB80" s="4">
        <v>5.7000000000000002E-2</v>
      </c>
      <c r="EC80" s="4">
        <v>6.6000000000000003E-2</v>
      </c>
      <c r="ED80" s="4">
        <v>4.9000000000000002E-2</v>
      </c>
      <c r="EE80" s="4">
        <v>6.6000000000000003E-2</v>
      </c>
      <c r="EF80" s="4">
        <v>4.9000000000000002E-2</v>
      </c>
      <c r="EG80" s="4">
        <v>2.5000000000000001E-2</v>
      </c>
      <c r="EH80" s="8">
        <v>0.05</v>
      </c>
      <c r="EI80" s="4">
        <v>5.1999999999999998E-2</v>
      </c>
      <c r="EJ80" s="4">
        <v>4.4999999999999998E-2</v>
      </c>
      <c r="EK80" s="8">
        <v>5.6000000000000001E-2</v>
      </c>
      <c r="EL80" s="4">
        <v>5.5E-2</v>
      </c>
      <c r="EM80" s="4">
        <v>5.8000000000000003E-2</v>
      </c>
      <c r="EN80" s="4">
        <v>4.9000000000000002E-2</v>
      </c>
      <c r="EO80" s="4">
        <v>5.7000000000000002E-2</v>
      </c>
      <c r="EP80" s="4">
        <v>0.05</v>
      </c>
      <c r="EQ80" s="4">
        <v>4.9000000000000002E-2</v>
      </c>
      <c r="ER80" s="4">
        <v>6.4000000000000001E-2</v>
      </c>
      <c r="ES80" s="4">
        <v>6.3E-2</v>
      </c>
      <c r="ET80" s="4">
        <v>5.6000000000000001E-2</v>
      </c>
      <c r="EU80" s="4">
        <v>8.5000000000000006E-2</v>
      </c>
      <c r="EV80" s="4">
        <v>6.5000000000000002E-2</v>
      </c>
      <c r="EW80" s="4">
        <v>5.8000000000000003E-2</v>
      </c>
      <c r="EX80" s="4">
        <v>5.6000000000000001E-2</v>
      </c>
      <c r="EY80" s="4">
        <v>5.5E-2</v>
      </c>
      <c r="EZ80" s="4">
        <v>5.8000000000000003E-2</v>
      </c>
      <c r="FA80" s="8">
        <v>0.06</v>
      </c>
      <c r="FB80" s="4">
        <v>5.3999999999999999E-2</v>
      </c>
      <c r="FC80" s="4">
        <v>7.0999999999999994E-2</v>
      </c>
      <c r="FD80" s="4">
        <v>6.0999999999999999E-2</v>
      </c>
      <c r="FE80" s="4">
        <v>6.3E-2</v>
      </c>
      <c r="FF80" s="4">
        <v>0.05</v>
      </c>
      <c r="FG80" s="4"/>
      <c r="FH80" s="4"/>
      <c r="FI80" s="4"/>
      <c r="FJ80" s="4"/>
      <c r="FK80" s="4"/>
      <c r="FL80" s="4"/>
    </row>
    <row r="81" spans="1:168" x14ac:dyDescent="0.3">
      <c r="A81" t="s">
        <v>234</v>
      </c>
      <c r="B81" s="7">
        <v>7.5999999999999998E-2</v>
      </c>
      <c r="C81" s="7">
        <v>0.10299999999999999</v>
      </c>
      <c r="D81" s="7">
        <v>8.8999999999999996E-2</v>
      </c>
      <c r="E81" s="4">
        <v>0.104</v>
      </c>
      <c r="F81" s="4">
        <v>9.4E-2</v>
      </c>
      <c r="G81" s="4">
        <v>8.5000000000000006E-2</v>
      </c>
      <c r="H81" s="4">
        <v>7.5999999999999998E-2</v>
      </c>
      <c r="I81" s="4">
        <v>6.4000000000000001E-2</v>
      </c>
      <c r="J81" s="4">
        <v>8.6999999999999994E-2</v>
      </c>
      <c r="K81" s="4">
        <v>9.2999999999999999E-2</v>
      </c>
      <c r="L81" s="4">
        <v>4.4999999999999998E-2</v>
      </c>
      <c r="M81" s="4">
        <v>4.7E-2</v>
      </c>
      <c r="N81" s="4">
        <v>6.5000000000000002E-2</v>
      </c>
      <c r="O81" s="4">
        <v>0.05</v>
      </c>
      <c r="P81" s="4">
        <v>4.3999999999999997E-2</v>
      </c>
      <c r="Q81" s="8">
        <v>2.9000000000000001E-2</v>
      </c>
      <c r="R81" s="4">
        <v>6.7000000000000004E-2</v>
      </c>
      <c r="S81" s="4">
        <v>6.3E-2</v>
      </c>
      <c r="T81" s="4">
        <v>4.3999999999999997E-2</v>
      </c>
      <c r="U81" s="4">
        <v>5.7000000000000002E-2</v>
      </c>
      <c r="V81" s="4">
        <v>9.4E-2</v>
      </c>
      <c r="W81" s="4">
        <v>8.6999999999999994E-2</v>
      </c>
      <c r="X81" s="4">
        <v>5.3999999999999999E-2</v>
      </c>
      <c r="Y81" s="4">
        <v>5.8999999999999997E-2</v>
      </c>
      <c r="Z81" s="4">
        <v>0.13600000000000001</v>
      </c>
      <c r="AA81" s="4">
        <v>7.8E-2</v>
      </c>
      <c r="AB81" s="4">
        <v>0.06</v>
      </c>
      <c r="AC81" s="4">
        <v>7.1999999999999995E-2</v>
      </c>
      <c r="AD81" s="4">
        <v>8.8999999999999996E-2</v>
      </c>
      <c r="AE81" s="4">
        <v>7.2999999999999995E-2</v>
      </c>
      <c r="AF81" s="4">
        <v>6.2E-2</v>
      </c>
      <c r="AG81" s="4">
        <v>3.9E-2</v>
      </c>
      <c r="AH81" s="4">
        <v>4.5999999999999999E-2</v>
      </c>
      <c r="AI81" s="4">
        <v>3.4000000000000002E-2</v>
      </c>
      <c r="AJ81" s="4">
        <v>8.8999999999999996E-2</v>
      </c>
      <c r="AK81" s="4">
        <v>0.10299999999999999</v>
      </c>
      <c r="AL81" s="4">
        <v>7.5999999999999998E-2</v>
      </c>
      <c r="AM81" s="4">
        <v>7.8E-2</v>
      </c>
      <c r="AN81" s="4">
        <v>0.06</v>
      </c>
      <c r="AO81" s="4">
        <v>4.2999999999999997E-2</v>
      </c>
      <c r="AP81" s="4">
        <v>4.4999999999999998E-2</v>
      </c>
      <c r="AQ81" s="4">
        <v>4.7E-2</v>
      </c>
      <c r="AR81" s="4">
        <v>3.4000000000000002E-2</v>
      </c>
      <c r="AS81" s="4">
        <v>0.08</v>
      </c>
      <c r="AT81" s="4">
        <v>2.5000000000000001E-2</v>
      </c>
      <c r="AU81" s="4">
        <v>5.3999999999999999E-2</v>
      </c>
      <c r="AV81" s="4">
        <v>8.1000000000000003E-2</v>
      </c>
      <c r="AW81" s="4">
        <v>0.19700000000000001</v>
      </c>
      <c r="AX81" s="8">
        <v>6.4000000000000001E-2</v>
      </c>
      <c r="AY81" s="4">
        <v>0.09</v>
      </c>
      <c r="AZ81" s="4">
        <v>9.0999999999999998E-2</v>
      </c>
      <c r="BA81" s="8">
        <v>3.2000000000000001E-2</v>
      </c>
      <c r="BB81" s="8">
        <v>3.1E-2</v>
      </c>
      <c r="BC81" s="8">
        <v>0.10199999999999999</v>
      </c>
      <c r="BD81" s="8">
        <v>7.0000000000000007E-2</v>
      </c>
      <c r="BE81" s="4">
        <v>6.4000000000000001E-2</v>
      </c>
      <c r="BF81" s="4">
        <v>9.5000000000000001E-2</v>
      </c>
      <c r="BG81" s="4">
        <v>0.02</v>
      </c>
      <c r="BH81" s="4">
        <v>6.8000000000000005E-2</v>
      </c>
      <c r="BI81" s="4">
        <v>5.8999999999999997E-2</v>
      </c>
      <c r="BJ81" s="4">
        <v>9.4E-2</v>
      </c>
      <c r="BK81" s="4">
        <v>7.4999999999999997E-2</v>
      </c>
      <c r="BL81" s="4">
        <v>4.4999999999999998E-2</v>
      </c>
      <c r="BM81" s="4">
        <v>8.8999999999999996E-2</v>
      </c>
      <c r="BN81" s="4">
        <v>8.3000000000000004E-2</v>
      </c>
      <c r="BO81" s="4">
        <v>0.109</v>
      </c>
      <c r="BP81" s="4">
        <v>5.8000000000000003E-2</v>
      </c>
      <c r="BQ81" s="8">
        <v>0.04</v>
      </c>
      <c r="BR81" s="4">
        <v>6.6000000000000003E-2</v>
      </c>
      <c r="BS81" s="4">
        <v>8.8999999999999996E-2</v>
      </c>
      <c r="BT81" s="7">
        <v>5.7000000000000002E-2</v>
      </c>
      <c r="BU81" s="3">
        <v>6.0999999999999999E-2</v>
      </c>
      <c r="BV81" s="3">
        <v>4.2999999999999997E-2</v>
      </c>
      <c r="BW81" s="4">
        <v>4.8000000000000001E-2</v>
      </c>
      <c r="BX81" s="4">
        <v>6.4000000000000001E-2</v>
      </c>
      <c r="BY81" s="3">
        <v>5.5E-2</v>
      </c>
      <c r="BZ81" s="4">
        <v>0.109</v>
      </c>
      <c r="CA81" s="4">
        <v>6.9000000000000006E-2</v>
      </c>
      <c r="CB81" s="4">
        <v>0.09</v>
      </c>
      <c r="CC81" s="4">
        <v>9.8000000000000004E-2</v>
      </c>
      <c r="CD81" s="4">
        <v>7.5999999999999998E-2</v>
      </c>
      <c r="CE81" s="4">
        <v>5.8999999999999997E-2</v>
      </c>
      <c r="CF81" s="4">
        <v>0.08</v>
      </c>
      <c r="CG81" s="4">
        <v>8.1000000000000003E-2</v>
      </c>
      <c r="CH81" s="4">
        <v>6.2E-2</v>
      </c>
      <c r="CI81" s="4">
        <v>0.14599999999999999</v>
      </c>
      <c r="CJ81" s="4">
        <v>0.113</v>
      </c>
      <c r="CK81" s="4">
        <v>8.2000000000000003E-2</v>
      </c>
      <c r="CL81" s="4">
        <v>9.6000000000000002E-2</v>
      </c>
      <c r="CM81" s="4">
        <v>0.113</v>
      </c>
      <c r="CN81" s="4">
        <v>0.108</v>
      </c>
      <c r="CO81" s="4">
        <v>9.1999999999999998E-2</v>
      </c>
      <c r="CP81" s="4">
        <v>7.5999999999999998E-2</v>
      </c>
      <c r="CQ81" s="4">
        <v>6.3E-2</v>
      </c>
      <c r="CR81" s="4">
        <v>9.6000000000000002E-2</v>
      </c>
      <c r="CS81" s="4">
        <v>9.4E-2</v>
      </c>
      <c r="CT81" s="4">
        <v>6.6000000000000003E-2</v>
      </c>
      <c r="CU81" s="4">
        <v>8.6999999999999994E-2</v>
      </c>
      <c r="CV81" s="4">
        <v>6.8000000000000005E-2</v>
      </c>
      <c r="CW81" s="4">
        <v>7.4999999999999997E-2</v>
      </c>
      <c r="CX81" s="4">
        <v>5.2999999999999999E-2</v>
      </c>
      <c r="CY81" s="8">
        <v>0.03</v>
      </c>
      <c r="CZ81" s="4">
        <v>3.1E-2</v>
      </c>
      <c r="DA81" s="4">
        <v>2.8000000000000001E-2</v>
      </c>
      <c r="DB81" s="4">
        <v>1.7999999999999999E-2</v>
      </c>
      <c r="DC81" s="8">
        <v>5.6000000000000001E-2</v>
      </c>
      <c r="DD81" s="4">
        <v>3.4000000000000002E-2</v>
      </c>
      <c r="DE81" s="8">
        <v>7.0000000000000007E-2</v>
      </c>
      <c r="DF81" s="4">
        <v>3.9E-2</v>
      </c>
      <c r="DG81" s="4">
        <v>1.2999999999999999E-2</v>
      </c>
      <c r="DH81" s="8">
        <v>0.06</v>
      </c>
      <c r="DI81" s="8">
        <v>1.4999999999999999E-2</v>
      </c>
      <c r="DJ81" s="8">
        <v>3.3000000000000002E-2</v>
      </c>
      <c r="DK81" s="4">
        <v>3.5999999999999997E-2</v>
      </c>
      <c r="DL81" s="8">
        <v>4.1000000000000002E-2</v>
      </c>
      <c r="DM81" s="8">
        <v>3.6999999999999998E-2</v>
      </c>
      <c r="DN81" s="8">
        <v>4.7E-2</v>
      </c>
      <c r="DO81" s="8">
        <v>1.9E-2</v>
      </c>
      <c r="DP81" s="8">
        <v>3.5000000000000003E-2</v>
      </c>
      <c r="DQ81" s="8">
        <v>2.8000000000000001E-2</v>
      </c>
      <c r="DR81" s="4">
        <v>5.3999999999999999E-2</v>
      </c>
      <c r="DS81" s="4">
        <v>5.8999999999999997E-2</v>
      </c>
      <c r="DT81" s="10">
        <v>6.2E-2</v>
      </c>
      <c r="DU81" s="4">
        <v>7.0000000000000007E-2</v>
      </c>
      <c r="DV81" s="4">
        <v>3.9E-2</v>
      </c>
      <c r="DW81" s="4">
        <v>5.5E-2</v>
      </c>
      <c r="DX81" s="8">
        <v>5.3999999999999999E-2</v>
      </c>
      <c r="DY81" s="4">
        <v>0.03</v>
      </c>
      <c r="DZ81" s="8">
        <v>0.04</v>
      </c>
      <c r="EA81" s="4">
        <v>3.4000000000000002E-2</v>
      </c>
      <c r="EB81" s="4">
        <v>3.7999999999999999E-2</v>
      </c>
      <c r="EC81" s="4">
        <v>4.8000000000000001E-2</v>
      </c>
      <c r="ED81" s="4">
        <v>3.7999999999999999E-2</v>
      </c>
      <c r="EE81" s="4">
        <v>4.3999999999999997E-2</v>
      </c>
      <c r="EF81" s="4">
        <v>3.5999999999999997E-2</v>
      </c>
      <c r="EG81" s="4">
        <v>4.5999999999999999E-2</v>
      </c>
      <c r="EH81" s="8">
        <v>0.05</v>
      </c>
      <c r="EI81" s="4">
        <v>4.9000000000000002E-2</v>
      </c>
      <c r="EJ81" s="4">
        <v>3.5999999999999997E-2</v>
      </c>
      <c r="EK81" s="8">
        <v>4.9000000000000002E-2</v>
      </c>
      <c r="EL81" s="4">
        <v>4.8000000000000001E-2</v>
      </c>
      <c r="EM81" s="4">
        <v>4.9000000000000002E-2</v>
      </c>
      <c r="EN81" s="4">
        <v>4.5999999999999999E-2</v>
      </c>
      <c r="EO81" s="4">
        <v>8.3000000000000004E-2</v>
      </c>
      <c r="EP81" s="4">
        <v>5.8999999999999997E-2</v>
      </c>
      <c r="EQ81" s="4">
        <v>5.3999999999999999E-2</v>
      </c>
      <c r="ER81" s="4">
        <v>6.5000000000000002E-2</v>
      </c>
      <c r="ES81" s="4">
        <v>7.2999999999999995E-2</v>
      </c>
      <c r="ET81" s="4">
        <v>5.8000000000000003E-2</v>
      </c>
      <c r="EU81" s="4">
        <v>3.7999999999999999E-2</v>
      </c>
      <c r="EV81" s="4">
        <v>3.5999999999999997E-2</v>
      </c>
      <c r="EW81" s="4">
        <v>0.04</v>
      </c>
      <c r="EX81" s="4">
        <v>0.04</v>
      </c>
      <c r="EY81" s="4">
        <v>3.5999999999999997E-2</v>
      </c>
      <c r="EZ81" s="4">
        <v>5.0999999999999997E-2</v>
      </c>
      <c r="FA81" s="8">
        <v>5.3999999999999999E-2</v>
      </c>
      <c r="FB81" s="4">
        <v>4.7E-2</v>
      </c>
      <c r="FC81" s="4">
        <v>6.9000000000000006E-2</v>
      </c>
      <c r="FD81" s="4">
        <v>5.8999999999999997E-2</v>
      </c>
      <c r="FE81" s="4">
        <v>6.3E-2</v>
      </c>
      <c r="FF81" s="4">
        <v>4.4999999999999998E-2</v>
      </c>
      <c r="FG81" s="4"/>
      <c r="FH81" s="4"/>
      <c r="FI81" s="4"/>
      <c r="FJ81" s="4"/>
      <c r="FK81" s="4"/>
      <c r="FL81" s="4"/>
    </row>
    <row r="82" spans="1:168" x14ac:dyDescent="0.3">
      <c r="A82" t="s">
        <v>235</v>
      </c>
      <c r="B82" s="4">
        <f t="shared" ref="B82:BM82" si="262">(B78-B44)/B44</f>
        <v>2.1333333333333337</v>
      </c>
      <c r="C82" s="4">
        <f t="shared" si="262"/>
        <v>1.8120805369127519</v>
      </c>
      <c r="D82" s="4">
        <f t="shared" si="262"/>
        <v>1.391025641025641</v>
      </c>
      <c r="E82" s="4">
        <f t="shared" si="262"/>
        <v>2.2032520325203255</v>
      </c>
      <c r="F82" s="4">
        <f t="shared" si="262"/>
        <v>1.7265624999999998</v>
      </c>
      <c r="G82" s="4">
        <f t="shared" si="262"/>
        <v>1.8632478632478633</v>
      </c>
      <c r="H82" s="4">
        <f t="shared" si="262"/>
        <v>6.7058823529411766</v>
      </c>
      <c r="I82" s="4">
        <f t="shared" si="262"/>
        <v>0.68817204301075274</v>
      </c>
      <c r="J82" s="4">
        <f t="shared" si="262"/>
        <v>2.2450331125827812</v>
      </c>
      <c r="K82" s="4">
        <f t="shared" si="262"/>
        <v>0.34185303514376991</v>
      </c>
      <c r="L82" s="4">
        <f t="shared" si="262"/>
        <v>0.23333333333333339</v>
      </c>
      <c r="M82" s="4">
        <f t="shared" si="262"/>
        <v>1.6754385964912279</v>
      </c>
      <c r="N82" s="4">
        <f t="shared" si="262"/>
        <v>0.3095238095238097</v>
      </c>
      <c r="O82" s="4">
        <f t="shared" si="262"/>
        <v>0.50476190476190486</v>
      </c>
      <c r="P82" s="4">
        <f t="shared" si="262"/>
        <v>0.17249999999999988</v>
      </c>
      <c r="Q82" s="4">
        <f t="shared" si="262"/>
        <v>2.9772329246935229E-2</v>
      </c>
      <c r="R82" s="4">
        <f t="shared" si="262"/>
        <v>1.9743589743589747</v>
      </c>
      <c r="S82" s="4">
        <f t="shared" si="262"/>
        <v>0.71308016877637148</v>
      </c>
      <c r="T82" s="4">
        <f t="shared" si="262"/>
        <v>0.3</v>
      </c>
      <c r="U82" s="4">
        <f t="shared" si="262"/>
        <v>0.22801302931596093</v>
      </c>
      <c r="V82" s="4">
        <f t="shared" si="262"/>
        <v>6.3</v>
      </c>
      <c r="W82" s="4">
        <f t="shared" si="262"/>
        <v>2.1025641025641022</v>
      </c>
      <c r="X82" s="4">
        <f t="shared" si="262"/>
        <v>0.94594594594594594</v>
      </c>
      <c r="Y82" s="4">
        <f t="shared" si="262"/>
        <v>2.7647058823529416</v>
      </c>
      <c r="Z82" s="4">
        <f t="shared" si="262"/>
        <v>0.97206703910614523</v>
      </c>
      <c r="AA82" s="4">
        <f t="shared" si="262"/>
        <v>4.4285714285714288</v>
      </c>
      <c r="AB82" s="4">
        <f t="shared" si="262"/>
        <v>0.34671532846715314</v>
      </c>
      <c r="AC82" s="4">
        <f t="shared" si="262"/>
        <v>1.2486187845303867</v>
      </c>
      <c r="AD82" s="4">
        <f t="shared" si="262"/>
        <v>0.58620689655172398</v>
      </c>
      <c r="AE82" s="4">
        <f t="shared" si="262"/>
        <v>7.3846153846153859</v>
      </c>
      <c r="AF82" s="4">
        <f t="shared" si="262"/>
        <v>3.7051282051282048</v>
      </c>
      <c r="AG82" s="4">
        <f t="shared" si="262"/>
        <v>0.11650485436893192</v>
      </c>
      <c r="AH82" s="4">
        <f t="shared" si="262"/>
        <v>0.20327102803738323</v>
      </c>
      <c r="AI82" s="4">
        <f t="shared" si="262"/>
        <v>5.9967585089141059E-2</v>
      </c>
      <c r="AJ82" s="4">
        <f t="shared" si="262"/>
        <v>2.952941176470588</v>
      </c>
      <c r="AK82" s="4">
        <f t="shared" si="262"/>
        <v>4.5294117647058822</v>
      </c>
      <c r="AL82" s="4">
        <f t="shared" si="262"/>
        <v>8.7297297297297298</v>
      </c>
      <c r="AM82" s="4">
        <f t="shared" si="262"/>
        <v>0.50833333333333353</v>
      </c>
      <c r="AN82" s="4">
        <f t="shared" si="262"/>
        <v>0.60479041916167664</v>
      </c>
      <c r="AO82" s="4">
        <f t="shared" si="262"/>
        <v>0.34851936218678808</v>
      </c>
      <c r="AP82" s="4">
        <f t="shared" si="262"/>
        <v>0.10073710073710083</v>
      </c>
      <c r="AQ82" s="4">
        <f t="shared" si="262"/>
        <v>0.18397626112759644</v>
      </c>
      <c r="AR82" s="4">
        <f t="shared" si="262"/>
        <v>0.10702341137123755</v>
      </c>
      <c r="AS82" s="4">
        <f t="shared" si="262"/>
        <v>2.885416666666667</v>
      </c>
      <c r="AT82" s="4">
        <f t="shared" si="262"/>
        <v>2.1686746987951828E-2</v>
      </c>
      <c r="AU82" s="4">
        <f t="shared" si="262"/>
        <v>1.4557522123893809</v>
      </c>
      <c r="AV82" s="4">
        <f t="shared" si="262"/>
        <v>0.54958677685950419</v>
      </c>
      <c r="AW82" s="4">
        <f t="shared" si="262"/>
        <v>0.1333333333333333</v>
      </c>
      <c r="AX82" s="8">
        <f t="shared" si="262"/>
        <v>0.91954022988505768</v>
      </c>
      <c r="AY82" s="4">
        <f t="shared" si="262"/>
        <v>0.53676470588235281</v>
      </c>
      <c r="AZ82" s="4">
        <f t="shared" si="262"/>
        <v>0.32212885154061621</v>
      </c>
      <c r="BA82" s="8">
        <f t="shared" si="262"/>
        <v>7.1803852889667313E-2</v>
      </c>
      <c r="BB82" s="8">
        <f t="shared" si="262"/>
        <v>-2.5862068965517262E-2</v>
      </c>
      <c r="BC82" s="8">
        <f t="shared" si="262"/>
        <v>3.8803418803418799</v>
      </c>
      <c r="BD82" s="8">
        <f t="shared" si="262"/>
        <v>13.117647058823527</v>
      </c>
      <c r="BE82" s="4">
        <f t="shared" si="262"/>
        <v>0.21756487025948101</v>
      </c>
      <c r="BF82" s="4">
        <f t="shared" si="262"/>
        <v>2.1538461538461537</v>
      </c>
      <c r="BG82" s="4">
        <f t="shared" si="262"/>
        <v>0.14836223506743729</v>
      </c>
      <c r="BH82" s="4">
        <f t="shared" si="262"/>
        <v>0.43085106382978733</v>
      </c>
      <c r="BI82" s="4">
        <f t="shared" si="262"/>
        <v>0.35734072022160668</v>
      </c>
      <c r="BJ82" s="4">
        <f t="shared" si="262"/>
        <v>-0.53</v>
      </c>
      <c r="BK82" s="4">
        <f t="shared" si="262"/>
        <v>0.67664670658682646</v>
      </c>
      <c r="BL82" s="4">
        <f t="shared" si="262"/>
        <v>0.82789317507418381</v>
      </c>
      <c r="BM82" s="4">
        <f t="shared" si="262"/>
        <v>0.14921465968586387</v>
      </c>
      <c r="BN82" s="4">
        <f t="shared" ref="BN82:DY82" si="263">(BN78-BN44)/BN44</f>
        <v>2.023076923076923</v>
      </c>
      <c r="BO82" s="4">
        <f t="shared" si="263"/>
        <v>4.6458333333333339</v>
      </c>
      <c r="BP82" s="4">
        <f t="shared" si="263"/>
        <v>1.5511811023622049</v>
      </c>
      <c r="BQ82" s="8">
        <f t="shared" si="263"/>
        <v>0.54752851711026596</v>
      </c>
      <c r="BR82" s="4">
        <f t="shared" si="263"/>
        <v>1.0178571428571428</v>
      </c>
      <c r="BS82" s="4">
        <f t="shared" si="263"/>
        <v>1.3101604278074865</v>
      </c>
      <c r="BT82" s="4">
        <f t="shared" si="263"/>
        <v>6.3063063063062946E-2</v>
      </c>
      <c r="BU82" s="4">
        <f t="shared" si="263"/>
        <v>0.32738095238095233</v>
      </c>
      <c r="BV82" s="4">
        <f t="shared" si="263"/>
        <v>5.4140127388535082E-2</v>
      </c>
      <c r="BW82" s="4">
        <f t="shared" si="263"/>
        <v>0.10465116279069756</v>
      </c>
      <c r="BX82" s="4">
        <f t="shared" si="263"/>
        <v>0.82700421940928281</v>
      </c>
      <c r="BY82" s="4">
        <f t="shared" si="263"/>
        <v>0.14511041009463718</v>
      </c>
      <c r="BZ82" s="4">
        <f t="shared" si="263"/>
        <v>2.0567375886524828</v>
      </c>
      <c r="CA82" s="4">
        <f t="shared" si="263"/>
        <v>3.2325581395348841</v>
      </c>
      <c r="CB82" s="4">
        <f t="shared" si="263"/>
        <v>3.6619718309859159</v>
      </c>
      <c r="CC82" s="4">
        <f t="shared" si="263"/>
        <v>2.6239316239316239</v>
      </c>
      <c r="CD82" s="4">
        <f t="shared" si="263"/>
        <v>1.849315068493151</v>
      </c>
      <c r="CE82" s="4">
        <f t="shared" si="263"/>
        <v>1.3885714285714286</v>
      </c>
      <c r="CF82" s="4">
        <f t="shared" si="263"/>
        <v>2.6881720430107525</v>
      </c>
      <c r="CG82" s="4">
        <f t="shared" si="263"/>
        <v>1.9223300970873789</v>
      </c>
      <c r="CH82" s="4">
        <f t="shared" si="263"/>
        <v>2.141025641025641</v>
      </c>
      <c r="CI82" s="4">
        <f t="shared" si="263"/>
        <v>2.8449612403100772</v>
      </c>
      <c r="CJ82" s="4">
        <f t="shared" si="263"/>
        <v>6.7407407407407405</v>
      </c>
      <c r="CK82" s="4">
        <f t="shared" si="263"/>
        <v>1.6491228070175439</v>
      </c>
      <c r="CL82" s="4">
        <f t="shared" si="263"/>
        <v>1.4809523809523812</v>
      </c>
      <c r="CM82" s="4">
        <f t="shared" si="263"/>
        <v>1.9006622516556295</v>
      </c>
      <c r="CN82" s="4">
        <f t="shared" si="263"/>
        <v>1.4186991869918699</v>
      </c>
      <c r="CO82" s="4">
        <f t="shared" si="263"/>
        <v>2.063829787234043</v>
      </c>
      <c r="CP82" s="4">
        <f t="shared" si="263"/>
        <v>1.640625</v>
      </c>
      <c r="CQ82" s="4">
        <f t="shared" si="263"/>
        <v>0.92233009708737879</v>
      </c>
      <c r="CR82" s="4">
        <f t="shared" si="263"/>
        <v>1.0119047619047619</v>
      </c>
      <c r="CS82" s="4">
        <f t="shared" si="263"/>
        <v>0.87022900763358768</v>
      </c>
      <c r="CT82" s="4">
        <f t="shared" si="263"/>
        <v>2.1666666666666665</v>
      </c>
      <c r="CU82" s="4">
        <f t="shared" si="263"/>
        <v>1.6206896551724137</v>
      </c>
      <c r="CV82" s="4">
        <f t="shared" si="263"/>
        <v>0.49999999999999983</v>
      </c>
      <c r="CW82" s="4">
        <f t="shared" si="263"/>
        <v>2.7162162162162167</v>
      </c>
      <c r="CX82" s="4">
        <f t="shared" si="263"/>
        <v>1.0172413793103448</v>
      </c>
      <c r="CY82" s="8">
        <f t="shared" si="263"/>
        <v>8.1395348837209378E-2</v>
      </c>
      <c r="CZ82" s="4">
        <f t="shared" si="263"/>
        <v>0.30787037037037024</v>
      </c>
      <c r="DA82" s="4">
        <f t="shared" si="263"/>
        <v>0.11428571428571439</v>
      </c>
      <c r="DB82" s="4">
        <f t="shared" si="263"/>
        <v>0.23866348448687361</v>
      </c>
      <c r="DC82" s="8">
        <f t="shared" si="263"/>
        <v>0.43564356435643548</v>
      </c>
      <c r="DD82" s="4">
        <f t="shared" si="263"/>
        <v>0.68390804597701149</v>
      </c>
      <c r="DE82" s="8">
        <f t="shared" si="263"/>
        <v>0.23605150214592258</v>
      </c>
      <c r="DF82" s="4">
        <f t="shared" si="263"/>
        <v>1.1408450704225352</v>
      </c>
      <c r="DG82" s="4">
        <f t="shared" si="263"/>
        <v>2.3629032258064515</v>
      </c>
      <c r="DH82" s="8">
        <f t="shared" si="263"/>
        <v>7</v>
      </c>
      <c r="DI82" s="8">
        <f t="shared" si="263"/>
        <v>0.1203438395415474</v>
      </c>
      <c r="DJ82" s="8">
        <f t="shared" si="263"/>
        <v>0.3551912568306011</v>
      </c>
      <c r="DK82" s="4">
        <f t="shared" si="263"/>
        <v>0.28465346534653463</v>
      </c>
      <c r="DL82" s="8">
        <f t="shared" si="263"/>
        <v>0.72244897959183674</v>
      </c>
      <c r="DM82" s="8">
        <f t="shared" si="263"/>
        <v>0.57785467128027701</v>
      </c>
      <c r="DN82" s="8">
        <f t="shared" si="263"/>
        <v>0.28073770491803279</v>
      </c>
      <c r="DO82" s="8">
        <f t="shared" si="263"/>
        <v>0.19800332778702162</v>
      </c>
      <c r="DP82" s="8">
        <f t="shared" si="263"/>
        <v>0.31910569105691061</v>
      </c>
      <c r="DQ82" s="8">
        <f t="shared" si="263"/>
        <v>-5.9701492537313485E-3</v>
      </c>
      <c r="DR82" s="4">
        <f t="shared" si="263"/>
        <v>6.8389057750759763E-2</v>
      </c>
      <c r="DS82" s="4">
        <f t="shared" si="263"/>
        <v>0.10623556581986141</v>
      </c>
      <c r="DT82" s="10">
        <f t="shared" si="263"/>
        <v>0.42005420054200548</v>
      </c>
      <c r="DU82" s="4">
        <f t="shared" si="263"/>
        <v>1.5163398692810459</v>
      </c>
      <c r="DV82" s="4">
        <f t="shared" si="263"/>
        <v>0.19178082191780826</v>
      </c>
      <c r="DW82" s="4">
        <f t="shared" si="263"/>
        <v>0.29439252336448613</v>
      </c>
      <c r="DX82" s="8">
        <f t="shared" si="263"/>
        <v>0.2049469964664313</v>
      </c>
      <c r="DY82" s="4">
        <f t="shared" si="263"/>
        <v>0.4395604395604395</v>
      </c>
      <c r="DZ82" s="8">
        <f t="shared" ref="DZ82:EX82" si="264">(DZ78-DZ44)/DZ44</f>
        <v>0.18341307814992025</v>
      </c>
      <c r="EA82" s="4">
        <f t="shared" si="264"/>
        <v>0.21006944444444445</v>
      </c>
      <c r="EB82" s="4">
        <f t="shared" si="264"/>
        <v>0.58041958041958053</v>
      </c>
      <c r="EC82" s="4">
        <f t="shared" si="264"/>
        <v>0.43099273607748184</v>
      </c>
      <c r="ED82" s="4">
        <f t="shared" si="264"/>
        <v>0.20435510887772196</v>
      </c>
      <c r="EE82" s="4">
        <f t="shared" si="264"/>
        <v>0.34111310592459593</v>
      </c>
      <c r="EF82" s="4">
        <f t="shared" si="264"/>
        <v>1.1999999999999997</v>
      </c>
      <c r="EG82" s="4">
        <f t="shared" si="264"/>
        <v>0.73284313725490202</v>
      </c>
      <c r="EH82" s="8">
        <f t="shared" si="264"/>
        <v>7.9584775086505272E-2</v>
      </c>
      <c r="EI82" s="4">
        <f t="shared" si="264"/>
        <v>0.21705426356589144</v>
      </c>
      <c r="EJ82" s="4">
        <f t="shared" si="264"/>
        <v>0.2462686567164179</v>
      </c>
      <c r="EK82" s="8">
        <f t="shared" si="264"/>
        <v>0.55897435897435888</v>
      </c>
      <c r="EL82" s="4">
        <f t="shared" si="264"/>
        <v>0.36963696369636961</v>
      </c>
      <c r="EM82" s="4">
        <f t="shared" si="264"/>
        <v>0.23310810810810814</v>
      </c>
      <c r="EN82" s="4">
        <f t="shared" si="264"/>
        <v>0.1939163498098859</v>
      </c>
      <c r="EO82" s="4">
        <f t="shared" si="264"/>
        <v>0.87898089171974514</v>
      </c>
      <c r="EP82" s="4">
        <f t="shared" si="264"/>
        <v>0.39117647058823513</v>
      </c>
      <c r="EQ82" s="4">
        <f t="shared" si="264"/>
        <v>0.63305322128851538</v>
      </c>
      <c r="ER82" s="4">
        <f t="shared" si="264"/>
        <v>0.31848552338530056</v>
      </c>
      <c r="ES82" s="4">
        <f t="shared" si="264"/>
        <v>1.0487804878048781</v>
      </c>
      <c r="ET82" s="4">
        <f t="shared" si="264"/>
        <v>0.90865384615384637</v>
      </c>
      <c r="EU82" s="4">
        <f t="shared" si="264"/>
        <v>7.0336391437308757E-2</v>
      </c>
      <c r="EV82" s="4">
        <f t="shared" si="264"/>
        <v>0.10799136069114468</v>
      </c>
      <c r="EW82" s="4">
        <f t="shared" si="264"/>
        <v>0.17615176151761519</v>
      </c>
      <c r="EX82" s="4">
        <f t="shared" si="264"/>
        <v>6.774193548387103E-2</v>
      </c>
      <c r="EY82" s="4">
        <f>(EY78-EY44)/EY44</f>
        <v>3.8516405135520723E-2</v>
      </c>
      <c r="EZ82" s="4">
        <f>(EZ78-EZ44)/EZ44</f>
        <v>0.44765342960288806</v>
      </c>
      <c r="FA82" s="8">
        <f>(FA78-FA44)/FA44</f>
        <v>0.27828746177370023</v>
      </c>
      <c r="FB82" s="10">
        <f>(FB78-FB44)/FB44</f>
        <v>0.64186046511627903</v>
      </c>
      <c r="FC82" s="10">
        <f>(FC78-FC44)/FC44</f>
        <v>0.91780821917808253</v>
      </c>
      <c r="FD82" s="10">
        <f>(FD78-FD44)/FD44</f>
        <v>0.32954545454545442</v>
      </c>
      <c r="FE82" s="10">
        <f>(FE78-FE44)/FE44</f>
        <v>0.58208955223880587</v>
      </c>
      <c r="FF82" s="10">
        <f>(FF78-FF44)/FF44</f>
        <v>0.96511627906976771</v>
      </c>
      <c r="FG82" s="4"/>
      <c r="FH82" s="4"/>
      <c r="FI82" s="4"/>
      <c r="FJ82" s="4"/>
      <c r="FK82" s="4"/>
      <c r="FL82" s="4"/>
    </row>
    <row r="83" spans="1:168" x14ac:dyDescent="0.3">
      <c r="A83" t="s">
        <v>236</v>
      </c>
      <c r="B83" s="4">
        <f t="shared" ref="B83:BM83" si="265">(B79-B45)/B45</f>
        <v>2.1052631578947367</v>
      </c>
      <c r="C83" s="4">
        <f t="shared" si="265"/>
        <v>1.51</v>
      </c>
      <c r="D83" s="4">
        <f t="shared" si="265"/>
        <v>1.7095588235294115</v>
      </c>
      <c r="E83" s="4">
        <f t="shared" si="265"/>
        <v>1.4925925925925927</v>
      </c>
      <c r="F83" s="4">
        <f t="shared" si="265"/>
        <v>1.4848484848484849</v>
      </c>
      <c r="G83" s="4">
        <f t="shared" si="265"/>
        <v>1.6576923076923074</v>
      </c>
      <c r="H83" s="4">
        <f t="shared" si="265"/>
        <v>2.5928143712574845</v>
      </c>
      <c r="I83" s="4">
        <f t="shared" si="265"/>
        <v>0.35964912280701772</v>
      </c>
      <c r="J83" s="4">
        <f t="shared" si="265"/>
        <v>1.7457044673539521</v>
      </c>
      <c r="K83" s="4">
        <f t="shared" si="265"/>
        <v>7.5282308657465555E-3</v>
      </c>
      <c r="L83" s="4">
        <f t="shared" si="265"/>
        <v>0.19298245614035089</v>
      </c>
      <c r="M83" s="4">
        <f t="shared" si="265"/>
        <v>0.28296296296296286</v>
      </c>
      <c r="N83" s="4">
        <f t="shared" si="265"/>
        <v>0.15659679408138086</v>
      </c>
      <c r="O83" s="4">
        <f t="shared" si="265"/>
        <v>0.2253521126760564</v>
      </c>
      <c r="P83" s="4">
        <f t="shared" si="265"/>
        <v>3.0439684329199575E-2</v>
      </c>
      <c r="Q83" s="4">
        <f t="shared" si="265"/>
        <v>5.9483726150392748E-2</v>
      </c>
      <c r="R83" s="4">
        <f t="shared" si="265"/>
        <v>3.3333333333333326</v>
      </c>
      <c r="S83" s="4">
        <f t="shared" si="265"/>
        <v>0.40955631399317405</v>
      </c>
      <c r="T83" s="4">
        <f t="shared" si="265"/>
        <v>0.19205298013245034</v>
      </c>
      <c r="U83" s="4">
        <f t="shared" si="265"/>
        <v>0.29895366218236163</v>
      </c>
      <c r="V83" s="4">
        <f t="shared" si="265"/>
        <v>1.3206106870229006</v>
      </c>
      <c r="W83" s="4">
        <f t="shared" si="265"/>
        <v>0.69064748201438841</v>
      </c>
      <c r="X83" s="4">
        <f t="shared" si="265"/>
        <v>0.79492600422832982</v>
      </c>
      <c r="Y83" s="4">
        <f t="shared" si="265"/>
        <v>0.81898454746136851</v>
      </c>
      <c r="Z83" s="4">
        <f t="shared" si="265"/>
        <v>0.3683035714285714</v>
      </c>
      <c r="AA83" s="4">
        <f t="shared" si="265"/>
        <v>1.0975609756097562</v>
      </c>
      <c r="AB83" s="4">
        <f t="shared" si="265"/>
        <v>1.6058631921824107</v>
      </c>
      <c r="AC83" s="4">
        <f t="shared" si="265"/>
        <v>0.86284289276807968</v>
      </c>
      <c r="AD83" s="4">
        <f t="shared" si="265"/>
        <v>0.6282306163021868</v>
      </c>
      <c r="AE83" s="4">
        <f t="shared" si="265"/>
        <v>2.0223048327137541</v>
      </c>
      <c r="AF83" s="4">
        <f t="shared" si="265"/>
        <v>7.08</v>
      </c>
      <c r="AG83" s="4">
        <f t="shared" si="265"/>
        <v>8.5409252669039218E-2</v>
      </c>
      <c r="AH83" s="4">
        <f t="shared" si="265"/>
        <v>0.10744810744810755</v>
      </c>
      <c r="AI83" s="4">
        <f t="shared" si="265"/>
        <v>4.9549549549549592E-2</v>
      </c>
      <c r="AJ83" s="4">
        <f t="shared" si="265"/>
        <v>0.92802056555269918</v>
      </c>
      <c r="AK83" s="4">
        <f t="shared" si="265"/>
        <v>0.95543175487465182</v>
      </c>
      <c r="AL83" s="4">
        <f t="shared" si="265"/>
        <v>1.331306990881459</v>
      </c>
      <c r="AM83" s="4">
        <f t="shared" si="265"/>
        <v>0.64122137404580148</v>
      </c>
      <c r="AN83" s="4">
        <f t="shared" si="265"/>
        <v>0.55637707948243975</v>
      </c>
      <c r="AO83" s="4">
        <f t="shared" si="265"/>
        <v>0.3478260869565219</v>
      </c>
      <c r="AP83" s="4">
        <f t="shared" si="265"/>
        <v>1.7259978425026863E-2</v>
      </c>
      <c r="AQ83" s="4">
        <f t="shared" si="265"/>
        <v>6.8126520681265276E-2</v>
      </c>
      <c r="AR83" s="4">
        <f t="shared" si="265"/>
        <v>8.018327605956467E-2</v>
      </c>
      <c r="AS83" s="4">
        <f t="shared" si="265"/>
        <v>0.38632750397456278</v>
      </c>
      <c r="AT83" s="4">
        <f t="shared" si="265"/>
        <v>0.140625</v>
      </c>
      <c r="AU83" s="4">
        <f t="shared" si="265"/>
        <v>0.71531531531531511</v>
      </c>
      <c r="AV83" s="4">
        <f t="shared" si="265"/>
        <v>0.30069930069930079</v>
      </c>
      <c r="AW83" s="4">
        <f t="shared" si="265"/>
        <v>-0.34355828220858897</v>
      </c>
      <c r="AX83" s="8">
        <f t="shared" si="265"/>
        <v>0.28787878787878796</v>
      </c>
      <c r="AY83" s="4">
        <f t="shared" si="265"/>
        <v>0.1608623548922056</v>
      </c>
      <c r="AZ83" s="4">
        <f t="shared" si="265"/>
        <v>0.1421725239616613</v>
      </c>
      <c r="BA83" s="8">
        <f t="shared" si="265"/>
        <v>0.1504854368932039</v>
      </c>
      <c r="BB83" s="8">
        <f t="shared" si="265"/>
        <v>0.24677002583979321</v>
      </c>
      <c r="BC83" s="8">
        <f t="shared" si="265"/>
        <v>0.58176100628930816</v>
      </c>
      <c r="BD83" s="8">
        <f t="shared" si="265"/>
        <v>1.8884297520661155</v>
      </c>
      <c r="BE83" s="4">
        <f t="shared" si="265"/>
        <v>8.9663760896637551E-2</v>
      </c>
      <c r="BF83" s="4">
        <f t="shared" si="265"/>
        <v>1.6431372549019609</v>
      </c>
      <c r="BG83" s="4">
        <f t="shared" si="265"/>
        <v>5.2183173588924436E-2</v>
      </c>
      <c r="BH83" s="4">
        <f t="shared" si="265"/>
        <v>0.22037037037037036</v>
      </c>
      <c r="BI83" s="4">
        <f t="shared" si="265"/>
        <v>0.10588235294117644</v>
      </c>
      <c r="BJ83" s="4">
        <f t="shared" si="265"/>
        <v>1.2919999999999998</v>
      </c>
      <c r="BK83" s="4">
        <f t="shared" si="265"/>
        <v>0.58350515463917529</v>
      </c>
      <c r="BL83" s="4">
        <f t="shared" si="265"/>
        <v>0.91176470588235314</v>
      </c>
      <c r="BM83" s="4">
        <f t="shared" si="265"/>
        <v>2.3316582914572863</v>
      </c>
      <c r="BN83" s="4">
        <f t="shared" ref="BN83:DY83" si="266">(BN79-BN45)/BN45</f>
        <v>1.1450151057401809</v>
      </c>
      <c r="BO83" s="4">
        <f t="shared" si="266"/>
        <v>1.972826086956522</v>
      </c>
      <c r="BP83" s="4">
        <f t="shared" si="266"/>
        <v>1.1792207792207792</v>
      </c>
      <c r="BQ83" s="8">
        <f t="shared" si="266"/>
        <v>0.9613034623217922</v>
      </c>
      <c r="BR83" s="4">
        <f t="shared" si="266"/>
        <v>0.99530516431924887</v>
      </c>
      <c r="BS83" s="4">
        <f t="shared" si="266"/>
        <v>1.3601108033240998</v>
      </c>
      <c r="BT83" s="4">
        <f t="shared" si="266"/>
        <v>0.18865248226950357</v>
      </c>
      <c r="BU83" s="4">
        <f t="shared" si="266"/>
        <v>6.8376068376068438E-2</v>
      </c>
      <c r="BV83" s="4">
        <f t="shared" si="266"/>
        <v>0.10755148741418762</v>
      </c>
      <c r="BW83" s="4">
        <f t="shared" si="266"/>
        <v>5.9440559440559496E-2</v>
      </c>
      <c r="BX83" s="4">
        <f t="shared" si="266"/>
        <v>8.1206496519721658E-2</v>
      </c>
      <c r="BY83" s="4">
        <f t="shared" si="266"/>
        <v>8.6513994910941402E-2</v>
      </c>
      <c r="BZ83" s="4">
        <f t="shared" si="266"/>
        <v>2.0590551181102361</v>
      </c>
      <c r="CA83" s="4">
        <f t="shared" si="266"/>
        <v>1.5070821529745044</v>
      </c>
      <c r="CB83" s="4">
        <f t="shared" si="266"/>
        <v>1.4731861198738172</v>
      </c>
      <c r="CC83" s="4">
        <f t="shared" si="266"/>
        <v>1.6273291925465838</v>
      </c>
      <c r="CD83" s="4">
        <f t="shared" si="266"/>
        <v>1.7252396166134187</v>
      </c>
      <c r="CE83" s="4">
        <f t="shared" si="266"/>
        <v>1.1658653846153848</v>
      </c>
      <c r="CF83" s="4">
        <f t="shared" si="266"/>
        <v>1.3696275071633237</v>
      </c>
      <c r="CG83" s="4">
        <f t="shared" si="266"/>
        <v>0.85081585081585098</v>
      </c>
      <c r="CH83" s="4">
        <f t="shared" si="266"/>
        <v>1.9365079365079367</v>
      </c>
      <c r="CI83" s="4">
        <f t="shared" si="266"/>
        <v>1.3436619718309859</v>
      </c>
      <c r="CJ83" s="4">
        <f t="shared" si="266"/>
        <v>0.14507772020725387</v>
      </c>
      <c r="CK83" s="4">
        <f t="shared" si="266"/>
        <v>1.4432432432432434</v>
      </c>
      <c r="CL83" s="4">
        <f t="shared" si="266"/>
        <v>1.495726495726496</v>
      </c>
      <c r="CM83" s="4">
        <f t="shared" si="266"/>
        <v>1.5029411764705878</v>
      </c>
      <c r="CN83" s="4">
        <f t="shared" si="266"/>
        <v>1.403846153846154</v>
      </c>
      <c r="CO83" s="4">
        <f t="shared" si="266"/>
        <v>0.97169811320754718</v>
      </c>
      <c r="CP83" s="4">
        <f t="shared" si="266"/>
        <v>2.5247148288973382</v>
      </c>
      <c r="CQ83" s="4">
        <f t="shared" si="266"/>
        <v>0.9804772234273319</v>
      </c>
      <c r="CR83" s="4">
        <f t="shared" si="266"/>
        <v>1.1428571428571428</v>
      </c>
      <c r="CS83" s="4">
        <f t="shared" si="266"/>
        <v>0.9467084639498432</v>
      </c>
      <c r="CT83" s="4">
        <f t="shared" si="266"/>
        <v>2.3333333333333335</v>
      </c>
      <c r="CU83" s="4">
        <f t="shared" si="266"/>
        <v>1.172749391727494</v>
      </c>
      <c r="CV83" s="4">
        <f t="shared" si="266"/>
        <v>0.45664739884393057</v>
      </c>
      <c r="CW83" s="4">
        <f t="shared" si="266"/>
        <v>0.64852607709750565</v>
      </c>
      <c r="CX83" s="4">
        <f t="shared" si="266"/>
        <v>1.0298850574712644</v>
      </c>
      <c r="CY83" s="8">
        <f t="shared" si="266"/>
        <v>0.23304562268803938</v>
      </c>
      <c r="CZ83" s="4">
        <f t="shared" si="266"/>
        <v>0.23225806451612896</v>
      </c>
      <c r="DA83" s="4">
        <f t="shared" si="266"/>
        <v>3.8335158817086441E-2</v>
      </c>
      <c r="DB83" s="4">
        <f t="shared" si="266"/>
        <v>0.49538461538461531</v>
      </c>
      <c r="DC83" s="8">
        <f t="shared" si="266"/>
        <v>0.61797752808988748</v>
      </c>
      <c r="DD83" s="4">
        <f t="shared" si="266"/>
        <v>0.88461538461538469</v>
      </c>
      <c r="DE83" s="8">
        <f t="shared" si="266"/>
        <v>0.72766884531590414</v>
      </c>
      <c r="DF83" s="4">
        <f t="shared" si="266"/>
        <v>1.0320512820512819</v>
      </c>
      <c r="DG83" s="4">
        <f t="shared" si="266"/>
        <v>0.80072463768115931</v>
      </c>
      <c r="DH83" s="8">
        <f t="shared" si="266"/>
        <v>-0.16157989228007183</v>
      </c>
      <c r="DI83" s="8">
        <f t="shared" si="266"/>
        <v>0.46428571428571419</v>
      </c>
      <c r="DJ83" s="8">
        <f t="shared" si="266"/>
        <v>0.19083969465648856</v>
      </c>
      <c r="DK83" s="4">
        <f t="shared" si="266"/>
        <v>0.28296703296703307</v>
      </c>
      <c r="DL83" s="8">
        <f t="shared" si="266"/>
        <v>0.26869806094182835</v>
      </c>
      <c r="DM83" s="8">
        <f t="shared" si="266"/>
        <v>0.15132408575031525</v>
      </c>
      <c r="DN83" s="8">
        <f t="shared" si="266"/>
        <v>0.29537953795379546</v>
      </c>
      <c r="DO83" s="8">
        <f t="shared" si="266"/>
        <v>0.20451693851944783</v>
      </c>
      <c r="DP83" s="8">
        <f t="shared" si="266"/>
        <v>0.15073529411764708</v>
      </c>
      <c r="DQ83" s="8">
        <f t="shared" si="266"/>
        <v>0.1498216409036861</v>
      </c>
      <c r="DR83" s="4">
        <f t="shared" si="266"/>
        <v>8.5607940446650058E-2</v>
      </c>
      <c r="DS83" s="4">
        <f t="shared" si="266"/>
        <v>0.25370919881305626</v>
      </c>
      <c r="DT83" s="10">
        <f t="shared" si="266"/>
        <v>0.42137404580152671</v>
      </c>
      <c r="DU83" s="4">
        <f t="shared" si="266"/>
        <v>0.82500000000000007</v>
      </c>
      <c r="DV83" s="4">
        <f t="shared" si="266"/>
        <v>0.14120370370370369</v>
      </c>
      <c r="DW83" s="4">
        <f t="shared" si="266"/>
        <v>0.27123695976154982</v>
      </c>
      <c r="DX83" s="8">
        <f t="shared" si="266"/>
        <v>0.48818897637795267</v>
      </c>
      <c r="DY83" s="4">
        <f t="shared" si="266"/>
        <v>1.1479028697571745</v>
      </c>
      <c r="DZ83" s="8">
        <f t="shared" ref="DZ83:EX83" si="267">(DZ79-DZ45)/DZ45</f>
        <v>0.41678939617083932</v>
      </c>
      <c r="EA83" s="4">
        <f t="shared" si="267"/>
        <v>0.22136422136422126</v>
      </c>
      <c r="EB83" s="4">
        <f t="shared" si="267"/>
        <v>0.62412587412587439</v>
      </c>
      <c r="EC83" s="4">
        <f t="shared" si="267"/>
        <v>0.50774526678141141</v>
      </c>
      <c r="ED83" s="4">
        <f t="shared" si="267"/>
        <v>0.41592920353982288</v>
      </c>
      <c r="EE83" s="4">
        <f t="shared" si="267"/>
        <v>0.52295081967213131</v>
      </c>
      <c r="EF83" s="4">
        <f t="shared" si="267"/>
        <v>1.1399999999999997</v>
      </c>
      <c r="EG83" s="4">
        <f t="shared" si="267"/>
        <v>0.89483747609942632</v>
      </c>
      <c r="EH83" s="8">
        <f t="shared" si="267"/>
        <v>0.13743455497382195</v>
      </c>
      <c r="EI83" s="4">
        <f t="shared" si="267"/>
        <v>0.1824417009602195</v>
      </c>
      <c r="EJ83" s="4">
        <f t="shared" si="267"/>
        <v>0.12173913043478257</v>
      </c>
      <c r="EK83" s="8">
        <f t="shared" si="267"/>
        <v>0.30030959752321973</v>
      </c>
      <c r="EL83" s="4">
        <f t="shared" si="267"/>
        <v>0.22160664819944603</v>
      </c>
      <c r="EM83" s="4">
        <f t="shared" si="267"/>
        <v>0.16440217391304349</v>
      </c>
      <c r="EN83" s="4">
        <f t="shared" si="267"/>
        <v>9.1708542713567778E-2</v>
      </c>
      <c r="EO83" s="4">
        <f t="shared" si="267"/>
        <v>0.57299270072992692</v>
      </c>
      <c r="EP83" s="4">
        <f t="shared" si="267"/>
        <v>0.32981927710843367</v>
      </c>
      <c r="EQ83" s="4">
        <f t="shared" si="267"/>
        <v>0.50582362728785368</v>
      </c>
      <c r="ER83" s="4">
        <f t="shared" si="267"/>
        <v>0.24259520451339922</v>
      </c>
      <c r="ES83" s="4">
        <f t="shared" si="267"/>
        <v>1.1662198391420913</v>
      </c>
      <c r="ET83" s="4">
        <f t="shared" si="267"/>
        <v>0.48489932885906051</v>
      </c>
      <c r="EU83" s="4">
        <f t="shared" si="267"/>
        <v>9.1220068415051384E-3</v>
      </c>
      <c r="EV83" s="4">
        <f t="shared" si="267"/>
        <v>0.13483146067415727</v>
      </c>
      <c r="EW83" s="4">
        <f t="shared" si="267"/>
        <v>0.17922077922077922</v>
      </c>
      <c r="EX83" s="4">
        <f t="shared" si="267"/>
        <v>7.9385403329065227E-2</v>
      </c>
      <c r="EY83" s="4">
        <f t="shared" ref="EY83:EZ85" si="268">(EY79-EY45)/EY45</f>
        <v>2.6097271648873096E-2</v>
      </c>
      <c r="EZ83" s="4">
        <f t="shared" si="268"/>
        <v>0.19125683060109291</v>
      </c>
      <c r="FA83" s="8">
        <f t="shared" ref="FA83:FB83" si="269">(FA79-FA45)/FA45</f>
        <v>0.24186704384724195</v>
      </c>
      <c r="FB83" s="10">
        <f t="shared" si="269"/>
        <v>0.2129760225669958</v>
      </c>
      <c r="FC83" s="10">
        <f t="shared" ref="FC83:FD83" si="270">(FC79-FC45)/FC45</f>
        <v>0.88235294117647078</v>
      </c>
      <c r="FD83" s="10">
        <f t="shared" si="270"/>
        <v>0.21592649310872897</v>
      </c>
      <c r="FE83" s="10">
        <f t="shared" ref="FE83:FF83" si="271">(FE79-FE45)/FE45</f>
        <v>0.27319587628865988</v>
      </c>
      <c r="FF83" s="10">
        <f t="shared" si="271"/>
        <v>6.080645161290323</v>
      </c>
      <c r="FG83" s="4"/>
      <c r="FH83" s="4"/>
      <c r="FI83" s="4"/>
      <c r="FJ83" s="4"/>
      <c r="FK83" s="4"/>
      <c r="FL83" s="4"/>
    </row>
    <row r="84" spans="1:168" x14ac:dyDescent="0.3">
      <c r="A84" t="s">
        <v>237</v>
      </c>
      <c r="B84" s="4">
        <f t="shared" ref="B84:BM84" si="272">(B80-B46)/B46</f>
        <v>-0.38947368421052631</v>
      </c>
      <c r="C84" s="4">
        <f t="shared" si="272"/>
        <v>-0.40952380952380951</v>
      </c>
      <c r="D84" s="4">
        <f t="shared" si="272"/>
        <v>-0.39805825242718446</v>
      </c>
      <c r="E84" s="4">
        <f t="shared" si="272"/>
        <v>-0.33333333333333326</v>
      </c>
      <c r="F84" s="4">
        <f t="shared" si="272"/>
        <v>-0.31578947368421051</v>
      </c>
      <c r="G84" s="4">
        <f t="shared" si="272"/>
        <v>-0.35789473684210527</v>
      </c>
      <c r="H84" s="4">
        <f t="shared" si="272"/>
        <v>-0.30555555555555547</v>
      </c>
      <c r="I84" s="4">
        <f t="shared" si="272"/>
        <v>-0.27999999999999997</v>
      </c>
      <c r="J84" s="4">
        <f t="shared" si="272"/>
        <v>-0.46902654867256638</v>
      </c>
      <c r="K84" s="4">
        <f t="shared" si="272"/>
        <v>-0.21917808219178075</v>
      </c>
      <c r="L84" s="4">
        <f t="shared" si="272"/>
        <v>-0.31428571428571433</v>
      </c>
      <c r="M84" s="4">
        <f t="shared" si="272"/>
        <v>-0.35897435897435892</v>
      </c>
      <c r="N84" s="4">
        <f t="shared" si="272"/>
        <v>-0.4320987654320988</v>
      </c>
      <c r="O84" s="4">
        <f t="shared" si="272"/>
        <v>-0.32876712328767116</v>
      </c>
      <c r="P84" s="4">
        <f t="shared" si="272"/>
        <v>-0.13333333333333333</v>
      </c>
      <c r="Q84" s="4">
        <f t="shared" si="272"/>
        <v>-0.27631578947368418</v>
      </c>
      <c r="R84" s="4">
        <f t="shared" si="272"/>
        <v>-0.60139860139860135</v>
      </c>
      <c r="S84" s="4">
        <f t="shared" si="272"/>
        <v>-0.34883720930232553</v>
      </c>
      <c r="T84" s="4">
        <f t="shared" si="272"/>
        <v>-0.35</v>
      </c>
      <c r="U84" s="4">
        <f t="shared" si="272"/>
        <v>-0.36904761904761912</v>
      </c>
      <c r="V84" s="4">
        <f t="shared" si="272"/>
        <v>-0.27380952380952389</v>
      </c>
      <c r="W84" s="4">
        <f t="shared" si="272"/>
        <v>-0.2857142857142857</v>
      </c>
      <c r="X84" s="4">
        <f t="shared" si="272"/>
        <v>-0.46710526315789469</v>
      </c>
      <c r="Y84" s="4">
        <f t="shared" si="272"/>
        <v>-0.43689320388349506</v>
      </c>
      <c r="Z84" s="4">
        <f t="shared" si="272"/>
        <v>-0.15789473684210525</v>
      </c>
      <c r="AA84" s="4">
        <f t="shared" si="272"/>
        <v>-0.4</v>
      </c>
      <c r="AB84" s="4">
        <f t="shared" si="272"/>
        <v>-0.46153846153846156</v>
      </c>
      <c r="AC84" s="4">
        <f t="shared" si="272"/>
        <v>-0.37007874015748032</v>
      </c>
      <c r="AD84" s="4">
        <f t="shared" si="272"/>
        <v>-0.39130434782608692</v>
      </c>
      <c r="AE84" s="4">
        <f t="shared" si="272"/>
        <v>-0.49612403100775193</v>
      </c>
      <c r="AF84" s="4">
        <f t="shared" si="272"/>
        <v>-0.59876543209876543</v>
      </c>
      <c r="AG84" s="4">
        <f t="shared" si="272"/>
        <v>-0.2674418604651162</v>
      </c>
      <c r="AH84" s="4">
        <f t="shared" si="272"/>
        <v>-0.28089887640449435</v>
      </c>
      <c r="AI84" s="4">
        <f t="shared" si="272"/>
        <v>-0.22413793103448282</v>
      </c>
      <c r="AJ84" s="4">
        <f t="shared" si="272"/>
        <v>-0.36585365853658541</v>
      </c>
      <c r="AK84" s="4">
        <f t="shared" si="272"/>
        <v>-0.31818181818181818</v>
      </c>
      <c r="AL84" s="4">
        <f t="shared" si="272"/>
        <v>-0.40697674418604651</v>
      </c>
      <c r="AM84" s="4">
        <f t="shared" si="272"/>
        <v>-0.2344827586206896</v>
      </c>
      <c r="AN84" s="4">
        <f t="shared" si="272"/>
        <v>-0.41880341880341881</v>
      </c>
      <c r="AO84" s="4">
        <f t="shared" si="272"/>
        <v>-0.52727272727272734</v>
      </c>
      <c r="AP84" s="4">
        <f t="shared" si="272"/>
        <v>-0.10000000000000009</v>
      </c>
      <c r="AQ84" s="4">
        <f t="shared" si="272"/>
        <v>-0.17142857142857146</v>
      </c>
      <c r="AR84" s="4">
        <f t="shared" si="272"/>
        <v>-0.33333333333333331</v>
      </c>
      <c r="AS84" s="4">
        <f t="shared" si="272"/>
        <v>-0.41121495327102803</v>
      </c>
      <c r="AT84" s="4">
        <f t="shared" si="272"/>
        <v>-0.45121951219512202</v>
      </c>
      <c r="AU84" s="4">
        <f t="shared" si="272"/>
        <v>-0.67199999999999993</v>
      </c>
      <c r="AV84" s="4">
        <f t="shared" si="272"/>
        <v>-0.23333333333333325</v>
      </c>
      <c r="AW84" s="4">
        <f t="shared" si="272"/>
        <v>0.27142857142857124</v>
      </c>
      <c r="AX84" s="8">
        <f t="shared" si="272"/>
        <v>-0.23863636363636354</v>
      </c>
      <c r="AY84" s="4">
        <f t="shared" si="272"/>
        <v>-0.13541666666666663</v>
      </c>
      <c r="AZ84" s="4">
        <f t="shared" si="272"/>
        <v>-0.12371134020618553</v>
      </c>
      <c r="BA84" s="8">
        <f t="shared" si="272"/>
        <v>-0.45033112582781454</v>
      </c>
      <c r="BB84" s="8">
        <f t="shared" si="272"/>
        <v>-0.60629921259842523</v>
      </c>
      <c r="BC84" s="8">
        <f t="shared" si="272"/>
        <v>-0.14545454545454559</v>
      </c>
      <c r="BD84" s="8">
        <f t="shared" si="272"/>
        <v>-0.36496350364963515</v>
      </c>
      <c r="BE84" s="4">
        <f t="shared" si="272"/>
        <v>-0.2035398230088496</v>
      </c>
      <c r="BF84" s="4">
        <f t="shared" si="272"/>
        <v>-0.33333333333333337</v>
      </c>
      <c r="BG84" s="4">
        <f t="shared" si="272"/>
        <v>-0.5535714285714286</v>
      </c>
      <c r="BH84" s="4">
        <f t="shared" si="272"/>
        <v>-0.140625</v>
      </c>
      <c r="BI84" s="4">
        <f t="shared" si="272"/>
        <v>-0.36842105263157904</v>
      </c>
      <c r="BJ84" s="4">
        <f t="shared" si="272"/>
        <v>-0.24999999999999992</v>
      </c>
      <c r="BK84" s="4">
        <f t="shared" si="272"/>
        <v>-0.33750000000000002</v>
      </c>
      <c r="BL84" s="4">
        <f t="shared" si="272"/>
        <v>-0.58421052631578951</v>
      </c>
      <c r="BM84" s="4">
        <f t="shared" si="272"/>
        <v>-0.35344827586206901</v>
      </c>
      <c r="BN84" s="4">
        <f t="shared" ref="BN84:DY84" si="273">(BN80-BN46)/BN46</f>
        <v>-0.35789473684210527</v>
      </c>
      <c r="BO84" s="4">
        <f t="shared" si="273"/>
        <v>-0.26250000000000007</v>
      </c>
      <c r="BP84" s="4">
        <f t="shared" si="273"/>
        <v>-0.48235294117647065</v>
      </c>
      <c r="BQ84" s="8">
        <f t="shared" si="273"/>
        <v>-0.72881355932203384</v>
      </c>
      <c r="BR84" s="4">
        <f t="shared" si="273"/>
        <v>-0.48648648648648646</v>
      </c>
      <c r="BS84" s="4">
        <f t="shared" si="273"/>
        <v>-0.52032520325203258</v>
      </c>
      <c r="BT84" s="4">
        <f t="shared" si="273"/>
        <v>-0.20000000000000004</v>
      </c>
      <c r="BU84" s="4">
        <f t="shared" si="273"/>
        <v>-0.16666666666666663</v>
      </c>
      <c r="BV84" s="4">
        <f t="shared" si="273"/>
        <v>-0.5</v>
      </c>
      <c r="BW84" s="4">
        <f t="shared" si="273"/>
        <v>-0.20000000000000007</v>
      </c>
      <c r="BX84" s="4">
        <f t="shared" si="273"/>
        <v>-0.29850746268656719</v>
      </c>
      <c r="BY84" s="4">
        <f t="shared" si="273"/>
        <v>-0.1728395061728395</v>
      </c>
      <c r="BZ84" s="4">
        <f t="shared" si="273"/>
        <v>-0.45614035087719301</v>
      </c>
      <c r="CA84" s="4">
        <f t="shared" si="273"/>
        <v>-0.58064516129032262</v>
      </c>
      <c r="CB84" s="4">
        <f t="shared" si="273"/>
        <v>-0.43617021276595747</v>
      </c>
      <c r="CC84" s="4">
        <f t="shared" si="273"/>
        <v>-0.5267857142857143</v>
      </c>
      <c r="CD84" s="4">
        <f t="shared" si="273"/>
        <v>-0.53846153846153844</v>
      </c>
      <c r="CE84" s="4">
        <f t="shared" si="273"/>
        <v>-0.59</v>
      </c>
      <c r="CF84" s="4">
        <f t="shared" si="273"/>
        <v>-0.48351648351648352</v>
      </c>
      <c r="CG84" s="4">
        <f t="shared" si="273"/>
        <v>-0.40243902439024393</v>
      </c>
      <c r="CH84" s="4">
        <f t="shared" si="273"/>
        <v>-0.67213114754098358</v>
      </c>
      <c r="CI84" s="4">
        <f t="shared" si="273"/>
        <v>-0.49152542372881353</v>
      </c>
      <c r="CJ84" s="4">
        <f t="shared" si="273"/>
        <v>-5.3333333333333385E-2</v>
      </c>
      <c r="CK84" s="4">
        <f t="shared" si="273"/>
        <v>-0.61111111111111116</v>
      </c>
      <c r="CL84" s="4">
        <f t="shared" si="273"/>
        <v>-0.56034482758620685</v>
      </c>
      <c r="CM84" s="4">
        <f t="shared" si="273"/>
        <v>-0.52380952380952372</v>
      </c>
      <c r="CN84" s="4">
        <f t="shared" si="273"/>
        <v>-0.5572519083969466</v>
      </c>
      <c r="CO84" s="4">
        <f t="shared" si="273"/>
        <v>-0.46808510638297868</v>
      </c>
      <c r="CP84" s="4">
        <f t="shared" si="273"/>
        <v>-0.68553459119496851</v>
      </c>
      <c r="CQ84" s="4">
        <f t="shared" si="273"/>
        <v>-0.59813084112149539</v>
      </c>
      <c r="CR84" s="4">
        <f t="shared" si="273"/>
        <v>-0.5130434782608696</v>
      </c>
      <c r="CS84" s="4">
        <f t="shared" si="273"/>
        <v>-0.25384615384615383</v>
      </c>
      <c r="CT84" s="4">
        <f t="shared" si="273"/>
        <v>-0.71165644171779141</v>
      </c>
      <c r="CU84" s="4">
        <f t="shared" si="273"/>
        <v>-0.57638888888888884</v>
      </c>
      <c r="CV84" s="4">
        <f t="shared" si="273"/>
        <v>-0.28846153846153849</v>
      </c>
      <c r="CW84" s="4">
        <f t="shared" si="273"/>
        <v>-0.30769230769230765</v>
      </c>
      <c r="CX84" s="4">
        <f t="shared" si="273"/>
        <v>-0.54729729729729726</v>
      </c>
      <c r="CY84" s="8">
        <f t="shared" si="273"/>
        <v>-1</v>
      </c>
      <c r="CZ84" s="4">
        <f t="shared" si="273"/>
        <v>-0.55813953488372103</v>
      </c>
      <c r="DA84" s="4">
        <f t="shared" si="273"/>
        <v>-0.22784810126582281</v>
      </c>
      <c r="DB84" s="4">
        <f t="shared" si="273"/>
        <v>-0.71428571428571419</v>
      </c>
      <c r="DC84" s="8">
        <f t="shared" si="273"/>
        <v>-0.45833333333333331</v>
      </c>
      <c r="DD84" s="4">
        <f t="shared" si="273"/>
        <v>-0.62962962962962965</v>
      </c>
      <c r="DE84" s="8">
        <f t="shared" si="273"/>
        <v>-0.38260869565217398</v>
      </c>
      <c r="DF84" s="4">
        <f t="shared" si="273"/>
        <v>-0.6964285714285714</v>
      </c>
      <c r="DG84" s="4">
        <f t="shared" si="273"/>
        <v>-0.88652482269503541</v>
      </c>
      <c r="DH84" s="8">
        <f t="shared" si="273"/>
        <v>9.8484848484848356E-2</v>
      </c>
      <c r="DI84" s="8">
        <f t="shared" si="273"/>
        <v>-0.77952755905511817</v>
      </c>
      <c r="DJ84" s="8">
        <f t="shared" si="273"/>
        <v>-0.45283018867924524</v>
      </c>
      <c r="DK84" s="4">
        <f t="shared" si="273"/>
        <v>-0.5036496350364964</v>
      </c>
      <c r="DL84" s="8">
        <f t="shared" si="273"/>
        <v>-0.45370370370370372</v>
      </c>
      <c r="DM84" s="8">
        <f t="shared" si="273"/>
        <v>-0.35514018691588778</v>
      </c>
      <c r="DN84" s="8">
        <f t="shared" si="273"/>
        <v>-0.25837320574162675</v>
      </c>
      <c r="DO84" s="8">
        <f t="shared" si="273"/>
        <v>-0.55882352941176472</v>
      </c>
      <c r="DP84" s="8">
        <f t="shared" si="273"/>
        <v>-0.42767295597484278</v>
      </c>
      <c r="DQ84" s="8">
        <f t="shared" si="273"/>
        <v>-0.54421768707482987</v>
      </c>
      <c r="DR84" s="4">
        <f t="shared" si="273"/>
        <v>-0.19875776397515527</v>
      </c>
      <c r="DS84" s="4">
        <f t="shared" si="273"/>
        <v>-0.30827067669172936</v>
      </c>
      <c r="DT84" s="10">
        <f t="shared" si="273"/>
        <v>-0.55223880597014929</v>
      </c>
      <c r="DU84" s="4">
        <f t="shared" si="273"/>
        <v>-0.40677966101694907</v>
      </c>
      <c r="DV84" s="4">
        <f t="shared" si="273"/>
        <v>-0.68292682926829273</v>
      </c>
      <c r="DW84" s="4">
        <f t="shared" si="273"/>
        <v>-0.33333333333333326</v>
      </c>
      <c r="DX84" s="8">
        <f t="shared" si="273"/>
        <v>-0.24848484848484853</v>
      </c>
      <c r="DY84" s="4">
        <f t="shared" si="273"/>
        <v>-0.7772020725388602</v>
      </c>
      <c r="DZ84" s="8">
        <f t="shared" ref="DZ84:EX84" si="274">(DZ80-DZ46)/DZ46</f>
        <v>-0.6518518518518519</v>
      </c>
      <c r="EA84" s="4">
        <f t="shared" si="274"/>
        <v>-0.52173913043478259</v>
      </c>
      <c r="EB84" s="4">
        <f t="shared" si="274"/>
        <v>-0.5957446808510638</v>
      </c>
      <c r="EC84" s="4">
        <f t="shared" si="274"/>
        <v>-0.45454545454545453</v>
      </c>
      <c r="ED84" s="4">
        <f t="shared" si="274"/>
        <v>-0.65248226950354604</v>
      </c>
      <c r="EE84" s="4">
        <f t="shared" si="274"/>
        <v>-0.5741935483870968</v>
      </c>
      <c r="EF84" s="4">
        <f t="shared" si="274"/>
        <v>-0.73655913978494625</v>
      </c>
      <c r="EG84" s="4">
        <f t="shared" si="274"/>
        <v>-0.86338797814207657</v>
      </c>
      <c r="EH84" s="8">
        <f t="shared" si="274"/>
        <v>-0.2537313432835821</v>
      </c>
      <c r="EI84" s="4">
        <f t="shared" si="274"/>
        <v>-0.27777777777777773</v>
      </c>
      <c r="EJ84" s="4">
        <f t="shared" si="274"/>
        <v>-0.28571428571428575</v>
      </c>
      <c r="EK84" s="8">
        <f t="shared" si="274"/>
        <v>-0.32530120481927716</v>
      </c>
      <c r="EL84" s="4">
        <f t="shared" si="274"/>
        <v>-0.35294117647058826</v>
      </c>
      <c r="EM84" s="4">
        <f t="shared" si="274"/>
        <v>-0.25641025641025639</v>
      </c>
      <c r="EN84" s="4">
        <f t="shared" si="274"/>
        <v>-0.20967741935483866</v>
      </c>
      <c r="EO84" s="4">
        <f t="shared" si="274"/>
        <v>-0.44660194174757278</v>
      </c>
      <c r="EP84" s="4">
        <f t="shared" si="274"/>
        <v>-0.41176470588235298</v>
      </c>
      <c r="EQ84" s="4">
        <f t="shared" si="274"/>
        <v>-0.51485148514851486</v>
      </c>
      <c r="ER84" s="4">
        <f t="shared" si="274"/>
        <v>-0.36000000000000004</v>
      </c>
      <c r="ES84" s="4">
        <f t="shared" si="274"/>
        <v>-0.44736842105263158</v>
      </c>
      <c r="ET84" s="4">
        <f t="shared" si="274"/>
        <v>-0.47169811320754712</v>
      </c>
      <c r="EU84" s="4">
        <f t="shared" si="274"/>
        <v>-3.4090909090908963E-2</v>
      </c>
      <c r="EV84" s="4">
        <f t="shared" si="274"/>
        <v>-0.32989690721649484</v>
      </c>
      <c r="EW84" s="4">
        <f t="shared" si="274"/>
        <v>-0.36956521739130432</v>
      </c>
      <c r="EX84" s="4">
        <f t="shared" si="274"/>
        <v>-0.15151515151515155</v>
      </c>
      <c r="EY84" s="4">
        <f t="shared" si="268"/>
        <v>-6.779661016949147E-2</v>
      </c>
      <c r="EZ84" s="4">
        <f t="shared" si="268"/>
        <v>-0.30952380952380953</v>
      </c>
      <c r="FA84" s="8">
        <f t="shared" ref="FA84:FB84" si="275">(FA80-FA46)/FA46</f>
        <v>-0.34782608695652173</v>
      </c>
      <c r="FB84" s="10">
        <f t="shared" si="275"/>
        <v>-0.29870129870129869</v>
      </c>
      <c r="FC84" s="10">
        <f t="shared" ref="FC84:FD84" si="276">(FC80-FC46)/FC46</f>
        <v>-0.28282828282828293</v>
      </c>
      <c r="FD84" s="10">
        <f t="shared" si="276"/>
        <v>-0.22784810126582281</v>
      </c>
      <c r="FE84" s="10">
        <f t="shared" ref="FE84:FF84" si="277">(FE80-FE46)/FE46</f>
        <v>-0.22222222222222224</v>
      </c>
      <c r="FF84" s="10">
        <f t="shared" si="277"/>
        <v>-0.62686567164179108</v>
      </c>
      <c r="FG84" s="4"/>
      <c r="FH84" s="4"/>
      <c r="FI84" s="4"/>
      <c r="FJ84" s="4"/>
      <c r="FK84" s="4"/>
      <c r="FL84" s="4"/>
    </row>
    <row r="85" spans="1:168" x14ac:dyDescent="0.3">
      <c r="A85" t="s">
        <v>238</v>
      </c>
      <c r="B85" s="4">
        <f t="shared" ref="B85:BM85" si="278">(B81-B47)/B47</f>
        <v>-0.39682539682539686</v>
      </c>
      <c r="C85" s="4">
        <f t="shared" si="278"/>
        <v>-0.25362318840579723</v>
      </c>
      <c r="D85" s="4">
        <f t="shared" si="278"/>
        <v>-0.28225806451612906</v>
      </c>
      <c r="E85" s="4">
        <f t="shared" si="278"/>
        <v>-0.26241134751773049</v>
      </c>
      <c r="F85" s="4">
        <f t="shared" si="278"/>
        <v>-0.248</v>
      </c>
      <c r="G85" s="4">
        <f t="shared" si="278"/>
        <v>-0.31451612903225801</v>
      </c>
      <c r="H85" s="4">
        <f t="shared" si="278"/>
        <v>-0.30275229357798167</v>
      </c>
      <c r="I85" s="4">
        <f t="shared" si="278"/>
        <v>-0.21951219512195125</v>
      </c>
      <c r="J85" s="4">
        <f t="shared" si="278"/>
        <v>-0.38297872340425532</v>
      </c>
      <c r="K85" s="4">
        <f t="shared" si="278"/>
        <v>0.34782608695652162</v>
      </c>
      <c r="L85" s="4">
        <f t="shared" si="278"/>
        <v>-0.39189189189189189</v>
      </c>
      <c r="M85" s="4">
        <f t="shared" si="278"/>
        <v>-0.39743589743589741</v>
      </c>
      <c r="N85" s="4">
        <f t="shared" si="278"/>
        <v>-0.40909090909090906</v>
      </c>
      <c r="O85" s="4">
        <f t="shared" si="278"/>
        <v>-0.2537313432835821</v>
      </c>
      <c r="P85" s="4">
        <f t="shared" si="278"/>
        <v>-0.12000000000000011</v>
      </c>
      <c r="Q85" s="4">
        <f t="shared" si="278"/>
        <v>-0.32558139534883712</v>
      </c>
      <c r="R85" s="4">
        <f t="shared" si="278"/>
        <v>-0.58385093167701863</v>
      </c>
      <c r="S85" s="4">
        <f t="shared" si="278"/>
        <v>-0.38235294117647056</v>
      </c>
      <c r="T85" s="4">
        <f t="shared" si="278"/>
        <v>-0.33333333333333343</v>
      </c>
      <c r="U85" s="4">
        <f t="shared" si="278"/>
        <v>-0.33720930232558133</v>
      </c>
      <c r="V85" s="4">
        <f t="shared" si="278"/>
        <v>-0.21008403361344535</v>
      </c>
      <c r="W85" s="4">
        <f t="shared" si="278"/>
        <v>-0.28099173553719009</v>
      </c>
      <c r="X85" s="4">
        <f t="shared" si="278"/>
        <v>-0.67469879518072295</v>
      </c>
      <c r="Y85" s="4">
        <f t="shared" si="278"/>
        <v>-0.41584158415841593</v>
      </c>
      <c r="Z85" s="4">
        <f t="shared" si="278"/>
        <v>0.17241379310344829</v>
      </c>
      <c r="AA85" s="4">
        <f t="shared" si="278"/>
        <v>-0.47651006711409394</v>
      </c>
      <c r="AB85" s="4">
        <f t="shared" si="278"/>
        <v>-0.57446808510638292</v>
      </c>
      <c r="AC85" s="4">
        <f t="shared" si="278"/>
        <v>-0.48201438848920874</v>
      </c>
      <c r="AD85" s="4">
        <f t="shared" si="278"/>
        <v>-0.35507246376811602</v>
      </c>
      <c r="AE85" s="4">
        <f t="shared" si="278"/>
        <v>-0.53797468354430378</v>
      </c>
      <c r="AF85" s="4">
        <f t="shared" si="278"/>
        <v>-0.6149068322981367</v>
      </c>
      <c r="AG85" s="4">
        <f t="shared" si="278"/>
        <v>-0.27777777777777779</v>
      </c>
      <c r="AH85" s="4">
        <f t="shared" si="278"/>
        <v>-0.28125</v>
      </c>
      <c r="AI85" s="4">
        <f t="shared" si="278"/>
        <v>-0.26086956521739124</v>
      </c>
      <c r="AJ85" s="4">
        <f t="shared" si="278"/>
        <v>-0.24576271186440676</v>
      </c>
      <c r="AK85" s="4">
        <f t="shared" si="278"/>
        <v>-0.21969696969696978</v>
      </c>
      <c r="AL85" s="4">
        <f t="shared" si="278"/>
        <v>-0.33913043478260874</v>
      </c>
      <c r="AM85" s="4">
        <f t="shared" si="278"/>
        <v>-0.50632911392405067</v>
      </c>
      <c r="AN85" s="4">
        <f t="shared" si="278"/>
        <v>-0.49152542372881353</v>
      </c>
      <c r="AO85" s="4">
        <f t="shared" si="278"/>
        <v>-0.54736842105263162</v>
      </c>
      <c r="AP85" s="4">
        <f t="shared" si="278"/>
        <v>-0.16666666666666669</v>
      </c>
      <c r="AQ85" s="4">
        <f t="shared" si="278"/>
        <v>-0.24193548387096772</v>
      </c>
      <c r="AR85" s="4">
        <f t="shared" si="278"/>
        <v>-0.29166666666666663</v>
      </c>
      <c r="AS85" s="4">
        <f t="shared" si="278"/>
        <v>-0.40740740740740744</v>
      </c>
      <c r="AT85" s="4">
        <f t="shared" si="278"/>
        <v>-0.67532467532467533</v>
      </c>
      <c r="AU85" s="4">
        <f t="shared" si="278"/>
        <v>-0.49532710280373832</v>
      </c>
      <c r="AV85" s="4">
        <f t="shared" si="278"/>
        <v>-0.15625</v>
      </c>
      <c r="AW85" s="4">
        <f t="shared" si="278"/>
        <v>1.2386363636363638</v>
      </c>
      <c r="AX85" s="8">
        <f t="shared" si="278"/>
        <v>-0.2</v>
      </c>
      <c r="AY85" s="4">
        <f t="shared" si="278"/>
        <v>-9.0909090909090981E-2</v>
      </c>
      <c r="AZ85" s="4">
        <f t="shared" si="278"/>
        <v>-7.1428571428571494E-2</v>
      </c>
      <c r="BA85" s="8">
        <f t="shared" si="278"/>
        <v>-0.44827586206896552</v>
      </c>
      <c r="BB85" s="8">
        <f t="shared" si="278"/>
        <v>-0.49180327868852458</v>
      </c>
      <c r="BC85" s="8">
        <f t="shared" si="278"/>
        <v>-0.22137404580152681</v>
      </c>
      <c r="BD85" s="8">
        <f t="shared" si="278"/>
        <v>-0.36363636363636359</v>
      </c>
      <c r="BE85" s="4">
        <f t="shared" si="278"/>
        <v>-0.2</v>
      </c>
      <c r="BF85" s="4">
        <f t="shared" si="278"/>
        <v>-0.13636363636363635</v>
      </c>
      <c r="BG85" s="4">
        <f t="shared" si="278"/>
        <v>-0.64912280701754388</v>
      </c>
      <c r="BH85" s="4">
        <f t="shared" si="278"/>
        <v>-0.13924050632911386</v>
      </c>
      <c r="BI85" s="4">
        <f t="shared" si="278"/>
        <v>-0.35869565217391308</v>
      </c>
      <c r="BJ85" s="4">
        <f t="shared" si="278"/>
        <v>-0.248</v>
      </c>
      <c r="BK85" s="4">
        <f t="shared" si="278"/>
        <v>-0.22680412371134026</v>
      </c>
      <c r="BL85" s="4">
        <f t="shared" si="278"/>
        <v>-0.67153284671532854</v>
      </c>
      <c r="BM85" s="4">
        <f t="shared" si="278"/>
        <v>-0.42948717948717952</v>
      </c>
      <c r="BN85" s="4">
        <f t="shared" ref="BN85:DY85" si="279">(BN81-BN47)/BN47</f>
        <v>-0.32520325203252026</v>
      </c>
      <c r="BO85" s="4">
        <f t="shared" si="279"/>
        <v>-0.16793893129770995</v>
      </c>
      <c r="BP85" s="4">
        <f t="shared" si="279"/>
        <v>-0.40816326530612246</v>
      </c>
      <c r="BQ85" s="8">
        <f t="shared" si="279"/>
        <v>-0.62962962962962965</v>
      </c>
      <c r="BR85" s="4">
        <f t="shared" si="279"/>
        <v>-0.484375</v>
      </c>
      <c r="BS85" s="4">
        <f t="shared" si="279"/>
        <v>-0.36879432624113473</v>
      </c>
      <c r="BT85" s="4">
        <f t="shared" si="279"/>
        <v>-0.24999999999999994</v>
      </c>
      <c r="BU85" s="4">
        <f t="shared" si="279"/>
        <v>-0.21794871794871795</v>
      </c>
      <c r="BV85" s="4">
        <f t="shared" si="279"/>
        <v>-0.54736842105263162</v>
      </c>
      <c r="BW85" s="4">
        <f t="shared" si="279"/>
        <v>-0.17241379310344829</v>
      </c>
      <c r="BX85" s="4">
        <f t="shared" si="279"/>
        <v>-0.1688311688311688</v>
      </c>
      <c r="BY85" s="4">
        <f t="shared" si="279"/>
        <v>-0.20289855072463775</v>
      </c>
      <c r="BZ85" s="4">
        <f t="shared" si="279"/>
        <v>-0.23239436619718304</v>
      </c>
      <c r="CA85" s="4">
        <f t="shared" si="279"/>
        <v>-0.44799999999999995</v>
      </c>
      <c r="CB85" s="4">
        <f t="shared" si="279"/>
        <v>-0.23728813559322032</v>
      </c>
      <c r="CC85" s="4">
        <f t="shared" si="279"/>
        <v>-0.32876712328767116</v>
      </c>
      <c r="CD85" s="4">
        <f t="shared" si="279"/>
        <v>-0.41984732824427484</v>
      </c>
      <c r="CE85" s="4">
        <f t="shared" si="279"/>
        <v>-0.47787610619469029</v>
      </c>
      <c r="CF85" s="4">
        <f t="shared" si="279"/>
        <v>-0.35483870967741932</v>
      </c>
      <c r="CG85" s="4">
        <f t="shared" si="279"/>
        <v>-0.26363636363636361</v>
      </c>
      <c r="CH85" s="4">
        <f t="shared" si="279"/>
        <v>-0.58940397350993379</v>
      </c>
      <c r="CI85" s="4">
        <f t="shared" si="279"/>
        <v>-0.10429447852760745</v>
      </c>
      <c r="CJ85" s="4">
        <f t="shared" si="279"/>
        <v>0.24175824175824182</v>
      </c>
      <c r="CK85" s="4">
        <f t="shared" si="279"/>
        <v>-0.36923076923076925</v>
      </c>
      <c r="CL85" s="4">
        <f t="shared" si="279"/>
        <v>-0.35135135135135132</v>
      </c>
      <c r="CM85" s="4">
        <f t="shared" si="279"/>
        <v>-0.18705035971223027</v>
      </c>
      <c r="CN85" s="4">
        <f t="shared" si="279"/>
        <v>-0.38983050847457623</v>
      </c>
      <c r="CO85" s="4">
        <f t="shared" si="279"/>
        <v>-0.31851851851851859</v>
      </c>
      <c r="CP85" s="4">
        <f t="shared" si="279"/>
        <v>-0.53086419753086422</v>
      </c>
      <c r="CQ85" s="4">
        <f t="shared" si="279"/>
        <v>-0.42727272727272725</v>
      </c>
      <c r="CR85" s="4">
        <f t="shared" si="279"/>
        <v>-0.40740740740740744</v>
      </c>
      <c r="CS85" s="4">
        <f t="shared" si="279"/>
        <v>-0.30882352941176477</v>
      </c>
      <c r="CT85" s="4">
        <f t="shared" si="279"/>
        <v>-0.6</v>
      </c>
      <c r="CU85" s="4">
        <f t="shared" si="279"/>
        <v>-0.42000000000000004</v>
      </c>
      <c r="CV85" s="4">
        <f t="shared" si="279"/>
        <v>-0.32</v>
      </c>
      <c r="CW85" s="4">
        <f t="shared" si="279"/>
        <v>-0.23469387755102047</v>
      </c>
      <c r="CX85" s="4">
        <f t="shared" si="279"/>
        <v>-0.55462184873949583</v>
      </c>
      <c r="CY85" s="8">
        <f t="shared" si="279"/>
        <v>-0.63414634146341464</v>
      </c>
      <c r="CZ85" s="4">
        <f t="shared" si="279"/>
        <v>-0.6352941176470589</v>
      </c>
      <c r="DA85" s="4">
        <f t="shared" si="279"/>
        <v>-0.36363636363636359</v>
      </c>
      <c r="DB85" s="4">
        <f t="shared" si="279"/>
        <v>-0.84615384615384615</v>
      </c>
      <c r="DC85" s="8">
        <f t="shared" si="279"/>
        <v>-0.47169811320754712</v>
      </c>
      <c r="DD85" s="4">
        <f t="shared" si="279"/>
        <v>-0.67619047619047612</v>
      </c>
      <c r="DE85" s="8">
        <f t="shared" si="279"/>
        <v>-0.3</v>
      </c>
      <c r="DF85" s="4">
        <f t="shared" si="279"/>
        <v>-0.61764705882352944</v>
      </c>
      <c r="DG85" s="4">
        <f t="shared" si="279"/>
        <v>-0.90225563909774442</v>
      </c>
      <c r="DH85" s="8">
        <f t="shared" si="279"/>
        <v>-0.52380952380952384</v>
      </c>
      <c r="DI85" s="8">
        <f t="shared" si="279"/>
        <v>-0.81481481481481488</v>
      </c>
      <c r="DJ85" s="8">
        <f t="shared" si="279"/>
        <v>-0.51470588235294124</v>
      </c>
      <c r="DK85" s="4">
        <f t="shared" si="279"/>
        <v>-0.55000000000000004</v>
      </c>
      <c r="DL85" s="8">
        <f t="shared" si="279"/>
        <v>-0.46052631578947367</v>
      </c>
      <c r="DM85" s="8">
        <f t="shared" si="279"/>
        <v>-0.55421686746987953</v>
      </c>
      <c r="DN85" s="8">
        <f t="shared" si="279"/>
        <v>-0.55660377358490565</v>
      </c>
      <c r="DO85" s="8">
        <f t="shared" si="279"/>
        <v>-0.77108433734939752</v>
      </c>
      <c r="DP85" s="8">
        <f t="shared" si="279"/>
        <v>-0.46969696969696967</v>
      </c>
      <c r="DQ85" s="8">
        <f t="shared" si="279"/>
        <v>-0.68888888888888888</v>
      </c>
      <c r="DR85" s="4">
        <f t="shared" si="279"/>
        <v>-0.12903225806451613</v>
      </c>
      <c r="DS85" s="4">
        <f t="shared" si="279"/>
        <v>-0.48695652173913051</v>
      </c>
      <c r="DT85" s="10">
        <f t="shared" si="279"/>
        <v>-0.515625</v>
      </c>
      <c r="DU85" s="4">
        <f t="shared" si="279"/>
        <v>-0.41176470588235287</v>
      </c>
      <c r="DV85" s="4">
        <f t="shared" si="279"/>
        <v>-0.52439024390243905</v>
      </c>
      <c r="DW85" s="4">
        <f t="shared" si="279"/>
        <v>-0.45</v>
      </c>
      <c r="DX85" s="8">
        <f t="shared" si="279"/>
        <v>-0.65822784810126589</v>
      </c>
      <c r="DY85" s="4">
        <f t="shared" si="279"/>
        <v>-0.8314606741573034</v>
      </c>
      <c r="DZ85" s="8">
        <f t="shared" ref="DZ85:EX85" si="280">(DZ81-DZ47)/DZ47</f>
        <v>-0.62962962962962965</v>
      </c>
      <c r="EA85" s="4">
        <f t="shared" si="280"/>
        <v>-0.59523809523809523</v>
      </c>
      <c r="EB85" s="4">
        <f t="shared" si="280"/>
        <v>-0.72661870503597126</v>
      </c>
      <c r="EC85" s="4">
        <f t="shared" si="280"/>
        <v>-0.5714285714285714</v>
      </c>
      <c r="ED85" s="4">
        <f t="shared" si="280"/>
        <v>-0.65765765765765771</v>
      </c>
      <c r="EE85" s="4">
        <f t="shared" si="280"/>
        <v>-0.67883211678832123</v>
      </c>
      <c r="EF85" s="4">
        <f t="shared" si="280"/>
        <v>-0.74285714285714288</v>
      </c>
      <c r="EG85" s="4">
        <f t="shared" si="280"/>
        <v>-0.64341085271317833</v>
      </c>
      <c r="EH85" s="8">
        <f t="shared" si="280"/>
        <v>-0.24242424242424243</v>
      </c>
      <c r="EI85" s="4">
        <f t="shared" si="280"/>
        <v>-0.26865671641791045</v>
      </c>
      <c r="EJ85" s="4">
        <f t="shared" si="280"/>
        <v>-0.30769230769230771</v>
      </c>
      <c r="EK85" s="8">
        <f t="shared" si="280"/>
        <v>-0.33783783783783777</v>
      </c>
      <c r="EL85" s="4">
        <f t="shared" si="280"/>
        <v>-0.36</v>
      </c>
      <c r="EM85" s="4">
        <f t="shared" si="280"/>
        <v>-0.28985507246376813</v>
      </c>
      <c r="EN85" s="4">
        <f t="shared" si="280"/>
        <v>-0.22033898305084743</v>
      </c>
      <c r="EO85" s="4">
        <f t="shared" si="280"/>
        <v>-0.28448275862068967</v>
      </c>
      <c r="EP85" s="4">
        <f t="shared" si="280"/>
        <v>-0.35164835164835168</v>
      </c>
      <c r="EQ85" s="4">
        <f t="shared" si="280"/>
        <v>-0.39999999999999997</v>
      </c>
      <c r="ER85" s="4">
        <f t="shared" si="280"/>
        <v>-0.2613636363636363</v>
      </c>
      <c r="ES85" s="4">
        <f t="shared" si="280"/>
        <v>-0.41600000000000004</v>
      </c>
      <c r="ET85" s="4">
        <f t="shared" si="280"/>
        <v>-0.48672566371681414</v>
      </c>
      <c r="EU85" s="4">
        <f t="shared" si="280"/>
        <v>-9.5238095238095316E-2</v>
      </c>
      <c r="EV85" s="4">
        <f t="shared" si="280"/>
        <v>-0.34545454545454551</v>
      </c>
      <c r="EW85" s="4">
        <f t="shared" si="280"/>
        <v>-0.375</v>
      </c>
      <c r="EX85" s="4">
        <f t="shared" si="280"/>
        <v>-0.2857142857142857</v>
      </c>
      <c r="EY85" s="4">
        <f t="shared" si="268"/>
        <v>-2.7027027027027053E-2</v>
      </c>
      <c r="EZ85" s="4">
        <f t="shared" si="268"/>
        <v>-0.29166666666666669</v>
      </c>
      <c r="FA85" s="8">
        <f t="shared" ref="FA85:FB85" si="281">(FA81-FA47)/FA47</f>
        <v>-0.28947368421052633</v>
      </c>
      <c r="FB85" s="10">
        <f t="shared" si="281"/>
        <v>-0.38157894736842102</v>
      </c>
      <c r="FC85" s="10">
        <f t="shared" ref="FC85:FD85" si="282">(FC81-FC47)/FC47</f>
        <v>-0.36111111111111105</v>
      </c>
      <c r="FD85" s="10">
        <f t="shared" si="282"/>
        <v>-0.19178082191780821</v>
      </c>
      <c r="FE85" s="10">
        <f t="shared" ref="FE85:FF85" si="283">(FE81-FE47)/FE47</f>
        <v>-0.22222222222222224</v>
      </c>
      <c r="FF85" s="10">
        <f t="shared" si="283"/>
        <v>-0.60869565217391308</v>
      </c>
      <c r="FG85" s="4"/>
      <c r="FH85" s="4"/>
      <c r="FI85" s="4"/>
      <c r="FJ85" s="4"/>
      <c r="FK85" s="4"/>
      <c r="FL85" s="4"/>
    </row>
    <row r="86" spans="1:168" x14ac:dyDescent="0.3">
      <c r="A86" t="s">
        <v>248</v>
      </c>
      <c r="B86" s="4">
        <f>(B78-B66)/B66</f>
        <v>9.302325581395357E-2</v>
      </c>
      <c r="C86" s="4">
        <f t="shared" ref="C86:BN87" si="284">(C78-C66)/C66</f>
        <v>0.36482084690553745</v>
      </c>
      <c r="D86" s="4">
        <f t="shared" si="284"/>
        <v>0.18037974683544303</v>
      </c>
      <c r="E86" s="4">
        <f t="shared" si="284"/>
        <v>8.8397790055248698E-2</v>
      </c>
      <c r="F86" s="4">
        <f t="shared" si="284"/>
        <v>0.1368078175895765</v>
      </c>
      <c r="G86" s="4">
        <f t="shared" si="284"/>
        <v>3.3950617283950643E-2</v>
      </c>
      <c r="H86" s="4">
        <f t="shared" si="284"/>
        <v>0.10548523206751065</v>
      </c>
      <c r="I86" s="4">
        <f t="shared" si="284"/>
        <v>0.20306513409961682</v>
      </c>
      <c r="J86" s="4">
        <f t="shared" si="284"/>
        <v>2.0833333333333353E-2</v>
      </c>
      <c r="K86" s="4">
        <f t="shared" si="284"/>
        <v>0.35483870967741932</v>
      </c>
      <c r="L86" s="4">
        <f t="shared" si="284"/>
        <v>2.3041474654377902E-2</v>
      </c>
      <c r="M86" s="4">
        <f t="shared" si="284"/>
        <v>0.10108303249097461</v>
      </c>
      <c r="N86" s="4">
        <f t="shared" si="284"/>
        <v>0.12244897959183684</v>
      </c>
      <c r="O86" s="4">
        <f t="shared" si="284"/>
        <v>-1.5576323987538955E-2</v>
      </c>
      <c r="P86" s="4">
        <f t="shared" si="284"/>
        <v>4.2222222222222133E-2</v>
      </c>
      <c r="Q86" s="4">
        <f t="shared" si="284"/>
        <v>6.8493150684931572E-3</v>
      </c>
      <c r="R86" s="4">
        <f t="shared" si="284"/>
        <v>3.1111111111111138E-2</v>
      </c>
      <c r="S86" s="4">
        <f t="shared" si="284"/>
        <v>1.5000000000000013E-2</v>
      </c>
      <c r="T86" s="4">
        <f t="shared" si="284"/>
        <v>-1.2000000000000011E-2</v>
      </c>
      <c r="U86" s="4">
        <f t="shared" si="284"/>
        <v>6.4971751412429446E-2</v>
      </c>
      <c r="V86" s="4">
        <f t="shared" si="284"/>
        <v>0.16799999999999993</v>
      </c>
      <c r="W86" s="4">
        <f t="shared" si="284"/>
        <v>0.11009174311926598</v>
      </c>
      <c r="X86" s="4">
        <f t="shared" si="284"/>
        <v>0.15068493150684933</v>
      </c>
      <c r="Y86" s="4">
        <f t="shared" si="284"/>
        <v>1.8567639257294447E-2</v>
      </c>
      <c r="Z86" s="4">
        <f t="shared" si="284"/>
        <v>0.2517730496453901</v>
      </c>
      <c r="AA86" s="4">
        <f t="shared" si="284"/>
        <v>6.6666666666666735E-2</v>
      </c>
      <c r="AB86" s="4">
        <f t="shared" si="284"/>
        <v>0.31785714285714273</v>
      </c>
      <c r="AC86" s="4">
        <f t="shared" si="284"/>
        <v>0.21130952380952364</v>
      </c>
      <c r="AD86" s="4">
        <f t="shared" si="284"/>
        <v>0.21764705882352925</v>
      </c>
      <c r="AE86" s="4">
        <f t="shared" si="284"/>
        <v>4.4728434504792372E-2</v>
      </c>
      <c r="AF86" s="4">
        <f t="shared" si="284"/>
        <v>0.37453183520599242</v>
      </c>
      <c r="AG86" s="4">
        <f t="shared" si="284"/>
        <v>9.315589353612154E-2</v>
      </c>
      <c r="AH86" s="4">
        <f t="shared" si="284"/>
        <v>2.1825396825396845E-2</v>
      </c>
      <c r="AI86" s="4">
        <f t="shared" si="284"/>
        <v>4.3062200956937836E-2</v>
      </c>
      <c r="AJ86" s="4">
        <f t="shared" si="284"/>
        <v>4.3478260869565258E-2</v>
      </c>
      <c r="AK86" s="4">
        <f t="shared" si="284"/>
        <v>0.11904761904761899</v>
      </c>
      <c r="AL86" s="4">
        <f t="shared" si="284"/>
        <v>1.0338983050847459</v>
      </c>
      <c r="AM86" s="4">
        <f t="shared" si="284"/>
        <v>1.3059701492537325E-2</v>
      </c>
      <c r="AN86" s="4">
        <f t="shared" si="284"/>
        <v>0.10515463917525783</v>
      </c>
      <c r="AO86" s="4">
        <f t="shared" si="284"/>
        <v>2.2452504317789314E-2</v>
      </c>
      <c r="AP86" s="4">
        <f t="shared" si="284"/>
        <v>0.10617283950617279</v>
      </c>
      <c r="AQ86" s="4">
        <f t="shared" si="284"/>
        <v>5.0000000000000044E-2</v>
      </c>
      <c r="AR86" s="4">
        <f t="shared" si="284"/>
        <v>9.6026490066225254E-2</v>
      </c>
      <c r="AS86" s="4">
        <f t="shared" si="284"/>
        <v>0.1234939759036144</v>
      </c>
      <c r="AT86" s="4">
        <f t="shared" si="284"/>
        <v>1.1199999999999999</v>
      </c>
      <c r="AU86" s="4">
        <f t="shared" si="284"/>
        <v>2.5878003696857693E-2</v>
      </c>
      <c r="AV86" s="4">
        <f t="shared" si="284"/>
        <v>0.26689189189189194</v>
      </c>
      <c r="AW86" s="4">
        <f t="shared" si="284"/>
        <v>0</v>
      </c>
      <c r="AX86" s="4">
        <f t="shared" si="284"/>
        <v>0.23703703703703702</v>
      </c>
      <c r="AY86" s="4">
        <f t="shared" si="284"/>
        <v>9.9999999999999936E-2</v>
      </c>
      <c r="AZ86" s="4">
        <f t="shared" si="284"/>
        <v>0.19191919191919179</v>
      </c>
      <c r="BA86" s="4">
        <f t="shared" si="284"/>
        <v>1.6366612111292978E-3</v>
      </c>
      <c r="BB86" s="4">
        <f t="shared" si="284"/>
        <v>0.43492063492063493</v>
      </c>
      <c r="BC86" s="4">
        <f t="shared" si="284"/>
        <v>4.9632352941176308E-2</v>
      </c>
      <c r="BD86" s="4">
        <f t="shared" si="284"/>
        <v>1.2658227848101278E-2</v>
      </c>
      <c r="BE86" s="4">
        <f t="shared" si="284"/>
        <v>8.7344028520498981E-2</v>
      </c>
      <c r="BF86" s="4">
        <f t="shared" si="284"/>
        <v>0.15492957746478875</v>
      </c>
      <c r="BG86" s="4">
        <f t="shared" si="284"/>
        <v>3.652173913043482E-2</v>
      </c>
      <c r="BH86" s="4">
        <f t="shared" si="284"/>
        <v>0.15948275862068967</v>
      </c>
      <c r="BI86" s="4">
        <f t="shared" si="284"/>
        <v>0.12128146453089243</v>
      </c>
      <c r="BJ86" s="4">
        <f t="shared" si="284"/>
        <v>0.69879518072289126</v>
      </c>
      <c r="BK86" s="4">
        <f t="shared" si="284"/>
        <v>6.463878326996203E-2</v>
      </c>
      <c r="BL86" s="4">
        <f t="shared" si="284"/>
        <v>0.16446124763705097</v>
      </c>
      <c r="BM86" s="4">
        <f t="shared" si="284"/>
        <v>0.10579345088161204</v>
      </c>
      <c r="BN86" s="4">
        <f t="shared" si="284"/>
        <v>2.8795811518324631E-2</v>
      </c>
      <c r="BO86" s="4">
        <f t="shared" ref="BO86:DZ89" si="285">(BO78-BO66)/BO66</f>
        <v>0.34825870646766172</v>
      </c>
      <c r="BP86" s="4">
        <f t="shared" si="285"/>
        <v>0.1612903225806451</v>
      </c>
      <c r="BQ86" s="4">
        <f t="shared" si="285"/>
        <v>-5.5684454756380564E-2</v>
      </c>
      <c r="BR86" s="4">
        <f t="shared" si="285"/>
        <v>6.3529411764705945E-2</v>
      </c>
      <c r="BS86" s="4">
        <f t="shared" si="285"/>
        <v>2.32018561484919E-3</v>
      </c>
      <c r="BT86" s="4">
        <f t="shared" si="285"/>
        <v>0.12738853503184708</v>
      </c>
      <c r="BU86" s="4">
        <f t="shared" si="285"/>
        <v>1.5945330296127578E-2</v>
      </c>
      <c r="BV86" s="4">
        <f t="shared" si="285"/>
        <v>5.7507987220447337E-2</v>
      </c>
      <c r="BW86" s="4">
        <f t="shared" si="285"/>
        <v>6.7415730337078497E-2</v>
      </c>
      <c r="BX86" s="4">
        <f t="shared" si="285"/>
        <v>0.44816053511705689</v>
      </c>
      <c r="BY86" s="4">
        <f t="shared" si="285"/>
        <v>8.3582089552238711E-2</v>
      </c>
      <c r="BZ86" s="4">
        <f t="shared" si="285"/>
        <v>0.10230179028132987</v>
      </c>
      <c r="CA86" s="4">
        <f t="shared" si="285"/>
        <v>1.1111111111111122E-2</v>
      </c>
      <c r="CB86" s="4">
        <f t="shared" si="285"/>
        <v>0.10333333333333343</v>
      </c>
      <c r="CC86" s="4">
        <f t="shared" si="285"/>
        <v>0.20113314447592071</v>
      </c>
      <c r="CD86" s="4">
        <f t="shared" si="285"/>
        <v>6.6666666666666582E-2</v>
      </c>
      <c r="CE86" s="4">
        <f t="shared" si="285"/>
        <v>2.9556650246305306E-2</v>
      </c>
      <c r="CF86" s="4">
        <f t="shared" si="285"/>
        <v>0.21201413427561858</v>
      </c>
      <c r="CG86" s="4">
        <f t="shared" si="285"/>
        <v>0.12734082397003735</v>
      </c>
      <c r="CH86" s="4">
        <f t="shared" si="285"/>
        <v>1.2396694214876044E-2</v>
      </c>
      <c r="CI86" s="4">
        <f t="shared" si="285"/>
        <v>4.4210526315789513E-2</v>
      </c>
      <c r="CJ86" s="4">
        <f t="shared" si="285"/>
        <v>0.67199999999999993</v>
      </c>
      <c r="CK86" s="4">
        <f t="shared" si="285"/>
        <v>4.3778801843318012E-2</v>
      </c>
      <c r="CL86" s="4">
        <f t="shared" si="285"/>
        <v>5.7915057915057964E-3</v>
      </c>
      <c r="CM86" s="4">
        <f t="shared" si="285"/>
        <v>2.8169014084507067E-2</v>
      </c>
      <c r="CN86" s="4">
        <f t="shared" si="285"/>
        <v>0.10800744878957158</v>
      </c>
      <c r="CO86" s="4">
        <f t="shared" si="285"/>
        <v>4.0963855421686783E-2</v>
      </c>
      <c r="CP86" s="4">
        <f t="shared" si="285"/>
        <v>-2.3121387283237014E-2</v>
      </c>
      <c r="CQ86" s="4">
        <f t="shared" si="285"/>
        <v>7.6335877862595486E-3</v>
      </c>
      <c r="CR86" s="4">
        <f t="shared" si="285"/>
        <v>2.0120724346076476E-2</v>
      </c>
      <c r="CS86" s="4">
        <f t="shared" si="285"/>
        <v>0</v>
      </c>
      <c r="CT86" s="4">
        <f t="shared" si="285"/>
        <v>5.5555555555555393E-2</v>
      </c>
      <c r="CU86" s="4">
        <f t="shared" si="285"/>
        <v>6.1876247504990073E-2</v>
      </c>
      <c r="CV86" s="4">
        <f t="shared" si="285"/>
        <v>0.33204633204633188</v>
      </c>
      <c r="CW86" s="4">
        <f t="shared" si="285"/>
        <v>0.90972222222222254</v>
      </c>
      <c r="CX86" s="4">
        <f t="shared" si="285"/>
        <v>0.10900473933649299</v>
      </c>
      <c r="CY86" s="4">
        <f t="shared" si="285"/>
        <v>-9.708737864077667E-2</v>
      </c>
      <c r="CZ86" s="4">
        <f t="shared" si="285"/>
        <v>3.1021897810218801E-2</v>
      </c>
      <c r="DA86" s="4">
        <f t="shared" si="285"/>
        <v>3.4090909090909116E-2</v>
      </c>
      <c r="DB86" s="4">
        <f t="shared" si="285"/>
        <v>-9.5419847328244364E-3</v>
      </c>
      <c r="DC86" s="4">
        <f t="shared" si="285"/>
        <v>9.4339622641509302E-2</v>
      </c>
      <c r="DD86" s="4">
        <f t="shared" si="285"/>
        <v>6.5454545454545307E-2</v>
      </c>
      <c r="DE86" s="4">
        <f t="shared" si="285"/>
        <v>2.4911032028469574E-2</v>
      </c>
      <c r="DF86" s="4">
        <f t="shared" si="285"/>
        <v>0.26666666666666666</v>
      </c>
      <c r="DG86" s="4">
        <f t="shared" si="285"/>
        <v>2.4038461538461561E-3</v>
      </c>
      <c r="DH86" s="4">
        <f t="shared" si="285"/>
        <v>-0.28455284552845522</v>
      </c>
      <c r="DI86" s="4">
        <f t="shared" si="285"/>
        <v>-5.5555555555555476E-2</v>
      </c>
      <c r="DJ86" s="4">
        <f t="shared" si="285"/>
        <v>0.18377088305489264</v>
      </c>
      <c r="DK86" s="4">
        <f t="shared" si="285"/>
        <v>0.19861431870669752</v>
      </c>
      <c r="DL86" s="4">
        <f t="shared" si="285"/>
        <v>0.2267441860465117</v>
      </c>
      <c r="DM86" s="4">
        <f t="shared" si="285"/>
        <v>0.28089887640449451</v>
      </c>
      <c r="DN86" s="4">
        <f t="shared" si="285"/>
        <v>1.4610389610389624E-2</v>
      </c>
      <c r="DO86" s="4">
        <f t="shared" si="285"/>
        <v>0.17073170731707316</v>
      </c>
      <c r="DP86" s="4">
        <f t="shared" si="285"/>
        <v>-2.4060150375939868E-2</v>
      </c>
      <c r="DQ86" s="4">
        <f t="shared" si="285"/>
        <v>3.0120481927710867E-3</v>
      </c>
      <c r="DR86" s="4">
        <f t="shared" si="285"/>
        <v>8.1538461538461435E-2</v>
      </c>
      <c r="DS86" s="4">
        <f t="shared" si="285"/>
        <v>5.9734513274336209E-2</v>
      </c>
      <c r="DT86" s="4">
        <f t="shared" si="285"/>
        <v>5.2208835341365507E-2</v>
      </c>
      <c r="DU86" s="4">
        <f t="shared" si="285"/>
        <v>0.30067567567567577</v>
      </c>
      <c r="DV86" s="4">
        <f t="shared" si="285"/>
        <v>8.2987551867219997E-2</v>
      </c>
      <c r="DW86" s="4">
        <f t="shared" si="285"/>
        <v>6.1302681992337217E-2</v>
      </c>
      <c r="DX86" s="4">
        <f t="shared" si="285"/>
        <v>0.13101160862354905</v>
      </c>
      <c r="DY86" s="4">
        <f t="shared" si="285"/>
        <v>2.6109660574412556E-2</v>
      </c>
      <c r="DZ86" s="4">
        <f t="shared" si="285"/>
        <v>2.6279391424619665E-2</v>
      </c>
      <c r="EA86" s="4">
        <f t="shared" ref="EA86:FB88" si="286">(EA78-EA66)/EA66</f>
        <v>4.3413173652694481E-2</v>
      </c>
      <c r="EB86" s="4">
        <f t="shared" si="286"/>
        <v>5.2795031055900665E-2</v>
      </c>
      <c r="EC86" s="4">
        <f t="shared" si="286"/>
        <v>7.6502732240437021E-2</v>
      </c>
      <c r="ED86" s="4">
        <f t="shared" si="286"/>
        <v>2.714285714285717E-2</v>
      </c>
      <c r="EE86" s="4">
        <f t="shared" si="286"/>
        <v>6.4102564102564166E-2</v>
      </c>
      <c r="EF86" s="4">
        <f t="shared" si="286"/>
        <v>-4.0540540540540577E-3</v>
      </c>
      <c r="EG86" s="4">
        <f t="shared" si="286"/>
        <v>0</v>
      </c>
      <c r="EH86" s="4">
        <f t="shared" si="286"/>
        <v>-3.1948881789137409E-3</v>
      </c>
      <c r="EI86" s="4">
        <f t="shared" si="286"/>
        <v>0.18045112781954881</v>
      </c>
      <c r="EJ86" s="4">
        <f t="shared" si="286"/>
        <v>4.0498442367601278E-2</v>
      </c>
      <c r="EK86" s="4">
        <f t="shared" si="286"/>
        <v>0.18287937743190655</v>
      </c>
      <c r="EL86" s="4">
        <f t="shared" si="286"/>
        <v>2.9776674937965146E-2</v>
      </c>
      <c r="EM86" s="4">
        <f t="shared" si="286"/>
        <v>5.4913294797687917E-2</v>
      </c>
      <c r="EN86" s="4">
        <f t="shared" si="286"/>
        <v>3.1948881789137409E-3</v>
      </c>
      <c r="EO86" s="4">
        <f t="shared" si="286"/>
        <v>1.5490533562822734E-2</v>
      </c>
      <c r="EP86" s="4">
        <f t="shared" si="286"/>
        <v>3.050108932461864E-2</v>
      </c>
      <c r="EQ86" s="4">
        <f t="shared" si="286"/>
        <v>0.15674603174603166</v>
      </c>
      <c r="ER86" s="4">
        <f t="shared" si="286"/>
        <v>1.1965811965811977E-2</v>
      </c>
      <c r="ES86" s="4">
        <f t="shared" si="286"/>
        <v>2.8571428571428598E-2</v>
      </c>
      <c r="ET86" s="4">
        <f t="shared" si="286"/>
        <v>7.8804347826087029E-2</v>
      </c>
      <c r="EU86" s="4">
        <f t="shared" si="286"/>
        <v>8.3591331269349742E-2</v>
      </c>
      <c r="EV86" s="4">
        <f t="shared" si="286"/>
        <v>6.8750000000000061E-2</v>
      </c>
      <c r="EW86" s="4">
        <f t="shared" si="286"/>
        <v>3.8277511961722521E-2</v>
      </c>
      <c r="EX86" s="4">
        <f t="shared" si="286"/>
        <v>4.7468354430379792E-2</v>
      </c>
      <c r="EY86" s="4">
        <f t="shared" si="286"/>
        <v>1.6759776536312866E-2</v>
      </c>
      <c r="EZ86" s="4">
        <f t="shared" si="286"/>
        <v>8.3783783783783858E-2</v>
      </c>
      <c r="FA86" s="4">
        <f t="shared" si="286"/>
        <v>5.0251256281406941E-2</v>
      </c>
      <c r="FB86" s="4">
        <f t="shared" si="286"/>
        <v>-1.6713091922005586E-2</v>
      </c>
      <c r="FC86" s="4">
        <f t="shared" ref="FC86:FD86" si="287">(FC78-FC66)/FC66</f>
        <v>0.17154811715481189</v>
      </c>
      <c r="FD86" s="4">
        <f t="shared" si="287"/>
        <v>3.8461538461538332E-2</v>
      </c>
      <c r="FE86" s="4">
        <f t="shared" ref="FE86:FF86" si="288">(FE78-FE66)/FE66</f>
        <v>0.11971830985915505</v>
      </c>
      <c r="FF86" s="4">
        <f t="shared" si="288"/>
        <v>0.12292358803986722</v>
      </c>
      <c r="FG86" s="4"/>
      <c r="FH86" s="4"/>
      <c r="FI86" s="4"/>
      <c r="FJ86" s="4"/>
      <c r="FK86" s="4"/>
      <c r="FL86" s="4"/>
    </row>
    <row r="87" spans="1:168" x14ac:dyDescent="0.3">
      <c r="A87" t="s">
        <v>249</v>
      </c>
      <c r="B87" s="4">
        <f t="shared" ref="B87:Q89" si="289">(B79-B67)/B67</f>
        <v>0.12202852614896982</v>
      </c>
      <c r="C87" s="4">
        <f t="shared" si="289"/>
        <v>0.48520710059171596</v>
      </c>
      <c r="D87" s="4">
        <f t="shared" si="289"/>
        <v>0.23038397328881471</v>
      </c>
      <c r="E87" s="4">
        <f t="shared" si="289"/>
        <v>8.8996763754045388E-2</v>
      </c>
      <c r="F87" s="4">
        <f t="shared" si="289"/>
        <v>0.13691507798960151</v>
      </c>
      <c r="G87" s="4">
        <f t="shared" si="289"/>
        <v>9.3354430379746736E-2</v>
      </c>
      <c r="H87" s="4">
        <f t="shared" si="289"/>
        <v>0.12994350282485867</v>
      </c>
      <c r="I87" s="4">
        <f t="shared" si="289"/>
        <v>0.30691399662731883</v>
      </c>
      <c r="J87" s="4">
        <f t="shared" si="289"/>
        <v>6.5333333333333396E-2</v>
      </c>
      <c r="K87" s="4">
        <f t="shared" si="289"/>
        <v>7.7852348993288661E-2</v>
      </c>
      <c r="L87" s="4">
        <f t="shared" si="289"/>
        <v>0.14507772020725387</v>
      </c>
      <c r="M87" s="4">
        <f t="shared" si="289"/>
        <v>0.2011095700416089</v>
      </c>
      <c r="N87" s="4">
        <f t="shared" si="289"/>
        <v>1.1563218390804595</v>
      </c>
      <c r="O87" s="4">
        <f t="shared" si="289"/>
        <v>0.94630872483221473</v>
      </c>
      <c r="P87" s="4">
        <f t="shared" si="289"/>
        <v>0.46240000000000003</v>
      </c>
      <c r="Q87" s="4">
        <f t="shared" si="289"/>
        <v>0.33333333333333331</v>
      </c>
      <c r="R87" s="4">
        <f t="shared" si="284"/>
        <v>8.0645161290322509E-2</v>
      </c>
      <c r="S87" s="4">
        <f t="shared" si="284"/>
        <v>9.840425531914887E-2</v>
      </c>
      <c r="T87" s="4">
        <f t="shared" si="284"/>
        <v>0.12079701120797007</v>
      </c>
      <c r="U87" s="4">
        <f t="shared" si="284"/>
        <v>0.1602136181575434</v>
      </c>
      <c r="V87" s="4">
        <f t="shared" si="284"/>
        <v>0.15809523809523801</v>
      </c>
      <c r="W87" s="4">
        <f t="shared" si="284"/>
        <v>0.21342512908777969</v>
      </c>
      <c r="X87" s="4">
        <f t="shared" si="284"/>
        <v>0.11271297509829616</v>
      </c>
      <c r="Y87" s="4">
        <f t="shared" si="284"/>
        <v>0.2207407407407406</v>
      </c>
      <c r="Z87" s="4">
        <f t="shared" si="284"/>
        <v>0.28242677824267787</v>
      </c>
      <c r="AA87" s="4">
        <f t="shared" si="284"/>
        <v>0.12336719883889707</v>
      </c>
      <c r="AB87" s="4">
        <f t="shared" si="284"/>
        <v>8.8435374149659948E-2</v>
      </c>
      <c r="AC87" s="4">
        <f t="shared" si="284"/>
        <v>7.0200573065902647E-2</v>
      </c>
      <c r="AD87" s="4">
        <f t="shared" si="284"/>
        <v>0.1767241379310345</v>
      </c>
      <c r="AE87" s="4">
        <f t="shared" si="284"/>
        <v>0.11065573770491798</v>
      </c>
      <c r="AF87" s="4">
        <f t="shared" si="284"/>
        <v>9.9319727891156548E-2</v>
      </c>
      <c r="AG87" s="4">
        <f t="shared" si="284"/>
        <v>0.15094339622641509</v>
      </c>
      <c r="AH87" s="4">
        <f t="shared" si="284"/>
        <v>0.19028871391076119</v>
      </c>
      <c r="AI87" s="4">
        <f t="shared" si="284"/>
        <v>0.13381995133819963</v>
      </c>
      <c r="AJ87" s="4">
        <f t="shared" si="284"/>
        <v>6.9900142653352426E-2</v>
      </c>
      <c r="AK87" s="4">
        <f t="shared" si="284"/>
        <v>7.1755725190839587E-2</v>
      </c>
      <c r="AL87" s="4">
        <f t="shared" si="284"/>
        <v>6.5277777777777837E-2</v>
      </c>
      <c r="AM87" s="4">
        <f t="shared" si="284"/>
        <v>8.7689713322091148E-2</v>
      </c>
      <c r="AN87" s="4">
        <f t="shared" si="284"/>
        <v>0.14713896457765666</v>
      </c>
      <c r="AO87" s="4">
        <f t="shared" si="284"/>
        <v>8.3916083916083989E-2</v>
      </c>
      <c r="AP87" s="4">
        <f t="shared" si="284"/>
        <v>0.19822109275730612</v>
      </c>
      <c r="AQ87" s="4">
        <f t="shared" si="284"/>
        <v>0.16137566137566137</v>
      </c>
      <c r="AR87" s="4">
        <f t="shared" si="284"/>
        <v>0.22786458333333323</v>
      </c>
      <c r="AS87" s="4">
        <f t="shared" si="284"/>
        <v>0.22644163150492269</v>
      </c>
      <c r="AT87" s="4">
        <f t="shared" si="284"/>
        <v>8.4899999999999984</v>
      </c>
      <c r="AU87" s="4">
        <f t="shared" si="284"/>
        <v>0.30589849108367623</v>
      </c>
      <c r="AV87" s="4">
        <f t="shared" si="284"/>
        <v>0.41714285714285709</v>
      </c>
      <c r="AW87" s="4">
        <f t="shared" si="284"/>
        <v>0</v>
      </c>
      <c r="AX87" s="4">
        <f t="shared" si="284"/>
        <v>0.46551724137931033</v>
      </c>
      <c r="AY87" s="4">
        <f t="shared" si="284"/>
        <v>0.20689655172413793</v>
      </c>
      <c r="AZ87" s="4">
        <f t="shared" si="284"/>
        <v>0.33644859813084099</v>
      </c>
      <c r="BA87" s="4">
        <f t="shared" si="284"/>
        <v>0.34277620396600567</v>
      </c>
      <c r="BB87" s="4">
        <f t="shared" si="284"/>
        <v>0.44029850746268645</v>
      </c>
      <c r="BC87" s="4">
        <f t="shared" si="284"/>
        <v>-0.10657193605683828</v>
      </c>
      <c r="BD87" s="4">
        <f t="shared" si="284"/>
        <v>0.26860254083484553</v>
      </c>
      <c r="BE87" s="4">
        <f t="shared" si="284"/>
        <v>0.2272089761570828</v>
      </c>
      <c r="BF87" s="4">
        <f t="shared" si="284"/>
        <v>0.13659359190556505</v>
      </c>
      <c r="BG87" s="4">
        <f t="shared" si="284"/>
        <v>1.2660550458715598</v>
      </c>
      <c r="BH87" s="4">
        <f t="shared" si="284"/>
        <v>0.27466150870406192</v>
      </c>
      <c r="BI87" s="4">
        <f t="shared" si="284"/>
        <v>0.9624217118997912</v>
      </c>
      <c r="BJ87" s="4">
        <f t="shared" si="284"/>
        <v>0.34823529411764698</v>
      </c>
      <c r="BK87" s="4">
        <f t="shared" si="284"/>
        <v>0.15837104072398187</v>
      </c>
      <c r="BL87" s="4">
        <f t="shared" si="284"/>
        <v>0.1607142857142857</v>
      </c>
      <c r="BM87" s="4">
        <f t="shared" si="284"/>
        <v>-2.5000000000000019E-2</v>
      </c>
      <c r="BN87" s="4">
        <f t="shared" si="284"/>
        <v>0.15635179153094458</v>
      </c>
      <c r="BO87" s="4">
        <f t="shared" si="285"/>
        <v>0.25458715596330284</v>
      </c>
      <c r="BP87" s="4">
        <f t="shared" si="285"/>
        <v>0.1833568406205924</v>
      </c>
      <c r="BQ87" s="4">
        <f t="shared" si="285"/>
        <v>0.20525657071339162</v>
      </c>
      <c r="BR87" s="4">
        <f t="shared" si="285"/>
        <v>0.11402359108781122</v>
      </c>
      <c r="BS87" s="4">
        <f t="shared" si="285"/>
        <v>9.3709884467265664E-2</v>
      </c>
      <c r="BT87" s="4">
        <f t="shared" si="285"/>
        <v>0.36260162601626011</v>
      </c>
      <c r="BU87" s="4">
        <f t="shared" si="285"/>
        <v>6.5773447015834416E-2</v>
      </c>
      <c r="BV87" s="4">
        <f t="shared" si="285"/>
        <v>1.3612565445026191E-2</v>
      </c>
      <c r="BW87" s="4">
        <f t="shared" si="285"/>
        <v>0.19920844327176784</v>
      </c>
      <c r="BX87" s="4">
        <f t="shared" si="285"/>
        <v>0.12019230769230781</v>
      </c>
      <c r="BY87" s="4">
        <f t="shared" si="285"/>
        <v>0.19440559440559443</v>
      </c>
      <c r="BZ87" s="4">
        <f t="shared" si="285"/>
        <v>8.519553072625706E-2</v>
      </c>
      <c r="CA87" s="4">
        <f t="shared" si="285"/>
        <v>9.394313967861552E-2</v>
      </c>
      <c r="CB87" s="4">
        <f t="shared" si="285"/>
        <v>6.8119891008174449E-2</v>
      </c>
      <c r="CC87" s="4">
        <f t="shared" si="285"/>
        <v>0.11756935270805809</v>
      </c>
      <c r="CD87" s="4">
        <f t="shared" si="285"/>
        <v>0.12980132450331122</v>
      </c>
      <c r="CE87" s="4">
        <f t="shared" si="285"/>
        <v>0.11648079306071867</v>
      </c>
      <c r="CF87" s="4">
        <f t="shared" si="285"/>
        <v>0.19508670520231217</v>
      </c>
      <c r="CG87" s="4">
        <f t="shared" si="285"/>
        <v>0.22530864197530867</v>
      </c>
      <c r="CH87" s="4">
        <f t="shared" si="285"/>
        <v>4.2841037204058664E-2</v>
      </c>
      <c r="CI87" s="4">
        <f t="shared" si="285"/>
        <v>0.10052910052910047</v>
      </c>
      <c r="CJ87" s="4">
        <f t="shared" si="285"/>
        <v>0.22437673130193911</v>
      </c>
      <c r="CK87" s="4">
        <f t="shared" si="285"/>
        <v>8.653846153846162E-2</v>
      </c>
      <c r="CL87" s="4">
        <f t="shared" si="285"/>
        <v>4.4100119189511365E-2</v>
      </c>
      <c r="CM87" s="4">
        <f t="shared" si="285"/>
        <v>6.9095477386934598E-2</v>
      </c>
      <c r="CN87" s="4">
        <f t="shared" si="285"/>
        <v>0.10340479192938204</v>
      </c>
      <c r="CO87" s="4">
        <f t="shared" si="285"/>
        <v>0.10144927536231878</v>
      </c>
      <c r="CP87" s="4">
        <f t="shared" si="285"/>
        <v>0.12636695018226016</v>
      </c>
      <c r="CQ87" s="4">
        <f t="shared" si="285"/>
        <v>0.2076719576719577</v>
      </c>
      <c r="CR87" s="4">
        <f t="shared" si="285"/>
        <v>5.4254007398273643E-2</v>
      </c>
      <c r="CS87" s="4">
        <f t="shared" si="285"/>
        <v>4.3697478991596678E-2</v>
      </c>
      <c r="CT87" s="4">
        <f t="shared" si="285"/>
        <v>0.12845138055222088</v>
      </c>
      <c r="CU87" s="4">
        <f t="shared" si="285"/>
        <v>0.23684210526315796</v>
      </c>
      <c r="CV87" s="4">
        <f t="shared" si="285"/>
        <v>0.25790349417637276</v>
      </c>
      <c r="CW87" s="4">
        <f t="shared" si="285"/>
        <v>0.24699828473413382</v>
      </c>
      <c r="CX87" s="4">
        <f t="shared" si="285"/>
        <v>0.16798941798941799</v>
      </c>
      <c r="CY87" s="4">
        <f t="shared" si="285"/>
        <v>0.24843945068664164</v>
      </c>
      <c r="CZ87" s="4">
        <f t="shared" si="285"/>
        <v>0.24187256176853048</v>
      </c>
      <c r="DA87" s="4">
        <f t="shared" si="285"/>
        <v>0.40236686390532528</v>
      </c>
      <c r="DB87" s="4">
        <f t="shared" si="285"/>
        <v>9.7065462753950296E-2</v>
      </c>
      <c r="DC87" s="4">
        <f t="shared" si="285"/>
        <v>0.42809917355371901</v>
      </c>
      <c r="DD87" s="4">
        <f t="shared" si="285"/>
        <v>0.21540469973890344</v>
      </c>
      <c r="DE87" s="4">
        <f t="shared" si="285"/>
        <v>0.21068702290076335</v>
      </c>
      <c r="DF87" s="4">
        <f t="shared" si="285"/>
        <v>0.51916932907348234</v>
      </c>
      <c r="DG87" s="4">
        <f t="shared" si="285"/>
        <v>2.26337448559671E-2</v>
      </c>
      <c r="DH87" s="4">
        <f t="shared" si="285"/>
        <v>-0.47112117780294449</v>
      </c>
      <c r="DI87" s="4">
        <f t="shared" si="285"/>
        <v>0.35537190082644632</v>
      </c>
      <c r="DJ87" s="4">
        <f t="shared" si="285"/>
        <v>0.4952076677316295</v>
      </c>
      <c r="DK87" s="4">
        <f t="shared" si="285"/>
        <v>0.60205831903945128</v>
      </c>
      <c r="DL87" s="4">
        <f t="shared" si="285"/>
        <v>1.2561576354679802</v>
      </c>
      <c r="DM87" s="4">
        <f t="shared" si="285"/>
        <v>1.1583924349881798</v>
      </c>
      <c r="DN87" s="4">
        <f t="shared" si="285"/>
        <v>0.28058727569331166</v>
      </c>
      <c r="DO87" s="4">
        <f t="shared" si="285"/>
        <v>0.22292993630573238</v>
      </c>
      <c r="DP87" s="4">
        <f t="shared" si="285"/>
        <v>0.33002832861189801</v>
      </c>
      <c r="DQ87" s="4">
        <f t="shared" si="285"/>
        <v>7.5639599555061124E-2</v>
      </c>
      <c r="DR87" s="4">
        <f t="shared" si="285"/>
        <v>0.21696801112656472</v>
      </c>
      <c r="DS87" s="4">
        <f t="shared" si="285"/>
        <v>8.3532219570405797E-3</v>
      </c>
      <c r="DT87" s="4">
        <f t="shared" si="285"/>
        <v>1.9715224534501658E-2</v>
      </c>
      <c r="DU87" s="4">
        <f t="shared" si="285"/>
        <v>0.27056962025316461</v>
      </c>
      <c r="DV87" s="4">
        <f t="shared" si="285"/>
        <v>0.14651162790697675</v>
      </c>
      <c r="DW87" s="4">
        <f t="shared" si="285"/>
        <v>0.12830687830687829</v>
      </c>
      <c r="DX87" s="4">
        <f t="shared" si="285"/>
        <v>0.10785463071512306</v>
      </c>
      <c r="DY87" s="4">
        <f t="shared" si="285"/>
        <v>3.181336161187702E-2</v>
      </c>
      <c r="DZ87" s="4">
        <f t="shared" si="285"/>
        <v>7.3660714285714232E-2</v>
      </c>
      <c r="EA87" s="4">
        <f t="shared" si="286"/>
        <v>0.12707838479809974</v>
      </c>
      <c r="EB87" s="4">
        <f t="shared" si="286"/>
        <v>5.5681818181818228E-2</v>
      </c>
      <c r="EC87" s="4">
        <f t="shared" si="286"/>
        <v>0.17900403768506057</v>
      </c>
      <c r="ED87" s="4">
        <f t="shared" si="286"/>
        <v>0.10344827586206894</v>
      </c>
      <c r="EE87" s="4">
        <f t="shared" si="286"/>
        <v>6.5366972477064272E-2</v>
      </c>
      <c r="EF87" s="4">
        <f t="shared" si="286"/>
        <v>0.12631578947368419</v>
      </c>
      <c r="EG87" s="4">
        <f t="shared" si="286"/>
        <v>0.15771028037383178</v>
      </c>
      <c r="EH87" s="4">
        <f t="shared" si="286"/>
        <v>0.28931750741839751</v>
      </c>
      <c r="EI87" s="4">
        <f t="shared" si="286"/>
        <v>0.36608557844690964</v>
      </c>
      <c r="EJ87" s="4">
        <f t="shared" si="286"/>
        <v>0.39351851851851849</v>
      </c>
      <c r="EK87" s="4">
        <f t="shared" si="286"/>
        <v>0.20689655172413796</v>
      </c>
      <c r="EL87" s="4">
        <f t="shared" si="286"/>
        <v>0.25820256776034245</v>
      </c>
      <c r="EM87" s="4">
        <f t="shared" si="286"/>
        <v>0.24927113702623893</v>
      </c>
      <c r="EN87" s="4">
        <f t="shared" si="286"/>
        <v>0.30284857571214385</v>
      </c>
      <c r="EO87" s="4">
        <f t="shared" si="286"/>
        <v>0.24927536231884065</v>
      </c>
      <c r="EP87" s="4">
        <f t="shared" si="286"/>
        <v>0.4890387858347387</v>
      </c>
      <c r="EQ87" s="4">
        <f t="shared" si="286"/>
        <v>0.28186968838526921</v>
      </c>
      <c r="ER87" s="4">
        <f t="shared" si="286"/>
        <v>0.39398734177215189</v>
      </c>
      <c r="ES87" s="4">
        <f t="shared" si="286"/>
        <v>0.20059435364041606</v>
      </c>
      <c r="ET87" s="4">
        <f t="shared" si="286"/>
        <v>0.16600790513833993</v>
      </c>
      <c r="EU87" s="4">
        <f t="shared" si="286"/>
        <v>0.22237569060773485</v>
      </c>
      <c r="EV87" s="4">
        <f t="shared" si="286"/>
        <v>0.21524064171123</v>
      </c>
      <c r="EW87" s="4">
        <f t="shared" si="286"/>
        <v>0.17769130998702984</v>
      </c>
      <c r="EX87" s="4">
        <f t="shared" si="286"/>
        <v>5.2434456928838857E-2</v>
      </c>
      <c r="EY87" s="4">
        <f t="shared" si="286"/>
        <v>3.3452807646356067E-2</v>
      </c>
      <c r="EZ87" s="4">
        <f t="shared" si="286"/>
        <v>0.36891679748822603</v>
      </c>
      <c r="FA87" s="4">
        <f t="shared" si="286"/>
        <v>0.34250764525993876</v>
      </c>
      <c r="FB87" s="4">
        <f t="shared" si="286"/>
        <v>0.22681883024251076</v>
      </c>
      <c r="FC87" s="4">
        <f t="shared" ref="FC87:FD87" si="290">(FC79-FC67)/FC67</f>
        <v>0.19148936170212785</v>
      </c>
      <c r="FD87" s="4">
        <f t="shared" si="290"/>
        <v>0.28064516129032263</v>
      </c>
      <c r="FE87" s="4">
        <f t="shared" ref="FE87:FF87" si="291">(FE79-FE67)/FE67</f>
        <v>0.30687830687830697</v>
      </c>
      <c r="FF87" s="4">
        <f t="shared" si="291"/>
        <v>0.18970189701897022</v>
      </c>
      <c r="FG87" s="4"/>
      <c r="FH87" s="4"/>
      <c r="FI87" s="4"/>
      <c r="FJ87" s="4"/>
      <c r="FK87" s="4"/>
      <c r="FL87" s="4"/>
    </row>
    <row r="88" spans="1:168" x14ac:dyDescent="0.3">
      <c r="A88" t="s">
        <v>250</v>
      </c>
      <c r="B88" s="4">
        <f t="shared" si="289"/>
        <v>-0.12121212121212122</v>
      </c>
      <c r="C88" s="4">
        <f t="shared" ref="C88:BN89" si="292">(C80-C68)/C68</f>
        <v>-0.29545454545454541</v>
      </c>
      <c r="D88" s="4">
        <f t="shared" si="292"/>
        <v>-0.18421052631578946</v>
      </c>
      <c r="E88" s="4">
        <f t="shared" si="292"/>
        <v>-7.8947368421052516E-2</v>
      </c>
      <c r="F88" s="4">
        <f t="shared" si="292"/>
        <v>-9.7222222222222127E-2</v>
      </c>
      <c r="G88" s="4">
        <f t="shared" si="292"/>
        <v>-8.9552238805970227E-2</v>
      </c>
      <c r="H88" s="4">
        <f t="shared" si="292"/>
        <v>-7.4074074074074014E-2</v>
      </c>
      <c r="I88" s="4">
        <f t="shared" si="292"/>
        <v>-0.26027397260273971</v>
      </c>
      <c r="J88" s="4">
        <f t="shared" si="292"/>
        <v>-0.1044776119402986</v>
      </c>
      <c r="K88" s="4">
        <f t="shared" si="292"/>
        <v>-0.3048780487804878</v>
      </c>
      <c r="L88" s="4">
        <f t="shared" si="292"/>
        <v>-0.28712871287128722</v>
      </c>
      <c r="M88" s="4">
        <f t="shared" si="292"/>
        <v>-0.30555555555555547</v>
      </c>
      <c r="N88" s="4">
        <f t="shared" si="292"/>
        <v>-0.67142857142857149</v>
      </c>
      <c r="O88" s="4">
        <f t="shared" si="292"/>
        <v>-0.5</v>
      </c>
      <c r="P88" s="4">
        <f t="shared" si="292"/>
        <v>-0.52293577981651373</v>
      </c>
      <c r="Q88" s="4">
        <f t="shared" si="292"/>
        <v>-0.56000000000000005</v>
      </c>
      <c r="R88" s="4">
        <f t="shared" si="292"/>
        <v>-0.18571428571428578</v>
      </c>
      <c r="S88" s="4">
        <f t="shared" si="292"/>
        <v>-0.15151515151515155</v>
      </c>
      <c r="T88" s="4">
        <f t="shared" si="292"/>
        <v>-0.27777777777777779</v>
      </c>
      <c r="U88" s="4">
        <f t="shared" si="292"/>
        <v>-0.27397260273972601</v>
      </c>
      <c r="V88" s="4">
        <f t="shared" si="292"/>
        <v>-8.9552238805970227E-2</v>
      </c>
      <c r="W88" s="4">
        <f t="shared" si="292"/>
        <v>-0.16666666666666663</v>
      </c>
      <c r="X88" s="4">
        <f t="shared" si="292"/>
        <v>-0.20588235294117641</v>
      </c>
      <c r="Y88" s="4">
        <f t="shared" si="292"/>
        <v>-0.26582278481012656</v>
      </c>
      <c r="Z88" s="4">
        <f t="shared" si="292"/>
        <v>-0.13978494623655913</v>
      </c>
      <c r="AA88" s="4">
        <f t="shared" si="292"/>
        <v>-0.14772727272727271</v>
      </c>
      <c r="AB88" s="4">
        <f t="shared" si="292"/>
        <v>-0.12499999999999993</v>
      </c>
      <c r="AC88" s="4">
        <f t="shared" si="292"/>
        <v>-8.0459770114942444E-2</v>
      </c>
      <c r="AD88" s="4">
        <f t="shared" si="292"/>
        <v>-0.32692307692307682</v>
      </c>
      <c r="AE88" s="4">
        <f t="shared" si="292"/>
        <v>-0.16666666666666663</v>
      </c>
      <c r="AF88" s="4">
        <f t="shared" si="292"/>
        <v>-0.14473684210526311</v>
      </c>
      <c r="AG88" s="4">
        <f t="shared" si="292"/>
        <v>-0.35714285714285715</v>
      </c>
      <c r="AH88" s="4">
        <f t="shared" si="292"/>
        <v>-0.38461538461538458</v>
      </c>
      <c r="AI88" s="4">
        <f t="shared" si="292"/>
        <v>-0.38356164383561642</v>
      </c>
      <c r="AJ88" s="4">
        <f t="shared" si="292"/>
        <v>-8.7719298245614113E-2</v>
      </c>
      <c r="AK88" s="4">
        <f t="shared" si="292"/>
        <v>-6.2500000000000056E-2</v>
      </c>
      <c r="AL88" s="4">
        <f t="shared" si="292"/>
        <v>-8.9285714285714357E-2</v>
      </c>
      <c r="AM88" s="4">
        <f t="shared" si="292"/>
        <v>-5.9322033898305024E-2</v>
      </c>
      <c r="AN88" s="4">
        <f t="shared" si="292"/>
        <v>-0.23595505617977519</v>
      </c>
      <c r="AO88" s="4">
        <f t="shared" si="292"/>
        <v>-0.29729729729729731</v>
      </c>
      <c r="AP88" s="4">
        <f t="shared" si="292"/>
        <v>-0.47674418604651159</v>
      </c>
      <c r="AQ88" s="4">
        <f t="shared" si="292"/>
        <v>-0.29268292682926828</v>
      </c>
      <c r="AR88" s="4">
        <f t="shared" si="292"/>
        <v>-0.50819672131147542</v>
      </c>
      <c r="AS88" s="4">
        <f t="shared" si="292"/>
        <v>-0.33684210526315789</v>
      </c>
      <c r="AT88" s="4">
        <f t="shared" si="292"/>
        <v>-0.88750000000000007</v>
      </c>
      <c r="AU88" s="4">
        <f t="shared" si="292"/>
        <v>-0.57731958762886593</v>
      </c>
      <c r="AV88" s="4">
        <f t="shared" si="292"/>
        <v>-0.27368421052631575</v>
      </c>
      <c r="AW88" s="4">
        <f t="shared" si="292"/>
        <v>0</v>
      </c>
      <c r="AX88" s="4">
        <f t="shared" si="292"/>
        <v>-0.29473684210526313</v>
      </c>
      <c r="AY88" s="4">
        <f t="shared" si="292"/>
        <v>-0.18627450980392146</v>
      </c>
      <c r="AZ88" s="4">
        <f t="shared" si="292"/>
        <v>-0.21296296296296291</v>
      </c>
      <c r="BA88" s="4">
        <f t="shared" si="292"/>
        <v>-0.57653061224489799</v>
      </c>
      <c r="BB88" s="4">
        <f t="shared" si="292"/>
        <v>-0.67532467532467533</v>
      </c>
      <c r="BC88" s="4">
        <f t="shared" si="292"/>
        <v>6.8181818181818024E-2</v>
      </c>
      <c r="BD88" s="4">
        <f t="shared" si="292"/>
        <v>-0.17924528301886797</v>
      </c>
      <c r="BE88" s="4">
        <f t="shared" si="292"/>
        <v>-0.33823529411764713</v>
      </c>
      <c r="BF88" s="4">
        <f t="shared" si="292"/>
        <v>-0.10344827586206905</v>
      </c>
      <c r="BG88" s="4">
        <f t="shared" si="292"/>
        <v>-0.85250737463126847</v>
      </c>
      <c r="BH88" s="4">
        <f t="shared" si="292"/>
        <v>-0.15384615384615388</v>
      </c>
      <c r="BI88" s="4">
        <f t="shared" si="292"/>
        <v>-0.66197183098591561</v>
      </c>
      <c r="BJ88" s="4">
        <f t="shared" si="292"/>
        <v>-0.14814814814814811</v>
      </c>
      <c r="BK88" s="4">
        <f t="shared" si="292"/>
        <v>-0.17187500000000003</v>
      </c>
      <c r="BL88" s="4">
        <f t="shared" si="292"/>
        <v>-0.35245901639344263</v>
      </c>
      <c r="BM88" s="4">
        <f t="shared" si="292"/>
        <v>2.7397260273972629E-2</v>
      </c>
      <c r="BN88" s="4">
        <f t="shared" si="292"/>
        <v>-0.14084507042253516</v>
      </c>
      <c r="BO88" s="4">
        <f t="shared" si="285"/>
        <v>-0.10606060606060615</v>
      </c>
      <c r="BP88" s="4">
        <f t="shared" si="285"/>
        <v>-0.25423728813559321</v>
      </c>
      <c r="BQ88" s="4">
        <f t="shared" si="285"/>
        <v>-0.56756756756756754</v>
      </c>
      <c r="BR88" s="4">
        <f t="shared" si="285"/>
        <v>-0.1971830985915492</v>
      </c>
      <c r="BS88" s="4">
        <f t="shared" si="285"/>
        <v>-0.18055555555555552</v>
      </c>
      <c r="BT88" s="4">
        <f t="shared" si="285"/>
        <v>-0.2982456140350877</v>
      </c>
      <c r="BU88" s="4">
        <f t="shared" si="285"/>
        <v>-0.18604651162790684</v>
      </c>
      <c r="BV88" s="4">
        <f t="shared" si="285"/>
        <v>-0.16326530612244897</v>
      </c>
      <c r="BW88" s="4">
        <f t="shared" si="285"/>
        <v>-0.38095238095238104</v>
      </c>
      <c r="BX88" s="4">
        <f t="shared" si="285"/>
        <v>-0.36486486486486486</v>
      </c>
      <c r="BY88" s="4">
        <f t="shared" si="285"/>
        <v>-0.27956989247311825</v>
      </c>
      <c r="BZ88" s="4">
        <f t="shared" si="285"/>
        <v>-0.12676056338028163</v>
      </c>
      <c r="CA88" s="4">
        <f t="shared" si="285"/>
        <v>-0.23529411764705876</v>
      </c>
      <c r="CB88" s="4">
        <f t="shared" si="285"/>
        <v>-0.10169491525423727</v>
      </c>
      <c r="CC88" s="4">
        <f t="shared" si="285"/>
        <v>-0.20895522388059709</v>
      </c>
      <c r="CD88" s="4">
        <f t="shared" si="285"/>
        <v>-0.22580645161290319</v>
      </c>
      <c r="CE88" s="4">
        <f t="shared" si="285"/>
        <v>-0.2931034482758621</v>
      </c>
      <c r="CF88" s="4">
        <f t="shared" si="285"/>
        <v>-0.25396825396825395</v>
      </c>
      <c r="CG88" s="4">
        <f t="shared" si="285"/>
        <v>-0.234375</v>
      </c>
      <c r="CH88" s="4">
        <f t="shared" si="285"/>
        <v>-0.18367346938775511</v>
      </c>
      <c r="CI88" s="4">
        <f t="shared" si="285"/>
        <v>-0.17808219178082191</v>
      </c>
      <c r="CJ88" s="4">
        <f t="shared" si="285"/>
        <v>-6.5789473684210592E-2</v>
      </c>
      <c r="CK88" s="4">
        <f t="shared" si="285"/>
        <v>-0.24999999999999997</v>
      </c>
      <c r="CL88" s="4">
        <f t="shared" si="285"/>
        <v>-0.1206896551724139</v>
      </c>
      <c r="CM88" s="4">
        <f t="shared" si="285"/>
        <v>-0.13793103448275862</v>
      </c>
      <c r="CN88" s="4">
        <f t="shared" si="285"/>
        <v>-0.2266666666666666</v>
      </c>
      <c r="CO88" s="4">
        <f t="shared" si="285"/>
        <v>-0.18032786885245897</v>
      </c>
      <c r="CP88" s="4">
        <f t="shared" si="285"/>
        <v>-0.35897435897435892</v>
      </c>
      <c r="CQ88" s="4">
        <f t="shared" si="285"/>
        <v>-0.40277777777777779</v>
      </c>
      <c r="CR88" s="4">
        <f t="shared" si="285"/>
        <v>-0.15151515151515155</v>
      </c>
      <c r="CS88" s="4">
        <f t="shared" si="285"/>
        <v>-3.9603960396039639E-2</v>
      </c>
      <c r="CT88" s="4">
        <f t="shared" si="285"/>
        <v>-0.4050632911392405</v>
      </c>
      <c r="CU88" s="4">
        <f t="shared" si="285"/>
        <v>-0.38383838383838387</v>
      </c>
      <c r="CV88" s="4">
        <f t="shared" si="285"/>
        <v>-0.22105263157894742</v>
      </c>
      <c r="CW88" s="4">
        <f t="shared" si="285"/>
        <v>-0.19230769230769229</v>
      </c>
      <c r="CX88" s="4">
        <f t="shared" si="285"/>
        <v>-0.30927835051546387</v>
      </c>
      <c r="CY88" s="4">
        <f t="shared" si="285"/>
        <v>-1</v>
      </c>
      <c r="CZ88" s="4">
        <f t="shared" si="285"/>
        <v>-0.56488549618320616</v>
      </c>
      <c r="DA88" s="4">
        <f t="shared" si="285"/>
        <v>-0.59868421052631582</v>
      </c>
      <c r="DB88" s="4">
        <f t="shared" si="285"/>
        <v>-0.5</v>
      </c>
      <c r="DC88" s="4">
        <f t="shared" si="285"/>
        <v>-0.4144144144144144</v>
      </c>
      <c r="DD88" s="4">
        <f t="shared" si="285"/>
        <v>-0.45945945945945943</v>
      </c>
      <c r="DE88" s="4">
        <f t="shared" si="285"/>
        <v>-0.22826086956521743</v>
      </c>
      <c r="DF88" s="4">
        <f t="shared" si="285"/>
        <v>-0.63829787234042545</v>
      </c>
      <c r="DG88" s="4">
        <f t="shared" si="285"/>
        <v>-0.54285714285714293</v>
      </c>
      <c r="DH88" s="4">
        <f t="shared" si="285"/>
        <v>1.1323529411764703</v>
      </c>
      <c r="DI88" s="4">
        <f t="shared" si="285"/>
        <v>-0.75862068965517249</v>
      </c>
      <c r="DJ88" s="4">
        <f t="shared" si="285"/>
        <v>-0.58273381294964033</v>
      </c>
      <c r="DK88" s="4">
        <f t="shared" si="285"/>
        <v>-0.6</v>
      </c>
      <c r="DL88" s="4">
        <f t="shared" si="285"/>
        <v>-0.62420382165605093</v>
      </c>
      <c r="DM88" s="4">
        <f t="shared" si="285"/>
        <v>-0.61452513966480438</v>
      </c>
      <c r="DN88" s="4">
        <f t="shared" si="285"/>
        <v>-0.25480769230769229</v>
      </c>
      <c r="DO88" s="4">
        <f t="shared" si="285"/>
        <v>-0.57386363636363635</v>
      </c>
      <c r="DP88" s="4">
        <f t="shared" si="285"/>
        <v>-0.54726368159203986</v>
      </c>
      <c r="DQ88" s="4">
        <f t="shared" si="285"/>
        <v>-0.42735042735042733</v>
      </c>
      <c r="DR88" s="4">
        <f t="shared" si="285"/>
        <v>-0.33160621761658032</v>
      </c>
      <c r="DS88" s="4">
        <f t="shared" si="285"/>
        <v>-2.1276595744680871E-2</v>
      </c>
      <c r="DT88" s="4">
        <f t="shared" si="285"/>
        <v>-0.1044776119402986</v>
      </c>
      <c r="DU88" s="4">
        <f t="shared" si="285"/>
        <v>-0.27083333333333326</v>
      </c>
      <c r="DV88" s="4">
        <f t="shared" si="285"/>
        <v>-0.68674698795180733</v>
      </c>
      <c r="DW88" s="4">
        <f t="shared" si="285"/>
        <v>-0.22580645161290319</v>
      </c>
      <c r="DX88" s="4">
        <f t="shared" si="285"/>
        <v>0.18095238095238098</v>
      </c>
      <c r="DY88" s="4">
        <f t="shared" si="285"/>
        <v>-0.30645161290322587</v>
      </c>
      <c r="DZ88" s="4">
        <f t="shared" si="285"/>
        <v>-0.38961038961038957</v>
      </c>
      <c r="EA88" s="4">
        <f t="shared" si="286"/>
        <v>-0.4329896907216495</v>
      </c>
      <c r="EB88" s="4">
        <f t="shared" si="286"/>
        <v>-0.22972972972972966</v>
      </c>
      <c r="EC88" s="4">
        <f t="shared" si="286"/>
        <v>-0.30526315789473679</v>
      </c>
      <c r="ED88" s="4">
        <f t="shared" si="286"/>
        <v>-0.44943820224719094</v>
      </c>
      <c r="EE88" s="4">
        <f t="shared" si="286"/>
        <v>-0.25842696629213474</v>
      </c>
      <c r="EF88" s="4">
        <f t="shared" si="286"/>
        <v>-0.48421052631578948</v>
      </c>
      <c r="EG88" s="4">
        <f t="shared" si="286"/>
        <v>-0.75247524752475259</v>
      </c>
      <c r="EH88" s="4">
        <f t="shared" si="286"/>
        <v>-0.35897435897435892</v>
      </c>
      <c r="EI88" s="4">
        <f t="shared" si="286"/>
        <v>-0.38095238095238104</v>
      </c>
      <c r="EJ88" s="4">
        <f t="shared" si="286"/>
        <v>-0.4705882352941177</v>
      </c>
      <c r="EK88" s="4">
        <f t="shared" si="286"/>
        <v>-0.27272727272727271</v>
      </c>
      <c r="EL88" s="4">
        <f t="shared" si="286"/>
        <v>-0.37499999999999994</v>
      </c>
      <c r="EM88" s="4">
        <f t="shared" si="286"/>
        <v>-0.31764705882352945</v>
      </c>
      <c r="EN88" s="4">
        <f t="shared" si="286"/>
        <v>-0.37974683544303794</v>
      </c>
      <c r="EO88" s="4">
        <f t="shared" si="286"/>
        <v>-0.3294117647058824</v>
      </c>
      <c r="EP88" s="4">
        <f t="shared" si="286"/>
        <v>-0.46808510638297868</v>
      </c>
      <c r="EQ88" s="4">
        <f t="shared" si="286"/>
        <v>-0.43678160919540227</v>
      </c>
      <c r="ER88" s="4">
        <f t="shared" si="286"/>
        <v>-0.4336283185840708</v>
      </c>
      <c r="ES88" s="4">
        <f t="shared" si="286"/>
        <v>-0.23170731707317077</v>
      </c>
      <c r="ET88" s="4">
        <f t="shared" si="286"/>
        <v>-0.31707317073170732</v>
      </c>
      <c r="EU88" s="4">
        <f t="shared" si="286"/>
        <v>-0.35606060606060602</v>
      </c>
      <c r="EV88" s="4">
        <f t="shared" si="286"/>
        <v>-0.40366972477064217</v>
      </c>
      <c r="EW88" s="4">
        <f t="shared" si="286"/>
        <v>-0.36956521739130432</v>
      </c>
      <c r="EX88" s="4">
        <f t="shared" si="286"/>
        <v>-0.1111111111111111</v>
      </c>
      <c r="EY88" s="4">
        <f t="shared" si="286"/>
        <v>-8.3333333333333301E-2</v>
      </c>
      <c r="EZ88" s="4">
        <f t="shared" si="286"/>
        <v>-0.40816326530612246</v>
      </c>
      <c r="FA88" s="4">
        <f t="shared" si="286"/>
        <v>-0.40594059405940602</v>
      </c>
      <c r="FB88" s="4">
        <f t="shared" si="286"/>
        <v>-0.30769230769230771</v>
      </c>
      <c r="FC88" s="4">
        <f t="shared" ref="FC88:FD88" si="293">(FC80-FC68)/FC68</f>
        <v>-0.12345679012345689</v>
      </c>
      <c r="FD88" s="4">
        <f t="shared" si="293"/>
        <v>-0.25609756097560982</v>
      </c>
      <c r="FE88" s="4">
        <f t="shared" ref="FE88:FF88" si="294">(FE80-FE68)/FE68</f>
        <v>-0.23170731707317077</v>
      </c>
      <c r="FF88" s="4">
        <f t="shared" si="294"/>
        <v>-0.31506849315068486</v>
      </c>
      <c r="FG88" s="4"/>
      <c r="FH88" s="4"/>
      <c r="FI88" s="4"/>
      <c r="FJ88" s="4"/>
      <c r="FK88" s="4"/>
      <c r="FL88" s="4"/>
    </row>
    <row r="89" spans="1:168" x14ac:dyDescent="0.3">
      <c r="A89" t="s">
        <v>255</v>
      </c>
      <c r="B89" s="4">
        <f t="shared" si="289"/>
        <v>-0.31531531531531531</v>
      </c>
      <c r="C89" s="4">
        <f t="shared" si="292"/>
        <v>-0.39766081871345038</v>
      </c>
      <c r="D89" s="4">
        <f t="shared" si="292"/>
        <v>-0.35971223021582743</v>
      </c>
      <c r="E89" s="4">
        <f t="shared" si="292"/>
        <v>-0.26760563380281688</v>
      </c>
      <c r="F89" s="4">
        <f t="shared" si="292"/>
        <v>-0.27131782945736438</v>
      </c>
      <c r="G89" s="4">
        <f t="shared" si="292"/>
        <v>-0.29166666666666657</v>
      </c>
      <c r="H89" s="4">
        <f t="shared" si="292"/>
        <v>-0.17391304347826086</v>
      </c>
      <c r="I89" s="4">
        <f t="shared" si="292"/>
        <v>-0.57894736842105265</v>
      </c>
      <c r="J89" s="4">
        <f t="shared" si="292"/>
        <v>-0.43137254901960786</v>
      </c>
      <c r="K89" s="4">
        <f t="shared" si="292"/>
        <v>-0.50267379679144386</v>
      </c>
      <c r="L89" s="4">
        <f t="shared" si="292"/>
        <v>-0.80176211453744484</v>
      </c>
      <c r="M89" s="4">
        <f t="shared" si="292"/>
        <v>-0.65441176470588236</v>
      </c>
      <c r="N89" s="4">
        <f t="shared" si="292"/>
        <v>-0.7592592592592593</v>
      </c>
      <c r="O89" s="4">
        <f t="shared" si="292"/>
        <v>-0.73118279569892475</v>
      </c>
      <c r="P89" s="4">
        <f t="shared" si="292"/>
        <v>-0.86250000000000004</v>
      </c>
      <c r="Q89" s="4">
        <f t="shared" si="292"/>
        <v>-0.9301204819277108</v>
      </c>
      <c r="R89" s="4">
        <f t="shared" si="292"/>
        <v>-0.42735042735042733</v>
      </c>
      <c r="S89" s="4">
        <f t="shared" si="292"/>
        <v>-0.60624999999999996</v>
      </c>
      <c r="T89" s="4">
        <f t="shared" si="292"/>
        <v>-0.62393162393162394</v>
      </c>
      <c r="U89" s="4">
        <f t="shared" si="292"/>
        <v>-0.67428571428571427</v>
      </c>
      <c r="V89" s="4">
        <f t="shared" si="292"/>
        <v>-0.21666666666666665</v>
      </c>
      <c r="W89" s="4">
        <f t="shared" si="292"/>
        <v>-0.449367088607595</v>
      </c>
      <c r="X89" s="4">
        <f t="shared" si="292"/>
        <v>-0.58461538461538465</v>
      </c>
      <c r="Y89" s="4">
        <f t="shared" si="292"/>
        <v>-0.50420168067226889</v>
      </c>
      <c r="Z89" s="4">
        <f t="shared" si="292"/>
        <v>-0.20930232558139522</v>
      </c>
      <c r="AA89" s="4">
        <f t="shared" si="292"/>
        <v>-0.29729729729729731</v>
      </c>
      <c r="AB89" s="4">
        <f t="shared" si="292"/>
        <v>-0.28571428571428581</v>
      </c>
      <c r="AC89" s="4">
        <f t="shared" si="292"/>
        <v>-0.28000000000000008</v>
      </c>
      <c r="AD89" s="4">
        <f t="shared" si="292"/>
        <v>-0.48255813953488369</v>
      </c>
      <c r="AE89" s="4">
        <f t="shared" si="292"/>
        <v>-0.18888888888888891</v>
      </c>
      <c r="AF89" s="4">
        <f t="shared" si="292"/>
        <v>-0.22500000000000003</v>
      </c>
      <c r="AG89" s="4">
        <f t="shared" si="292"/>
        <v>-0.87539936102236426</v>
      </c>
      <c r="AH89" s="4">
        <f t="shared" si="292"/>
        <v>-0.84027777777777779</v>
      </c>
      <c r="AI89" s="4">
        <f t="shared" si="292"/>
        <v>-0.90633608815426991</v>
      </c>
      <c r="AJ89" s="4">
        <f t="shared" si="292"/>
        <v>-0.28800000000000003</v>
      </c>
      <c r="AK89" s="4">
        <f t="shared" si="292"/>
        <v>-0.25899280575539579</v>
      </c>
      <c r="AL89" s="4">
        <f t="shared" si="292"/>
        <v>-0.31531531531531531</v>
      </c>
      <c r="AM89" s="4">
        <f t="shared" si="292"/>
        <v>-0.65333333333333343</v>
      </c>
      <c r="AN89" s="4">
        <f t="shared" si="292"/>
        <v>-0.72972972972972971</v>
      </c>
      <c r="AO89" s="4">
        <f t="shared" si="292"/>
        <v>-0.85901639344262304</v>
      </c>
      <c r="AP89" s="4">
        <f t="shared" si="292"/>
        <v>-0.82889733840304192</v>
      </c>
      <c r="AQ89" s="4">
        <f t="shared" si="292"/>
        <v>-0.78538812785388123</v>
      </c>
      <c r="AR89" s="4">
        <f t="shared" si="292"/>
        <v>-0.81914893617021278</v>
      </c>
      <c r="AS89" s="4">
        <f t="shared" si="292"/>
        <v>-0.54802259887005644</v>
      </c>
      <c r="AT89" s="4">
        <f t="shared" si="292"/>
        <v>-0.9375</v>
      </c>
      <c r="AU89" s="4">
        <f t="shared" si="292"/>
        <v>-0.78048780487804881</v>
      </c>
      <c r="AV89" s="4">
        <f t="shared" si="292"/>
        <v>-0.5803108808290155</v>
      </c>
      <c r="AW89" s="4">
        <f t="shared" si="292"/>
        <v>0</v>
      </c>
      <c r="AX89" s="4">
        <f t="shared" si="292"/>
        <v>-0.66315789473684206</v>
      </c>
      <c r="AY89" s="4">
        <f t="shared" si="292"/>
        <v>-0.63265306122448983</v>
      </c>
      <c r="AZ89" s="4">
        <f t="shared" si="292"/>
        <v>-0.69867549668874174</v>
      </c>
      <c r="BA89" s="4">
        <f t="shared" si="292"/>
        <v>-0.91511936339522537</v>
      </c>
      <c r="BB89" s="4">
        <f t="shared" si="292"/>
        <v>-0.88076923076923075</v>
      </c>
      <c r="BC89" s="4">
        <f t="shared" si="292"/>
        <v>-0.35031847133757965</v>
      </c>
      <c r="BD89" s="4">
        <f t="shared" si="292"/>
        <v>-0.36363636363636359</v>
      </c>
      <c r="BE89" s="4">
        <f t="shared" si="292"/>
        <v>-0.74603174603174605</v>
      </c>
      <c r="BF89" s="4">
        <f t="shared" si="292"/>
        <v>-0.12037037037037035</v>
      </c>
      <c r="BG89" s="4">
        <f t="shared" si="292"/>
        <v>-0.9388379204892966</v>
      </c>
      <c r="BH89" s="4">
        <f t="shared" si="292"/>
        <v>-0.59523809523809523</v>
      </c>
      <c r="BI89" s="4">
        <f t="shared" si="292"/>
        <v>-0.75918367346938775</v>
      </c>
      <c r="BJ89" s="4">
        <f t="shared" si="292"/>
        <v>-0.22314049586776857</v>
      </c>
      <c r="BK89" s="4">
        <f t="shared" si="292"/>
        <v>-0.5</v>
      </c>
      <c r="BL89" s="4">
        <f t="shared" si="292"/>
        <v>-0.77611940298507476</v>
      </c>
      <c r="BM89" s="4">
        <f t="shared" si="292"/>
        <v>-0.2053571428571429</v>
      </c>
      <c r="BN89" s="4">
        <f t="shared" si="292"/>
        <v>-0.42361111111111105</v>
      </c>
      <c r="BO89" s="4">
        <f t="shared" si="285"/>
        <v>-0.14173228346456695</v>
      </c>
      <c r="BP89" s="4">
        <f t="shared" si="285"/>
        <v>-0.42574257425742573</v>
      </c>
      <c r="BQ89" s="4">
        <f t="shared" si="285"/>
        <v>-0.73684210526315785</v>
      </c>
      <c r="BR89" s="4">
        <f t="shared" si="285"/>
        <v>-0.56862745098039214</v>
      </c>
      <c r="BS89" s="4">
        <f t="shared" si="285"/>
        <v>-0.39864864864864863</v>
      </c>
      <c r="BT89" s="4">
        <f t="shared" si="285"/>
        <v>-0.72857142857142854</v>
      </c>
      <c r="BU89" s="4">
        <f t="shared" si="285"/>
        <v>-0.64534883720930225</v>
      </c>
      <c r="BV89" s="4">
        <f t="shared" si="285"/>
        <v>-0.55670103092783507</v>
      </c>
      <c r="BW89" s="4">
        <f t="shared" si="285"/>
        <v>-0.76811594202898548</v>
      </c>
      <c r="BX89" s="4">
        <f t="shared" si="285"/>
        <v>-0.6404494382022472</v>
      </c>
      <c r="BY89" s="4">
        <f t="shared" si="285"/>
        <v>-0.7342995169082126</v>
      </c>
      <c r="BZ89" s="4">
        <f t="shared" si="285"/>
        <v>-0.2214285714285715</v>
      </c>
      <c r="CA89" s="4">
        <f t="shared" si="285"/>
        <v>-0.38938053097345127</v>
      </c>
      <c r="CB89" s="4">
        <f t="shared" si="285"/>
        <v>-0.19642857142857148</v>
      </c>
      <c r="CC89" s="4">
        <f t="shared" si="285"/>
        <v>-0.33783783783783777</v>
      </c>
      <c r="CD89" s="4">
        <f t="shared" si="285"/>
        <v>-0.40157480314960631</v>
      </c>
      <c r="CE89" s="4">
        <f t="shared" si="285"/>
        <v>-0.58156028368794321</v>
      </c>
      <c r="CF89" s="4">
        <f t="shared" si="285"/>
        <v>-0.37984496124031009</v>
      </c>
      <c r="CG89" s="4">
        <f t="shared" si="285"/>
        <v>-0.38167938931297712</v>
      </c>
      <c r="CH89" s="4">
        <f t="shared" si="285"/>
        <v>-0.56643356643356635</v>
      </c>
      <c r="CI89" s="4">
        <f t="shared" si="285"/>
        <v>-0.1411764705882354</v>
      </c>
      <c r="CJ89" s="4">
        <f t="shared" si="285"/>
        <v>-8.8709677419354802E-2</v>
      </c>
      <c r="CK89" s="4">
        <f t="shared" si="285"/>
        <v>-0.46405228758169931</v>
      </c>
      <c r="CL89" s="4">
        <f t="shared" si="285"/>
        <v>-0.40372670807453415</v>
      </c>
      <c r="CM89" s="4">
        <f t="shared" si="285"/>
        <v>-0.13740458015267176</v>
      </c>
      <c r="CN89" s="4">
        <f t="shared" si="285"/>
        <v>-0.49295774647887325</v>
      </c>
      <c r="CO89" s="4">
        <f t="shared" si="285"/>
        <v>-0.44242424242424244</v>
      </c>
      <c r="CP89" s="4">
        <f t="shared" si="285"/>
        <v>-0.52500000000000002</v>
      </c>
      <c r="CQ89" s="4">
        <f t="shared" si="285"/>
        <v>-0.5467625899280576</v>
      </c>
      <c r="CR89" s="4">
        <f t="shared" si="285"/>
        <v>-0.47826086956521735</v>
      </c>
      <c r="CS89" s="4">
        <f t="shared" si="285"/>
        <v>-0.53233830845771146</v>
      </c>
      <c r="CT89" s="4">
        <f t="shared" si="285"/>
        <v>-0.58490566037735847</v>
      </c>
      <c r="CU89" s="4">
        <f t="shared" si="285"/>
        <v>-0.55837563451776651</v>
      </c>
      <c r="CV89" s="4">
        <f t="shared" si="285"/>
        <v>-0.62637362637362637</v>
      </c>
      <c r="CW89" s="4">
        <f t="shared" si="285"/>
        <v>-0.4</v>
      </c>
      <c r="CX89" s="4">
        <f t="shared" si="285"/>
        <v>-0.65359477124183007</v>
      </c>
      <c r="CY89" s="4">
        <f t="shared" si="285"/>
        <v>-0.87447698744769875</v>
      </c>
      <c r="CZ89" s="4">
        <f t="shared" si="285"/>
        <v>-0.87083333333333335</v>
      </c>
      <c r="DA89" s="4">
        <f t="shared" si="285"/>
        <v>-0.91082802547770692</v>
      </c>
      <c r="DB89" s="4">
        <f t="shared" si="285"/>
        <v>-0.88235294117647067</v>
      </c>
      <c r="DC89" s="4">
        <f t="shared" si="285"/>
        <v>-0.56923076923076932</v>
      </c>
      <c r="DD89" s="4">
        <f t="shared" si="285"/>
        <v>-0.60465116279069764</v>
      </c>
      <c r="DE89" s="4">
        <f t="shared" si="285"/>
        <v>-0.26315789473684204</v>
      </c>
      <c r="DF89" s="4">
        <f t="shared" si="285"/>
        <v>-0.63888888888888895</v>
      </c>
      <c r="DG89" s="4">
        <f t="shared" si="285"/>
        <v>-0.80597014925373134</v>
      </c>
      <c r="DH89" s="4">
        <f t="shared" si="285"/>
        <v>-0.18918918918918917</v>
      </c>
      <c r="DI89" s="4">
        <f t="shared" si="285"/>
        <v>-0.91477272727272718</v>
      </c>
      <c r="DJ89" s="4">
        <f t="shared" si="285"/>
        <v>-0.82539682539682535</v>
      </c>
      <c r="DK89" s="4">
        <f t="shared" si="285"/>
        <v>-0.80327868852459017</v>
      </c>
      <c r="DL89" s="4">
        <f t="shared" si="285"/>
        <v>-0.7696629213483146</v>
      </c>
      <c r="DM89" s="4">
        <f t="shared" si="285"/>
        <v>-0.83181818181818179</v>
      </c>
      <c r="DN89" s="4">
        <f t="shared" si="285"/>
        <v>-0.80737704918032793</v>
      </c>
      <c r="DO89" s="4">
        <f t="shared" si="285"/>
        <v>-0.89729729729729735</v>
      </c>
      <c r="DP89" s="4">
        <f t="shared" si="285"/>
        <v>-0.86742424242424243</v>
      </c>
      <c r="DQ89" s="4">
        <f t="shared" si="285"/>
        <v>-0.75652173913043486</v>
      </c>
      <c r="DR89" s="4">
        <f t="shared" si="285"/>
        <v>-0.73658536585365852</v>
      </c>
      <c r="DS89" s="4">
        <f t="shared" si="285"/>
        <v>-0.32954545454545453</v>
      </c>
      <c r="DT89" s="4">
        <f t="shared" si="285"/>
        <v>-0.12676056338028163</v>
      </c>
      <c r="DU89" s="4">
        <f t="shared" si="285"/>
        <v>-0.40677966101694907</v>
      </c>
      <c r="DV89" s="4">
        <f t="shared" si="285"/>
        <v>-0.79144385026737962</v>
      </c>
      <c r="DW89" s="4">
        <f t="shared" si="285"/>
        <v>-0.75877192982456143</v>
      </c>
      <c r="DX89" s="4">
        <f t="shared" si="285"/>
        <v>-0.5</v>
      </c>
      <c r="DY89" s="4">
        <f t="shared" si="285"/>
        <v>-0.89690721649484551</v>
      </c>
      <c r="DZ89" s="4">
        <f t="shared" ref="DZ89:FB89" si="295">(DZ81-DZ69)/DZ69</f>
        <v>-0.88372093023255816</v>
      </c>
      <c r="EA89" s="4">
        <f t="shared" si="295"/>
        <v>-0.89538461538461545</v>
      </c>
      <c r="EB89" s="4">
        <f t="shared" si="295"/>
        <v>-0.84297520661157022</v>
      </c>
      <c r="EC89" s="4">
        <f t="shared" si="295"/>
        <v>-0.79661016949152552</v>
      </c>
      <c r="ED89" s="4">
        <f t="shared" si="295"/>
        <v>-0.88656716417910453</v>
      </c>
      <c r="EE89" s="4">
        <f t="shared" si="295"/>
        <v>-0.86250000000000004</v>
      </c>
      <c r="EF89" s="4">
        <f t="shared" si="295"/>
        <v>-0.87500000000000011</v>
      </c>
      <c r="EG89" s="4">
        <f t="shared" si="295"/>
        <v>-0.84666666666666668</v>
      </c>
      <c r="EH89" s="4">
        <f t="shared" si="295"/>
        <v>-0.74093264248704671</v>
      </c>
      <c r="EI89" s="4">
        <f t="shared" si="295"/>
        <v>-0.73513513513513518</v>
      </c>
      <c r="EJ89" s="4">
        <f t="shared" si="295"/>
        <v>-0.82266009852216748</v>
      </c>
      <c r="EK89" s="4">
        <f t="shared" si="295"/>
        <v>-0.68789808917197448</v>
      </c>
      <c r="EL89" s="4">
        <f t="shared" si="295"/>
        <v>-0.79310344827586199</v>
      </c>
      <c r="EM89" s="4">
        <f t="shared" si="295"/>
        <v>-0.75500000000000012</v>
      </c>
      <c r="EN89" s="4">
        <f t="shared" si="295"/>
        <v>-0.75531914893617025</v>
      </c>
      <c r="EO89" s="4">
        <f t="shared" si="295"/>
        <v>-0.69597069597069594</v>
      </c>
      <c r="EP89" s="4">
        <f t="shared" si="295"/>
        <v>-0.78623188405797106</v>
      </c>
      <c r="EQ89" s="4">
        <f t="shared" si="295"/>
        <v>-0.80073800738007384</v>
      </c>
      <c r="ER89" s="4">
        <f t="shared" si="295"/>
        <v>-0.81428571428571428</v>
      </c>
      <c r="ES89" s="4">
        <f t="shared" si="295"/>
        <v>-0.60109289617486339</v>
      </c>
      <c r="ET89" s="4">
        <f t="shared" si="295"/>
        <v>-0.48672566371681414</v>
      </c>
      <c r="EU89" s="4">
        <f t="shared" si="295"/>
        <v>-0.91648351648351656</v>
      </c>
      <c r="EV89" s="4">
        <f t="shared" si="295"/>
        <v>-0.87456445993031362</v>
      </c>
      <c r="EW89" s="4">
        <f t="shared" si="295"/>
        <v>-0.81981981981981977</v>
      </c>
      <c r="EX89" s="4">
        <f t="shared" si="295"/>
        <v>-0.86254295532646053</v>
      </c>
      <c r="EY89" s="4">
        <f t="shared" si="295"/>
        <v>-0.90055248618784534</v>
      </c>
      <c r="EZ89" s="4">
        <f t="shared" si="295"/>
        <v>-0.79352226720647778</v>
      </c>
      <c r="FA89" s="4">
        <f t="shared" si="295"/>
        <v>-0.77310924369747902</v>
      </c>
      <c r="FB89" s="4">
        <f t="shared" si="295"/>
        <v>-0.75132275132275139</v>
      </c>
      <c r="FC89" s="4">
        <f t="shared" ref="FC89:FD89" si="296">(FC81-FC69)/FC69</f>
        <v>-0.41025641025641024</v>
      </c>
      <c r="FD89" s="4">
        <f t="shared" si="296"/>
        <v>-0.72558139534883725</v>
      </c>
      <c r="FE89" s="4">
        <f t="shared" ref="FE89:FF89" si="297">(FE81-FE69)/FE69</f>
        <v>-0.65193370165745856</v>
      </c>
      <c r="FF89" s="4">
        <f t="shared" si="297"/>
        <v>-0.60869565217391308</v>
      </c>
      <c r="FG89" s="4"/>
      <c r="FH89" s="4"/>
      <c r="FI89" s="4"/>
      <c r="FJ89" s="4"/>
      <c r="FK89" s="4"/>
      <c r="FL89" s="4"/>
    </row>
    <row r="90" spans="1:168" x14ac:dyDescent="0.3">
      <c r="A90" t="s">
        <v>239</v>
      </c>
      <c r="B90" s="4">
        <v>0.28199999999999997</v>
      </c>
      <c r="C90" s="4">
        <v>0.33800000000000002</v>
      </c>
      <c r="D90" s="4">
        <v>0.28999999999999998</v>
      </c>
      <c r="E90" s="4">
        <v>0.23799999999999999</v>
      </c>
      <c r="F90" s="4">
        <v>0.254</v>
      </c>
      <c r="G90" s="4">
        <v>0.27400000000000002</v>
      </c>
      <c r="H90" s="4">
        <v>0.26400000000000001</v>
      </c>
      <c r="I90" s="4">
        <v>0.52200000000000002</v>
      </c>
      <c r="J90" s="4">
        <v>0.29299999999999998</v>
      </c>
      <c r="K90" s="4">
        <v>0.745</v>
      </c>
      <c r="L90" s="4">
        <v>0.69299999999999995</v>
      </c>
      <c r="M90" s="4">
        <v>0.57699999999999996</v>
      </c>
      <c r="N90" s="4">
        <v>0.64</v>
      </c>
      <c r="O90" s="4">
        <v>0.45500000000000002</v>
      </c>
      <c r="P90" s="4">
        <v>0.84899999999999998</v>
      </c>
      <c r="Q90" s="4">
        <v>0.879</v>
      </c>
      <c r="R90" s="4">
        <v>0.318</v>
      </c>
      <c r="S90" s="4">
        <v>0.54300000000000004</v>
      </c>
      <c r="T90" s="4">
        <v>0.622</v>
      </c>
      <c r="U90" s="4">
        <v>0.58699999999999997</v>
      </c>
      <c r="V90" s="4">
        <v>0.35199999999999998</v>
      </c>
      <c r="W90" s="4">
        <v>0.45300000000000001</v>
      </c>
      <c r="X90" s="4">
        <v>0.45100000000000001</v>
      </c>
      <c r="Y90" s="4">
        <v>0.35</v>
      </c>
      <c r="Z90" s="4">
        <v>0.52400000000000002</v>
      </c>
      <c r="AA90" s="4">
        <v>0.46200000000000002</v>
      </c>
      <c r="AB90" s="4">
        <v>0.40500000000000003</v>
      </c>
      <c r="AC90" s="4">
        <v>0.50700000000000001</v>
      </c>
      <c r="AD90" s="4">
        <v>0.59499999999999997</v>
      </c>
      <c r="AE90" s="4">
        <v>0.40500000000000003</v>
      </c>
      <c r="AF90" s="4">
        <v>0.42399999999999999</v>
      </c>
      <c r="AG90" s="4">
        <v>0.86299999999999999</v>
      </c>
      <c r="AH90" s="4">
        <v>0.81299999999999994</v>
      </c>
      <c r="AI90" s="4">
        <v>0.90800000000000003</v>
      </c>
      <c r="AJ90" s="4">
        <v>0.40300000000000002</v>
      </c>
      <c r="AK90" s="4">
        <v>0.39200000000000002</v>
      </c>
      <c r="AL90" s="4">
        <v>0.28399999999999997</v>
      </c>
      <c r="AM90" s="4">
        <v>0.53300000000000003</v>
      </c>
      <c r="AN90" s="4">
        <v>0.57999999999999996</v>
      </c>
      <c r="AO90" s="4">
        <v>0.66300000000000003</v>
      </c>
      <c r="AP90" s="4">
        <v>0.84699999999999998</v>
      </c>
      <c r="AQ90" s="4">
        <v>0.78300000000000003</v>
      </c>
      <c r="AR90" s="4">
        <v>0.79400000000000004</v>
      </c>
      <c r="AS90" s="4">
        <v>0.63300000000000001</v>
      </c>
      <c r="AT90" s="4">
        <v>0.78300000000000003</v>
      </c>
      <c r="AU90" s="4">
        <v>0.48499999999999999</v>
      </c>
      <c r="AV90" s="4">
        <v>0.59</v>
      </c>
      <c r="AW90" s="4">
        <v>0.68700000000000006</v>
      </c>
      <c r="AX90" s="8">
        <v>0.60099999999999998</v>
      </c>
      <c r="AY90" s="4">
        <v>0.68100000000000005</v>
      </c>
      <c r="AZ90" s="4">
        <v>0.78600000000000003</v>
      </c>
      <c r="BA90" s="8">
        <v>3.7999999999999999E-2</v>
      </c>
      <c r="BB90" s="8">
        <v>0.68899999999999995</v>
      </c>
      <c r="BC90" s="8">
        <v>0.27600000000000002</v>
      </c>
      <c r="BD90" s="8">
        <v>0.23899999999999999</v>
      </c>
      <c r="BE90" s="4">
        <v>0.78100000000000003</v>
      </c>
      <c r="BF90" s="4">
        <v>0.191</v>
      </c>
      <c r="BG90" s="4">
        <v>0.77400000000000002</v>
      </c>
      <c r="BH90" s="4">
        <v>0.65500000000000003</v>
      </c>
      <c r="BI90" s="4">
        <v>0.68600000000000005</v>
      </c>
      <c r="BJ90" s="4">
        <v>0.314</v>
      </c>
      <c r="BK90" s="4">
        <v>0.503</v>
      </c>
      <c r="BL90" s="4">
        <v>0.60699999999999998</v>
      </c>
      <c r="BM90" s="4">
        <v>0.17499999999999999</v>
      </c>
      <c r="BN90" s="4">
        <v>0.34699999999999998</v>
      </c>
      <c r="BO90" s="4">
        <v>0.24</v>
      </c>
      <c r="BP90" s="4">
        <v>0.28499999999999998</v>
      </c>
      <c r="BQ90" s="8">
        <v>0.35499999999999998</v>
      </c>
      <c r="BR90" s="4">
        <v>0.42799999999999999</v>
      </c>
      <c r="BS90" s="4">
        <v>0.32600000000000001</v>
      </c>
      <c r="BT90" s="3">
        <v>0.70399999999999996</v>
      </c>
      <c r="BU90" s="3">
        <v>0.73899999999999999</v>
      </c>
      <c r="BV90" s="3">
        <v>0.42399999999999999</v>
      </c>
      <c r="BW90" s="4">
        <v>0.78400000000000003</v>
      </c>
      <c r="BX90" s="4">
        <v>0.629</v>
      </c>
      <c r="BY90" s="3">
        <v>0.77100000000000002</v>
      </c>
      <c r="BZ90" s="4">
        <v>0.27100000000000002</v>
      </c>
      <c r="CA90" s="4">
        <v>0.28499999999999998</v>
      </c>
      <c r="CB90" s="4">
        <v>0.22800000000000001</v>
      </c>
      <c r="CC90" s="4">
        <v>0.30299999999999999</v>
      </c>
      <c r="CD90" s="4">
        <v>0.31</v>
      </c>
      <c r="CE90" s="4">
        <v>0.33500000000000002</v>
      </c>
      <c r="CF90" s="4">
        <v>0.33200000000000002</v>
      </c>
      <c r="CG90" s="4">
        <v>0.40799999999999997</v>
      </c>
      <c r="CH90" s="4">
        <v>0.30099999999999999</v>
      </c>
      <c r="CI90" s="4">
        <v>0.23699999999999999</v>
      </c>
      <c r="CJ90" s="4">
        <v>0.26400000000000001</v>
      </c>
      <c r="CK90" s="4">
        <v>0.34200000000000003</v>
      </c>
      <c r="CL90" s="4">
        <v>0.28499999999999998</v>
      </c>
      <c r="CM90" s="4">
        <v>0.19700000000000001</v>
      </c>
      <c r="CN90" s="4">
        <v>0.372</v>
      </c>
      <c r="CO90" s="4">
        <v>0.37</v>
      </c>
      <c r="CP90" s="4">
        <v>0.312</v>
      </c>
      <c r="CQ90" s="4">
        <v>0.371</v>
      </c>
      <c r="CR90" s="4">
        <v>0.435</v>
      </c>
      <c r="CS90" s="4">
        <v>0.45</v>
      </c>
      <c r="CT90" s="4">
        <v>0.313</v>
      </c>
      <c r="CU90" s="4">
        <v>0.39900000000000002</v>
      </c>
      <c r="CV90" s="4">
        <v>0.52200000000000002</v>
      </c>
      <c r="CW90" s="4">
        <v>0.436</v>
      </c>
      <c r="CX90" s="4">
        <v>0.39700000000000002</v>
      </c>
      <c r="CY90" s="8">
        <v>0.67500000000000004</v>
      </c>
      <c r="CZ90" s="4">
        <v>0.59499999999999997</v>
      </c>
      <c r="DA90" s="4">
        <v>0.85799999999999998</v>
      </c>
      <c r="DB90" s="4">
        <v>0.65800000000000003</v>
      </c>
      <c r="DC90" s="8">
        <v>0.29299999999999998</v>
      </c>
      <c r="DD90" s="4">
        <v>0.42899999999999999</v>
      </c>
      <c r="DE90" s="8">
        <v>3.0000000000000001E-3</v>
      </c>
      <c r="DF90" s="4">
        <v>0.50600000000000001</v>
      </c>
      <c r="DG90" s="4">
        <v>0.22800000000000001</v>
      </c>
      <c r="DH90" s="8">
        <v>0.20699999999999999</v>
      </c>
      <c r="DI90" s="8">
        <v>0.01</v>
      </c>
      <c r="DJ90" s="8">
        <v>0.58199999999999996</v>
      </c>
      <c r="DK90" s="4">
        <v>0.57499999999999996</v>
      </c>
      <c r="DL90" s="8">
        <v>0.63500000000000001</v>
      </c>
      <c r="DM90" s="8">
        <v>0.67300000000000004</v>
      </c>
      <c r="DN90" s="8">
        <v>0.432</v>
      </c>
      <c r="DO90" s="8">
        <v>0.65</v>
      </c>
      <c r="DP90" s="8">
        <v>0.75</v>
      </c>
      <c r="DQ90" s="8">
        <v>0.47</v>
      </c>
      <c r="DR90" s="4">
        <v>0.81899999999999995</v>
      </c>
      <c r="DS90" s="4">
        <v>0.46600000000000003</v>
      </c>
      <c r="DT90" s="10">
        <v>0.129</v>
      </c>
      <c r="DU90" s="4">
        <v>0.42399999999999999</v>
      </c>
      <c r="DV90" s="4">
        <v>0.69499999999999995</v>
      </c>
      <c r="DW90" s="4">
        <v>0.61399999999999999</v>
      </c>
      <c r="DX90" s="8">
        <v>0.27300000000000002</v>
      </c>
      <c r="DY90" s="4">
        <v>0.68899999999999995</v>
      </c>
      <c r="DZ90" s="8">
        <v>0.68799999999999994</v>
      </c>
      <c r="EA90" s="4">
        <v>0.75600000000000001</v>
      </c>
      <c r="EB90" s="4">
        <v>0.57899999999999996</v>
      </c>
      <c r="EC90" s="4">
        <v>0.58499999999999996</v>
      </c>
      <c r="ED90" s="4">
        <v>0.71499999999999997</v>
      </c>
      <c r="EE90" s="4">
        <v>0.65</v>
      </c>
      <c r="EF90" s="4">
        <v>0.504</v>
      </c>
      <c r="EG90" s="4">
        <v>0.53100000000000003</v>
      </c>
      <c r="EH90" s="8">
        <v>1.2E-2</v>
      </c>
      <c r="EI90" s="4">
        <v>0.66400000000000003</v>
      </c>
      <c r="EJ90" s="4">
        <v>0.72399999999999998</v>
      </c>
      <c r="EK90" s="8">
        <v>0.55800000000000005</v>
      </c>
      <c r="EL90" s="4">
        <v>0.68</v>
      </c>
      <c r="EM90" s="4">
        <v>0.67100000000000004</v>
      </c>
      <c r="EN90" s="4">
        <v>0.71499999999999997</v>
      </c>
      <c r="EO90" s="4">
        <v>0.51800000000000002</v>
      </c>
      <c r="EP90" s="4">
        <v>0.56599999999999995</v>
      </c>
      <c r="EQ90" s="4">
        <v>0.53300000000000003</v>
      </c>
      <c r="ER90" s="4">
        <v>0.64900000000000002</v>
      </c>
      <c r="ES90" s="4">
        <v>0.38200000000000001</v>
      </c>
      <c r="ET90" s="4">
        <v>0.35799999999999998</v>
      </c>
      <c r="EU90" s="4">
        <v>0.95499999999999996</v>
      </c>
      <c r="EV90" s="4">
        <v>0.80600000000000005</v>
      </c>
      <c r="EW90" s="4">
        <v>0.71799999999999997</v>
      </c>
      <c r="EX90" s="4">
        <v>0.78400000000000003</v>
      </c>
      <c r="EY90" s="4">
        <v>0.90200000000000002</v>
      </c>
      <c r="EZ90" s="4">
        <v>0.64600000000000002</v>
      </c>
      <c r="FA90" s="8">
        <v>0.59499999999999997</v>
      </c>
      <c r="FB90" s="4">
        <v>0.66200000000000003</v>
      </c>
      <c r="FC90" s="4">
        <v>0.40200000000000002</v>
      </c>
      <c r="FD90" s="4">
        <v>0.63900000000000001</v>
      </c>
      <c r="FE90" s="4">
        <v>0.59399999999999997</v>
      </c>
      <c r="FF90" s="4">
        <v>0.39500000000000002</v>
      </c>
      <c r="FG90" s="4"/>
      <c r="FH90" s="4"/>
      <c r="FI90" s="4"/>
      <c r="FJ90" s="4"/>
      <c r="FK90" s="4"/>
      <c r="FL90" s="4"/>
    </row>
    <row r="91" spans="1:168" x14ac:dyDescent="0.3">
      <c r="A91" t="s">
        <v>240</v>
      </c>
      <c r="B91" s="4">
        <v>0.72599999999999998</v>
      </c>
      <c r="C91" s="4">
        <v>0.65700000000000003</v>
      </c>
      <c r="D91" s="4">
        <v>0.70199999999999996</v>
      </c>
      <c r="E91" s="4">
        <v>0.76</v>
      </c>
      <c r="F91" s="4">
        <v>0.73899999999999999</v>
      </c>
      <c r="G91" s="4">
        <v>0.74099999999999999</v>
      </c>
      <c r="H91" s="4">
        <v>0.78100000000000003</v>
      </c>
      <c r="I91" s="4">
        <v>0.48899999999999999</v>
      </c>
      <c r="J91" s="4">
        <v>0.71599999999999997</v>
      </c>
      <c r="K91" s="4">
        <v>0.26</v>
      </c>
      <c r="L91" s="4">
        <v>0.29499999999999998</v>
      </c>
      <c r="M91" s="4">
        <v>0.503</v>
      </c>
      <c r="N91" s="4">
        <v>0.35799999999999998</v>
      </c>
      <c r="O91" s="4">
        <v>0.498</v>
      </c>
      <c r="P91" s="4">
        <v>0.151</v>
      </c>
      <c r="Q91" s="4">
        <v>0.11700000000000001</v>
      </c>
      <c r="R91" s="4">
        <v>0.68300000000000005</v>
      </c>
      <c r="S91" s="4">
        <v>0.52600000000000002</v>
      </c>
      <c r="T91" s="4">
        <v>0.39500000000000002</v>
      </c>
      <c r="U91" s="4">
        <v>0.46600000000000003</v>
      </c>
      <c r="V91" s="4">
        <v>0.69799999999999995</v>
      </c>
      <c r="W91" s="4">
        <v>0.58799999999999997</v>
      </c>
      <c r="X91" s="4">
        <v>0.505</v>
      </c>
      <c r="Y91" s="4">
        <v>0.72299999999999998</v>
      </c>
      <c r="Z91" s="4">
        <v>0.5</v>
      </c>
      <c r="AA91" s="4">
        <v>0.56699999999999995</v>
      </c>
      <c r="AB91" s="4">
        <v>0.6</v>
      </c>
      <c r="AC91" s="4">
        <v>0.57499999999999996</v>
      </c>
      <c r="AD91" s="4">
        <v>0.46400000000000002</v>
      </c>
      <c r="AE91" s="4">
        <v>0.65500000000000003</v>
      </c>
      <c r="AF91" s="4">
        <v>0.65</v>
      </c>
      <c r="AG91" s="4">
        <v>0.16</v>
      </c>
      <c r="AH91" s="4">
        <v>0.188</v>
      </c>
      <c r="AI91" s="4">
        <v>0.12</v>
      </c>
      <c r="AJ91" s="4">
        <v>0.749</v>
      </c>
      <c r="AK91" s="4">
        <v>0.76400000000000001</v>
      </c>
      <c r="AL91" s="4">
        <v>0.74099999999999999</v>
      </c>
      <c r="AM91" s="4">
        <v>0.47399999999999998</v>
      </c>
      <c r="AN91" s="4">
        <v>0.503</v>
      </c>
      <c r="AO91" s="4">
        <v>0.35</v>
      </c>
      <c r="AP91" s="4">
        <v>0.15</v>
      </c>
      <c r="AQ91" s="4">
        <v>0.221</v>
      </c>
      <c r="AR91" s="4">
        <v>0.21</v>
      </c>
      <c r="AS91" s="4">
        <v>0.39</v>
      </c>
      <c r="AT91" s="4">
        <v>0.16</v>
      </c>
      <c r="AU91" s="4">
        <v>0.51700000000000002</v>
      </c>
      <c r="AV91" s="4">
        <v>0.44</v>
      </c>
      <c r="AW91" s="4">
        <v>0.315</v>
      </c>
      <c r="AX91" s="8">
        <v>0.438</v>
      </c>
      <c r="AY91" s="4">
        <v>0.38600000000000001</v>
      </c>
      <c r="AZ91" s="4">
        <v>0.21199999999999999</v>
      </c>
      <c r="BA91" s="8">
        <v>0.60299999999999998</v>
      </c>
      <c r="BB91" s="8">
        <v>0.309</v>
      </c>
      <c r="BC91" s="8">
        <v>0.72499999999999998</v>
      </c>
      <c r="BD91" s="8">
        <v>0.77600000000000002</v>
      </c>
      <c r="BE91" s="4">
        <v>0.223</v>
      </c>
      <c r="BF91" s="4">
        <v>0.81499999999999995</v>
      </c>
      <c r="BG91" s="4">
        <v>0.217</v>
      </c>
      <c r="BH91" s="4">
        <v>0.35</v>
      </c>
      <c r="BI91" s="4">
        <v>0.39700000000000002</v>
      </c>
      <c r="BJ91" s="4">
        <v>0.71599999999999997</v>
      </c>
      <c r="BK91" s="4">
        <v>0.60799999999999998</v>
      </c>
      <c r="BL91" s="4">
        <v>0.44</v>
      </c>
      <c r="BM91" s="4">
        <v>0.82499999999999996</v>
      </c>
      <c r="BN91" s="4">
        <v>0.69599999999999995</v>
      </c>
      <c r="BO91" s="4">
        <v>0.76</v>
      </c>
      <c r="BP91" s="4">
        <v>0.72499999999999998</v>
      </c>
      <c r="BQ91" s="8">
        <v>0.67400000000000004</v>
      </c>
      <c r="BR91" s="4">
        <v>0.60499999999999998</v>
      </c>
      <c r="BS91" s="4">
        <v>0.71</v>
      </c>
      <c r="BT91" s="3">
        <v>0.29799999999999999</v>
      </c>
      <c r="BU91" s="3">
        <v>0.33500000000000002</v>
      </c>
      <c r="BV91" s="3">
        <v>0.68400000000000005</v>
      </c>
      <c r="BW91" s="4">
        <v>0.214</v>
      </c>
      <c r="BX91" s="4">
        <v>0.38300000000000001</v>
      </c>
      <c r="BY91" s="3">
        <v>0.22900000000000001</v>
      </c>
      <c r="BZ91" s="4">
        <v>0.77600000000000002</v>
      </c>
      <c r="CA91" s="4">
        <v>0.749</v>
      </c>
      <c r="CB91" s="4">
        <v>0.76</v>
      </c>
      <c r="CC91" s="4">
        <v>0.72099999999999997</v>
      </c>
      <c r="CD91" s="4">
        <v>0.72199999999999998</v>
      </c>
      <c r="CE91" s="4">
        <v>0.69899999999999995</v>
      </c>
      <c r="CF91" s="4">
        <v>0.67600000000000005</v>
      </c>
      <c r="CG91" s="4">
        <v>0.67400000000000004</v>
      </c>
      <c r="CH91" s="4">
        <v>0.72599999999999998</v>
      </c>
      <c r="CI91" s="4">
        <v>0.747</v>
      </c>
      <c r="CJ91" s="4">
        <v>0.755</v>
      </c>
      <c r="CK91" s="4">
        <v>0.68200000000000005</v>
      </c>
      <c r="CL91" s="4">
        <v>0.68300000000000005</v>
      </c>
      <c r="CM91" s="4">
        <v>0.78900000000000003</v>
      </c>
      <c r="CN91" s="4">
        <v>0.66500000000000004</v>
      </c>
      <c r="CO91" s="4">
        <v>0.64</v>
      </c>
      <c r="CP91" s="4">
        <v>0.67400000000000004</v>
      </c>
      <c r="CQ91" s="4">
        <v>0.65100000000000002</v>
      </c>
      <c r="CR91" s="4">
        <v>0.59499999999999997</v>
      </c>
      <c r="CS91" s="4">
        <v>0.55800000000000005</v>
      </c>
      <c r="CT91" s="4">
        <v>0.67500000000000004</v>
      </c>
      <c r="CU91" s="4">
        <v>0.60799999999999998</v>
      </c>
      <c r="CV91" s="4">
        <v>0.47399999999999998</v>
      </c>
      <c r="CW91" s="4">
        <v>0.55700000000000005</v>
      </c>
      <c r="CX91" s="4">
        <v>0.61399999999999999</v>
      </c>
      <c r="CY91" s="8">
        <v>0.36899999999999999</v>
      </c>
      <c r="CZ91" s="4">
        <v>0.42099999999999999</v>
      </c>
      <c r="DA91" s="4">
        <v>0.14099999999999999</v>
      </c>
      <c r="DB91" s="4">
        <v>0.43099999999999999</v>
      </c>
      <c r="DC91" s="8">
        <v>0.67400000000000004</v>
      </c>
      <c r="DD91" s="4">
        <v>0.6</v>
      </c>
      <c r="DE91" s="8">
        <v>0.97</v>
      </c>
      <c r="DF91" s="4">
        <v>0.52900000000000003</v>
      </c>
      <c r="DG91" s="4">
        <v>0.76600000000000001</v>
      </c>
      <c r="DH91" s="8">
        <v>0.83399999999999996</v>
      </c>
      <c r="DI91" s="8">
        <v>0.79100000000000004</v>
      </c>
      <c r="DJ91" s="8">
        <v>0.36</v>
      </c>
      <c r="DK91" s="4">
        <v>0.4</v>
      </c>
      <c r="DL91" s="8">
        <v>0.33900000000000002</v>
      </c>
      <c r="DM91" s="8">
        <v>0.28399999999999997</v>
      </c>
      <c r="DN91" s="8">
        <v>0.59199999999999997</v>
      </c>
      <c r="DO91" s="8">
        <v>0.46899999999999997</v>
      </c>
      <c r="DP91" s="8">
        <v>0.33500000000000002</v>
      </c>
      <c r="DQ91" s="8">
        <v>0.65100000000000002</v>
      </c>
      <c r="DR91" s="4">
        <v>0.32900000000000001</v>
      </c>
      <c r="DS91" s="4">
        <v>0.66400000000000003</v>
      </c>
      <c r="DT91" s="10">
        <v>0.88700000000000001</v>
      </c>
      <c r="DU91" s="4">
        <v>0.57799999999999996</v>
      </c>
      <c r="DV91" s="4">
        <v>0.36599999999999999</v>
      </c>
      <c r="DW91" s="4">
        <v>0.38100000000000001</v>
      </c>
      <c r="DX91" s="8">
        <v>0.749</v>
      </c>
      <c r="DY91" s="4">
        <v>0.40300000000000002</v>
      </c>
      <c r="DZ91" s="8">
        <v>0.32300000000000001</v>
      </c>
      <c r="EA91" s="4">
        <v>0.26500000000000001</v>
      </c>
      <c r="EB91" s="4">
        <v>0.41899999999999998</v>
      </c>
      <c r="EC91" s="4">
        <v>0.41699999999999998</v>
      </c>
      <c r="ED91" s="4">
        <v>0.28899999999999998</v>
      </c>
      <c r="EE91" s="4">
        <v>0.35099999999999998</v>
      </c>
      <c r="EF91" s="4">
        <v>0.5</v>
      </c>
      <c r="EG91" s="4">
        <v>0.47099999999999997</v>
      </c>
      <c r="EH91" s="8">
        <v>0.45300000000000001</v>
      </c>
      <c r="EI91" s="4">
        <v>0.34699999999999998</v>
      </c>
      <c r="EJ91" s="4">
        <v>0.30099999999999999</v>
      </c>
      <c r="EK91" s="8">
        <v>0.46899999999999997</v>
      </c>
      <c r="EL91" s="4">
        <v>0.33900000000000002</v>
      </c>
      <c r="EM91" s="4">
        <v>0.36499999999999999</v>
      </c>
      <c r="EN91" s="4">
        <v>0.33</v>
      </c>
      <c r="EO91" s="4">
        <v>0.5</v>
      </c>
      <c r="EP91" s="4">
        <v>0.44600000000000001</v>
      </c>
      <c r="EQ91" s="4">
        <v>0.51600000000000001</v>
      </c>
      <c r="ER91" s="4">
        <v>0.39700000000000002</v>
      </c>
      <c r="ES91" s="4">
        <v>0.59799999999999998</v>
      </c>
      <c r="ET91" s="4">
        <v>0.627</v>
      </c>
      <c r="EU91" s="4">
        <v>4.4999999999999998E-2</v>
      </c>
      <c r="EV91" s="4">
        <v>0.19500000000000001</v>
      </c>
      <c r="EW91" s="4">
        <v>0.28199999999999997</v>
      </c>
      <c r="EX91" s="4">
        <v>0.193</v>
      </c>
      <c r="EY91" s="4">
        <v>0.10100000000000001</v>
      </c>
      <c r="EZ91" s="4">
        <v>0.38400000000000001</v>
      </c>
      <c r="FA91" s="8">
        <v>0.45800000000000002</v>
      </c>
      <c r="FB91" s="4">
        <v>0.35199999999999998</v>
      </c>
      <c r="FC91" s="4">
        <v>0.58099999999999996</v>
      </c>
      <c r="FD91" s="4">
        <v>0.373</v>
      </c>
      <c r="FE91" s="4">
        <v>0.42199999999999999</v>
      </c>
      <c r="FF91" s="4">
        <v>0.56899999999999995</v>
      </c>
      <c r="FG91" s="4"/>
      <c r="FH91" s="4"/>
      <c r="FI91" s="4"/>
      <c r="FJ91" s="4"/>
      <c r="FK91" s="4"/>
      <c r="FL91" s="4"/>
    </row>
    <row r="92" spans="1:168" x14ac:dyDescent="0.3">
      <c r="A92" t="s">
        <v>176</v>
      </c>
      <c r="B92" s="4">
        <f t="shared" ref="B92:AG92" si="298">B90/B91</f>
        <v>0.38842975206611569</v>
      </c>
      <c r="C92" s="4">
        <f t="shared" si="298"/>
        <v>0.51445966514459662</v>
      </c>
      <c r="D92" s="4">
        <f t="shared" si="298"/>
        <v>0.4131054131054131</v>
      </c>
      <c r="E92" s="4">
        <f t="shared" si="298"/>
        <v>0.31315789473684208</v>
      </c>
      <c r="F92" s="4">
        <f t="shared" si="298"/>
        <v>0.34370771312584575</v>
      </c>
      <c r="G92" s="4">
        <f t="shared" si="298"/>
        <v>0.36977058029689613</v>
      </c>
      <c r="H92" s="4">
        <f t="shared" si="298"/>
        <v>0.3380281690140845</v>
      </c>
      <c r="I92" s="4">
        <f t="shared" si="298"/>
        <v>1.0674846625766872</v>
      </c>
      <c r="J92" s="4">
        <f t="shared" si="298"/>
        <v>0.40921787709497204</v>
      </c>
      <c r="K92" s="4">
        <f t="shared" si="298"/>
        <v>2.8653846153846154</v>
      </c>
      <c r="L92" s="4">
        <f t="shared" si="298"/>
        <v>2.3491525423728814</v>
      </c>
      <c r="M92" s="4">
        <f t="shared" si="298"/>
        <v>1.1471172962226639</v>
      </c>
      <c r="N92" s="4">
        <f t="shared" si="298"/>
        <v>1.787709497206704</v>
      </c>
      <c r="O92" s="4">
        <f t="shared" si="298"/>
        <v>0.91365461847389562</v>
      </c>
      <c r="P92" s="4">
        <f t="shared" si="298"/>
        <v>5.6225165562913908</v>
      </c>
      <c r="Q92" s="4">
        <f t="shared" si="298"/>
        <v>7.5128205128205128</v>
      </c>
      <c r="R92" s="4">
        <f t="shared" si="298"/>
        <v>0.46559297218155193</v>
      </c>
      <c r="S92" s="4">
        <f t="shared" si="298"/>
        <v>1.0323193916349811</v>
      </c>
      <c r="T92" s="4">
        <f t="shared" si="298"/>
        <v>1.5746835443037974</v>
      </c>
      <c r="U92" s="4">
        <f t="shared" si="298"/>
        <v>1.2596566523605148</v>
      </c>
      <c r="V92" s="4">
        <f t="shared" si="298"/>
        <v>0.50429799426934097</v>
      </c>
      <c r="W92" s="4">
        <f t="shared" si="298"/>
        <v>0.77040816326530615</v>
      </c>
      <c r="X92" s="4">
        <f t="shared" si="298"/>
        <v>0.89306930693069309</v>
      </c>
      <c r="Y92" s="4">
        <f t="shared" si="298"/>
        <v>0.48409405255878285</v>
      </c>
      <c r="Z92" s="4">
        <f t="shared" si="298"/>
        <v>1.048</v>
      </c>
      <c r="AA92" s="4">
        <f t="shared" si="298"/>
        <v>0.81481481481481488</v>
      </c>
      <c r="AB92" s="4">
        <f t="shared" si="298"/>
        <v>0.67500000000000004</v>
      </c>
      <c r="AC92" s="4">
        <f t="shared" si="298"/>
        <v>0.88173913043478269</v>
      </c>
      <c r="AD92" s="4">
        <f t="shared" si="298"/>
        <v>1.2823275862068964</v>
      </c>
      <c r="AE92" s="4">
        <f t="shared" si="298"/>
        <v>0.61832061068702293</v>
      </c>
      <c r="AF92" s="4">
        <f t="shared" si="298"/>
        <v>0.65230769230769226</v>
      </c>
      <c r="AG92" s="4">
        <f t="shared" si="298"/>
        <v>5.3937499999999998</v>
      </c>
      <c r="AH92" s="4">
        <f t="shared" ref="AH92:BM92" si="299">AH90/AH91</f>
        <v>4.3244680851063828</v>
      </c>
      <c r="AI92" s="4">
        <f t="shared" si="299"/>
        <v>7.5666666666666673</v>
      </c>
      <c r="AJ92" s="4">
        <f t="shared" si="299"/>
        <v>0.53805073431241657</v>
      </c>
      <c r="AK92" s="4">
        <f t="shared" si="299"/>
        <v>0.51308900523560208</v>
      </c>
      <c r="AL92" s="4">
        <f t="shared" si="299"/>
        <v>0.38326585695006743</v>
      </c>
      <c r="AM92" s="4">
        <f t="shared" si="299"/>
        <v>1.1244725738396626</v>
      </c>
      <c r="AN92" s="4">
        <f t="shared" si="299"/>
        <v>1.1530815109343935</v>
      </c>
      <c r="AO92" s="4">
        <f t="shared" si="299"/>
        <v>1.8942857142857146</v>
      </c>
      <c r="AP92" s="4">
        <f t="shared" si="299"/>
        <v>5.6466666666666665</v>
      </c>
      <c r="AQ92" s="4">
        <f t="shared" si="299"/>
        <v>3.5429864253393668</v>
      </c>
      <c r="AR92" s="4">
        <f t="shared" si="299"/>
        <v>3.7809523809523813</v>
      </c>
      <c r="AS92" s="4">
        <f t="shared" si="299"/>
        <v>1.6230769230769231</v>
      </c>
      <c r="AT92" s="4">
        <f t="shared" si="299"/>
        <v>4.8937499999999998</v>
      </c>
      <c r="AU92" s="4">
        <f t="shared" si="299"/>
        <v>0.93810444874274657</v>
      </c>
      <c r="AV92" s="4">
        <f t="shared" si="299"/>
        <v>1.3409090909090908</v>
      </c>
      <c r="AW92" s="4">
        <f t="shared" si="299"/>
        <v>2.1809523809523812</v>
      </c>
      <c r="AX92" s="8">
        <f t="shared" si="299"/>
        <v>1.3721461187214612</v>
      </c>
      <c r="AY92" s="4">
        <f t="shared" si="299"/>
        <v>1.7642487046632125</v>
      </c>
      <c r="AZ92" s="4">
        <f t="shared" si="299"/>
        <v>3.7075471698113209</v>
      </c>
      <c r="BA92" s="8">
        <f t="shared" si="299"/>
        <v>6.3018242122719739E-2</v>
      </c>
      <c r="BB92" s="8">
        <f t="shared" si="299"/>
        <v>2.2297734627831716</v>
      </c>
      <c r="BC92" s="8">
        <f t="shared" si="299"/>
        <v>0.38068965517241382</v>
      </c>
      <c r="BD92" s="8">
        <f t="shared" si="299"/>
        <v>0.30798969072164945</v>
      </c>
      <c r="BE92" s="4">
        <f t="shared" si="299"/>
        <v>3.5022421524663678</v>
      </c>
      <c r="BF92" s="4">
        <f t="shared" si="299"/>
        <v>0.2343558282208589</v>
      </c>
      <c r="BG92" s="4">
        <f t="shared" si="299"/>
        <v>3.5668202764976962</v>
      </c>
      <c r="BH92" s="4">
        <f t="shared" si="299"/>
        <v>1.8714285714285717</v>
      </c>
      <c r="BI92" s="4">
        <f t="shared" si="299"/>
        <v>1.7279596977329976</v>
      </c>
      <c r="BJ92" s="4">
        <f t="shared" si="299"/>
        <v>0.43854748603351956</v>
      </c>
      <c r="BK92" s="4">
        <f t="shared" si="299"/>
        <v>0.82730263157894735</v>
      </c>
      <c r="BL92" s="4">
        <f t="shared" si="299"/>
        <v>1.3795454545454544</v>
      </c>
      <c r="BM92" s="4">
        <f t="shared" si="299"/>
        <v>0.21212121212121213</v>
      </c>
      <c r="BN92" s="4">
        <f t="shared" ref="BN92:CS92" si="300">BN90/BN91</f>
        <v>0.49856321839080459</v>
      </c>
      <c r="BO92" s="4">
        <f t="shared" si="300"/>
        <v>0.31578947368421051</v>
      </c>
      <c r="BP92" s="4">
        <f t="shared" si="300"/>
        <v>0.39310344827586202</v>
      </c>
      <c r="BQ92" s="8">
        <f t="shared" si="300"/>
        <v>0.52670623145400586</v>
      </c>
      <c r="BR92" s="4">
        <f t="shared" si="300"/>
        <v>0.70743801652892557</v>
      </c>
      <c r="BS92" s="4">
        <f t="shared" si="300"/>
        <v>0.45915492957746484</v>
      </c>
      <c r="BT92" s="4">
        <f t="shared" si="300"/>
        <v>2.3624161073825505</v>
      </c>
      <c r="BU92" s="4">
        <f t="shared" si="300"/>
        <v>2.2059701492537314</v>
      </c>
      <c r="BV92" s="4">
        <f t="shared" si="300"/>
        <v>0.61988304093567248</v>
      </c>
      <c r="BW92" s="4">
        <f t="shared" si="300"/>
        <v>3.6635514018691593</v>
      </c>
      <c r="BX92" s="4">
        <f t="shared" si="300"/>
        <v>1.6422976501305482</v>
      </c>
      <c r="BY92" s="4">
        <f t="shared" si="300"/>
        <v>3.3668122270742358</v>
      </c>
      <c r="BZ92" s="4">
        <f t="shared" si="300"/>
        <v>0.34922680412371138</v>
      </c>
      <c r="CA92" s="4">
        <f t="shared" si="300"/>
        <v>0.38050734312416551</v>
      </c>
      <c r="CB92" s="4">
        <f t="shared" si="300"/>
        <v>0.3</v>
      </c>
      <c r="CC92" s="4">
        <f t="shared" si="300"/>
        <v>0.42024965325936198</v>
      </c>
      <c r="CD92" s="4">
        <f t="shared" si="300"/>
        <v>0.4293628808864266</v>
      </c>
      <c r="CE92" s="4">
        <f t="shared" si="300"/>
        <v>0.47925608011444926</v>
      </c>
      <c r="CF92" s="4">
        <f t="shared" si="300"/>
        <v>0.4911242603550296</v>
      </c>
      <c r="CG92" s="4">
        <f t="shared" si="300"/>
        <v>0.6053412462908011</v>
      </c>
      <c r="CH92" s="4">
        <f t="shared" si="300"/>
        <v>0.41460055096418735</v>
      </c>
      <c r="CI92" s="4">
        <f t="shared" si="300"/>
        <v>0.31726907630522089</v>
      </c>
      <c r="CJ92" s="4">
        <f t="shared" si="300"/>
        <v>0.34966887417218545</v>
      </c>
      <c r="CK92" s="4">
        <f t="shared" si="300"/>
        <v>0.50146627565982405</v>
      </c>
      <c r="CL92" s="4">
        <f t="shared" si="300"/>
        <v>0.41727672035139085</v>
      </c>
      <c r="CM92" s="4">
        <f t="shared" si="300"/>
        <v>0.24968314321926488</v>
      </c>
      <c r="CN92" s="4">
        <f t="shared" si="300"/>
        <v>0.55939849624060145</v>
      </c>
      <c r="CO92" s="4">
        <f t="shared" si="300"/>
        <v>0.578125</v>
      </c>
      <c r="CP92" s="4">
        <f t="shared" si="300"/>
        <v>0.4629080118694362</v>
      </c>
      <c r="CQ92" s="4">
        <f t="shared" si="300"/>
        <v>0.56989247311827951</v>
      </c>
      <c r="CR92" s="4">
        <f t="shared" si="300"/>
        <v>0.73109243697478998</v>
      </c>
      <c r="CS92" s="4">
        <f t="shared" si="300"/>
        <v>0.80645161290322576</v>
      </c>
      <c r="CT92" s="4">
        <f t="shared" ref="CT92:DY92" si="301">CT90/CT91</f>
        <v>0.46370370370370367</v>
      </c>
      <c r="CU92" s="4">
        <f t="shared" si="301"/>
        <v>0.65625</v>
      </c>
      <c r="CV92" s="4">
        <f t="shared" si="301"/>
        <v>1.1012658227848102</v>
      </c>
      <c r="CW92" s="4">
        <f t="shared" si="301"/>
        <v>0.78276481149012556</v>
      </c>
      <c r="CX92" s="4">
        <f t="shared" si="301"/>
        <v>0.64657980456026065</v>
      </c>
      <c r="CY92" s="8">
        <f t="shared" si="301"/>
        <v>1.8292682926829269</v>
      </c>
      <c r="CZ92" s="4">
        <f t="shared" si="301"/>
        <v>1.4133016627078385</v>
      </c>
      <c r="DA92" s="4">
        <f t="shared" si="301"/>
        <v>6.085106382978724</v>
      </c>
      <c r="DB92" s="4">
        <f t="shared" si="301"/>
        <v>1.5266821345707657</v>
      </c>
      <c r="DC92" s="8">
        <f t="shared" si="301"/>
        <v>0.43471810089020768</v>
      </c>
      <c r="DD92" s="4">
        <f t="shared" si="301"/>
        <v>0.71499999999999997</v>
      </c>
      <c r="DE92" s="8">
        <f t="shared" si="301"/>
        <v>3.0927835051546395E-3</v>
      </c>
      <c r="DF92" s="4">
        <f t="shared" si="301"/>
        <v>0.9565217391304347</v>
      </c>
      <c r="DG92" s="4">
        <f t="shared" si="301"/>
        <v>0.29765013054830286</v>
      </c>
      <c r="DH92" s="8">
        <f t="shared" si="301"/>
        <v>0.24820143884892087</v>
      </c>
      <c r="DI92" s="8">
        <f t="shared" si="301"/>
        <v>1.2642225031605562E-2</v>
      </c>
      <c r="DJ92" s="8">
        <f t="shared" si="301"/>
        <v>1.6166666666666667</v>
      </c>
      <c r="DK92" s="4">
        <f t="shared" si="301"/>
        <v>1.4374999999999998</v>
      </c>
      <c r="DL92" s="8">
        <f t="shared" si="301"/>
        <v>1.8731563421828907</v>
      </c>
      <c r="DM92" s="8">
        <f t="shared" si="301"/>
        <v>2.3697183098591554</v>
      </c>
      <c r="DN92" s="8">
        <f t="shared" si="301"/>
        <v>0.72972972972972971</v>
      </c>
      <c r="DO92" s="8">
        <f t="shared" si="301"/>
        <v>1.3859275053304905</v>
      </c>
      <c r="DP92" s="8">
        <f t="shared" si="301"/>
        <v>2.2388059701492535</v>
      </c>
      <c r="DQ92" s="8">
        <f t="shared" si="301"/>
        <v>0.72196620583717352</v>
      </c>
      <c r="DR92" s="4">
        <f t="shared" si="301"/>
        <v>2.4893617021276593</v>
      </c>
      <c r="DS92" s="4">
        <f t="shared" si="301"/>
        <v>0.70180722891566261</v>
      </c>
      <c r="DT92" s="10">
        <f t="shared" si="301"/>
        <v>0.14543404735062007</v>
      </c>
      <c r="DU92" s="4">
        <f t="shared" si="301"/>
        <v>0.73356401384083048</v>
      </c>
      <c r="DV92" s="4">
        <f t="shared" si="301"/>
        <v>1.8989071038251366</v>
      </c>
      <c r="DW92" s="4">
        <f t="shared" si="301"/>
        <v>1.6115485564304461</v>
      </c>
      <c r="DX92" s="8">
        <f t="shared" si="301"/>
        <v>0.36448598130841126</v>
      </c>
      <c r="DY92" s="4">
        <f t="shared" si="301"/>
        <v>1.7096774193548385</v>
      </c>
      <c r="DZ92" s="8">
        <f t="shared" ref="DZ92:EW92" si="302">DZ90/DZ91</f>
        <v>2.1300309597523217</v>
      </c>
      <c r="EA92" s="4">
        <f t="shared" si="302"/>
        <v>2.8528301886792451</v>
      </c>
      <c r="EB92" s="4">
        <f t="shared" si="302"/>
        <v>1.3818615751789975</v>
      </c>
      <c r="EC92" s="4">
        <f t="shared" si="302"/>
        <v>1.4028776978417266</v>
      </c>
      <c r="ED92" s="4">
        <f t="shared" si="302"/>
        <v>2.4740484429065743</v>
      </c>
      <c r="EE92" s="4">
        <f t="shared" si="302"/>
        <v>1.8518518518518521</v>
      </c>
      <c r="EF92" s="4">
        <f t="shared" si="302"/>
        <v>1.008</v>
      </c>
      <c r="EG92" s="4">
        <f t="shared" si="302"/>
        <v>1.1273885350318473</v>
      </c>
      <c r="EH92" s="8">
        <f t="shared" si="302"/>
        <v>2.6490066225165563E-2</v>
      </c>
      <c r="EI92" s="4">
        <f t="shared" si="302"/>
        <v>1.9135446685878965</v>
      </c>
      <c r="EJ92" s="4">
        <f t="shared" si="302"/>
        <v>2.4053156146179404</v>
      </c>
      <c r="EK92" s="8">
        <f t="shared" si="302"/>
        <v>1.1897654584221751</v>
      </c>
      <c r="EL92" s="4">
        <f t="shared" si="302"/>
        <v>2.0058997050147491</v>
      </c>
      <c r="EM92" s="4">
        <f t="shared" si="302"/>
        <v>1.8383561643835618</v>
      </c>
      <c r="EN92" s="4">
        <f t="shared" si="302"/>
        <v>2.1666666666666665</v>
      </c>
      <c r="EO92" s="4">
        <f t="shared" si="302"/>
        <v>1.036</v>
      </c>
      <c r="EP92" s="4">
        <f t="shared" si="302"/>
        <v>1.2690582959641254</v>
      </c>
      <c r="EQ92" s="4">
        <f t="shared" si="302"/>
        <v>1.0329457364341086</v>
      </c>
      <c r="ER92" s="4">
        <f t="shared" si="302"/>
        <v>1.6347607052896724</v>
      </c>
      <c r="ES92" s="4">
        <f t="shared" si="302"/>
        <v>0.6387959866220736</v>
      </c>
      <c r="ET92" s="4">
        <f t="shared" si="302"/>
        <v>0.57097288676236047</v>
      </c>
      <c r="EU92" s="4">
        <f t="shared" si="302"/>
        <v>21.222222222222221</v>
      </c>
      <c r="EV92" s="4">
        <f t="shared" si="302"/>
        <v>4.1333333333333337</v>
      </c>
      <c r="EW92" s="4">
        <f t="shared" si="302"/>
        <v>2.5460992907801421</v>
      </c>
      <c r="EX92" s="4">
        <f t="shared" ref="EX92:FF92" si="303">EX90/EX91</f>
        <v>4.062176165803109</v>
      </c>
      <c r="EY92" s="4">
        <f t="shared" si="303"/>
        <v>8.9306930693069297</v>
      </c>
      <c r="EZ92" s="4">
        <f t="shared" si="303"/>
        <v>1.6822916666666667</v>
      </c>
      <c r="FA92" s="8">
        <f t="shared" si="303"/>
        <v>1.2991266375545851</v>
      </c>
      <c r="FB92" s="10">
        <f t="shared" si="303"/>
        <v>1.8806818181818183</v>
      </c>
      <c r="FC92" s="10">
        <f t="shared" si="303"/>
        <v>0.69191049913941494</v>
      </c>
      <c r="FD92" s="10">
        <f t="shared" si="303"/>
        <v>1.7131367292225201</v>
      </c>
      <c r="FE92" s="10">
        <f t="shared" si="303"/>
        <v>1.4075829383886256</v>
      </c>
      <c r="FF92" s="10">
        <f t="shared" si="303"/>
        <v>0.69420035149384896</v>
      </c>
      <c r="FG92" s="4"/>
      <c r="FH92" s="4"/>
      <c r="FI92" s="4"/>
      <c r="FJ92" s="4"/>
      <c r="FK92" s="4"/>
      <c r="FL9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Brysbaert</dc:creator>
  <cp:lastModifiedBy>Marc Brysbaert</cp:lastModifiedBy>
  <dcterms:created xsi:type="dcterms:W3CDTF">2023-06-02T07:34:16Z</dcterms:created>
  <dcterms:modified xsi:type="dcterms:W3CDTF">2024-03-30T14:01:57Z</dcterms:modified>
</cp:coreProperties>
</file>